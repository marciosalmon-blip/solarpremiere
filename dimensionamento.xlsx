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Solar\"/>
    </mc:Choice>
  </mc:AlternateContent>
  <xr:revisionPtr revIDLastSave="0" documentId="13_ncr:1_{575FD5DF-4204-4508-9BF8-116270D0D2DB}" xr6:coauthVersionLast="47" xr6:coauthVersionMax="47" xr10:uidLastSave="{00000000-0000-0000-0000-000000000000}"/>
  <bookViews>
    <workbookView xWindow="-120" yWindow="-120" windowWidth="29040" windowHeight="15720" tabRatio="733" xr2:uid="{00000000-000D-0000-FFFF-FFFF00000000}"/>
  </bookViews>
  <sheets>
    <sheet name="Dimensionamento" sheetId="11" r:id="rId1"/>
  </sheets>
  <definedNames>
    <definedName name="_xlcn.WorksheetConnection_NOVOEstudodeGeraçãoFotovoltaica.xlsmTab_dados" hidden="1">Tab_dados[]</definedName>
    <definedName name="_xlcn.WorksheetConnection_NOVOEstudodeGeraçãoFotovoltaica.xlsmTabela6" hidden="1">Tabela6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ela6" name="tab_aux" connection="WorksheetConnection_NOVO - Estudo de Geração Fotovoltaica.xlsm!Tabela6"/>
          <x15:modelTable id="Tab_dados" name="Tab_dados" connection="WorksheetConnection_NOVO - Estudo de Geração Fotovoltaica.xlsm!Tab_dad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1" l="1"/>
  <c r="M38" i="11" s="1"/>
  <c r="M50" i="11" s="1"/>
  <c r="M62" i="11" s="1"/>
  <c r="M74" i="11" s="1"/>
  <c r="M86" i="11" s="1"/>
  <c r="M98" i="11" s="1"/>
  <c r="M110" i="11" s="1"/>
  <c r="M122" i="11" s="1"/>
  <c r="M134" i="11" s="1"/>
  <c r="M146" i="11" s="1"/>
  <c r="M158" i="11" s="1"/>
  <c r="M170" i="11" s="1"/>
  <c r="M182" i="11" s="1"/>
  <c r="M194" i="11" s="1"/>
  <c r="M206" i="11" s="1"/>
  <c r="M218" i="11" s="1"/>
  <c r="M230" i="11" s="1"/>
  <c r="M242" i="11" s="1"/>
  <c r="M254" i="11" s="1"/>
  <c r="M266" i="11" s="1"/>
  <c r="M278" i="11" s="1"/>
  <c r="M290" i="11" s="1"/>
  <c r="M302" i="11" s="1"/>
  <c r="M314" i="11" s="1"/>
  <c r="M326" i="11" s="1"/>
  <c r="M338" i="11" s="1"/>
  <c r="M350" i="11" s="1"/>
  <c r="M362" i="11" s="1"/>
  <c r="M374" i="11" s="1"/>
  <c r="M27" i="11"/>
  <c r="M39" i="11" s="1"/>
  <c r="M51" i="11" s="1"/>
  <c r="M63" i="11" s="1"/>
  <c r="M75" i="11" s="1"/>
  <c r="M87" i="11" s="1"/>
  <c r="M99" i="11" s="1"/>
  <c r="M111" i="11" s="1"/>
  <c r="M123" i="11" s="1"/>
  <c r="M135" i="11" s="1"/>
  <c r="M147" i="11" s="1"/>
  <c r="M159" i="11" s="1"/>
  <c r="M171" i="11" s="1"/>
  <c r="M183" i="11" s="1"/>
  <c r="M195" i="11" s="1"/>
  <c r="M207" i="11" s="1"/>
  <c r="M219" i="11" s="1"/>
  <c r="M231" i="11" s="1"/>
  <c r="M243" i="11" s="1"/>
  <c r="M255" i="11" s="1"/>
  <c r="M267" i="11" s="1"/>
  <c r="M279" i="11" s="1"/>
  <c r="M291" i="11" s="1"/>
  <c r="M303" i="11" s="1"/>
  <c r="M315" i="11" s="1"/>
  <c r="M327" i="11" s="1"/>
  <c r="M339" i="11" s="1"/>
  <c r="M351" i="11" s="1"/>
  <c r="M363" i="11" s="1"/>
  <c r="M375" i="11" s="1"/>
  <c r="M28" i="11"/>
  <c r="M40" i="11" s="1"/>
  <c r="M52" i="11" s="1"/>
  <c r="M64" i="11" s="1"/>
  <c r="M76" i="11" s="1"/>
  <c r="M88" i="11" s="1"/>
  <c r="M100" i="11" s="1"/>
  <c r="M112" i="11" s="1"/>
  <c r="M124" i="11" s="1"/>
  <c r="M136" i="11" s="1"/>
  <c r="M148" i="11" s="1"/>
  <c r="M160" i="11" s="1"/>
  <c r="M172" i="11" s="1"/>
  <c r="M184" i="11" s="1"/>
  <c r="M196" i="11" s="1"/>
  <c r="M208" i="11" s="1"/>
  <c r="M220" i="11" s="1"/>
  <c r="M232" i="11" s="1"/>
  <c r="M244" i="11" s="1"/>
  <c r="M256" i="11" s="1"/>
  <c r="M268" i="11" s="1"/>
  <c r="M280" i="11" s="1"/>
  <c r="M292" i="11" s="1"/>
  <c r="M304" i="11" s="1"/>
  <c r="M316" i="11" s="1"/>
  <c r="M328" i="11" s="1"/>
  <c r="M340" i="11" s="1"/>
  <c r="M352" i="11" s="1"/>
  <c r="M364" i="11" s="1"/>
  <c r="M376" i="11" s="1"/>
  <c r="M29" i="11"/>
  <c r="M41" i="11" s="1"/>
  <c r="M53" i="11" s="1"/>
  <c r="M65" i="11" s="1"/>
  <c r="M77" i="11" s="1"/>
  <c r="M89" i="11" s="1"/>
  <c r="M101" i="11" s="1"/>
  <c r="M113" i="11" s="1"/>
  <c r="M125" i="11" s="1"/>
  <c r="M137" i="11" s="1"/>
  <c r="M149" i="11" s="1"/>
  <c r="M161" i="11" s="1"/>
  <c r="M173" i="11" s="1"/>
  <c r="M185" i="11" s="1"/>
  <c r="M197" i="11" s="1"/>
  <c r="M209" i="11" s="1"/>
  <c r="M221" i="11" s="1"/>
  <c r="M233" i="11" s="1"/>
  <c r="M245" i="11" s="1"/>
  <c r="M257" i="11" s="1"/>
  <c r="M269" i="11" s="1"/>
  <c r="M281" i="11" s="1"/>
  <c r="M293" i="11" s="1"/>
  <c r="M305" i="11" s="1"/>
  <c r="M317" i="11" s="1"/>
  <c r="M329" i="11" s="1"/>
  <c r="M341" i="11" s="1"/>
  <c r="M353" i="11" s="1"/>
  <c r="M365" i="11" s="1"/>
  <c r="M377" i="11" s="1"/>
  <c r="M30" i="11"/>
  <c r="M42" i="11" s="1"/>
  <c r="M54" i="11" s="1"/>
  <c r="M66" i="11" s="1"/>
  <c r="M78" i="11" s="1"/>
  <c r="M90" i="11" s="1"/>
  <c r="M102" i="11" s="1"/>
  <c r="M114" i="11" s="1"/>
  <c r="M126" i="11" s="1"/>
  <c r="M138" i="11" s="1"/>
  <c r="M150" i="11" s="1"/>
  <c r="M162" i="11" s="1"/>
  <c r="M174" i="11" s="1"/>
  <c r="M186" i="11" s="1"/>
  <c r="M198" i="11" s="1"/>
  <c r="M210" i="11" s="1"/>
  <c r="M222" i="11" s="1"/>
  <c r="M234" i="11" s="1"/>
  <c r="M246" i="11" s="1"/>
  <c r="M258" i="11" s="1"/>
  <c r="M270" i="11" s="1"/>
  <c r="M282" i="11" s="1"/>
  <c r="M294" i="11" s="1"/>
  <c r="M306" i="11" s="1"/>
  <c r="M318" i="11" s="1"/>
  <c r="M330" i="11" s="1"/>
  <c r="M342" i="11" s="1"/>
  <c r="M354" i="11" s="1"/>
  <c r="M366" i="11" s="1"/>
  <c r="M378" i="11" s="1"/>
  <c r="M31" i="11"/>
  <c r="M43" i="11" s="1"/>
  <c r="M55" i="11" s="1"/>
  <c r="M67" i="11" s="1"/>
  <c r="M79" i="11" s="1"/>
  <c r="M91" i="11" s="1"/>
  <c r="M103" i="11" s="1"/>
  <c r="M115" i="11" s="1"/>
  <c r="M127" i="11" s="1"/>
  <c r="M139" i="11" s="1"/>
  <c r="M151" i="11" s="1"/>
  <c r="M163" i="11" s="1"/>
  <c r="M175" i="11" s="1"/>
  <c r="M187" i="11" s="1"/>
  <c r="M199" i="11" s="1"/>
  <c r="M211" i="11" s="1"/>
  <c r="M223" i="11" s="1"/>
  <c r="M235" i="11" s="1"/>
  <c r="M247" i="11" s="1"/>
  <c r="M259" i="11" s="1"/>
  <c r="M271" i="11" s="1"/>
  <c r="M283" i="11" s="1"/>
  <c r="M295" i="11" s="1"/>
  <c r="M307" i="11" s="1"/>
  <c r="M319" i="11" s="1"/>
  <c r="M331" i="11" s="1"/>
  <c r="M343" i="11" s="1"/>
  <c r="M355" i="11" s="1"/>
  <c r="M367" i="11" s="1"/>
  <c r="M379" i="11" s="1"/>
  <c r="M32" i="11"/>
  <c r="M44" i="11" s="1"/>
  <c r="M56" i="11" s="1"/>
  <c r="M68" i="11" s="1"/>
  <c r="M80" i="11" s="1"/>
  <c r="M92" i="11" s="1"/>
  <c r="M104" i="11" s="1"/>
  <c r="M116" i="11" s="1"/>
  <c r="M128" i="11" s="1"/>
  <c r="M140" i="11" s="1"/>
  <c r="M152" i="11" s="1"/>
  <c r="M164" i="11" s="1"/>
  <c r="M176" i="11" s="1"/>
  <c r="M188" i="11" s="1"/>
  <c r="M200" i="11" s="1"/>
  <c r="M212" i="11" s="1"/>
  <c r="M224" i="11" s="1"/>
  <c r="M236" i="11" s="1"/>
  <c r="M248" i="11" s="1"/>
  <c r="M260" i="11" s="1"/>
  <c r="M272" i="11" s="1"/>
  <c r="M284" i="11" s="1"/>
  <c r="M296" i="11" s="1"/>
  <c r="M308" i="11" s="1"/>
  <c r="M320" i="11" s="1"/>
  <c r="M332" i="11" s="1"/>
  <c r="M344" i="11" s="1"/>
  <c r="M356" i="11" s="1"/>
  <c r="M368" i="11" s="1"/>
  <c r="M380" i="11" s="1"/>
  <c r="M33" i="11"/>
  <c r="M45" i="11" s="1"/>
  <c r="M57" i="11" s="1"/>
  <c r="M69" i="11" s="1"/>
  <c r="M81" i="11" s="1"/>
  <c r="M93" i="11" s="1"/>
  <c r="M105" i="11" s="1"/>
  <c r="M117" i="11" s="1"/>
  <c r="M129" i="11" s="1"/>
  <c r="M141" i="11" s="1"/>
  <c r="M153" i="11" s="1"/>
  <c r="M165" i="11" s="1"/>
  <c r="M177" i="11" s="1"/>
  <c r="M189" i="11" s="1"/>
  <c r="M201" i="11" s="1"/>
  <c r="M213" i="11" s="1"/>
  <c r="M225" i="11" s="1"/>
  <c r="M237" i="11" s="1"/>
  <c r="M249" i="11" s="1"/>
  <c r="M261" i="11" s="1"/>
  <c r="M273" i="11" s="1"/>
  <c r="M285" i="11" s="1"/>
  <c r="M297" i="11" s="1"/>
  <c r="M309" i="11" s="1"/>
  <c r="M321" i="11" s="1"/>
  <c r="M333" i="11" s="1"/>
  <c r="M345" i="11" s="1"/>
  <c r="M357" i="11" s="1"/>
  <c r="M369" i="11" s="1"/>
  <c r="M381" i="11" s="1"/>
  <c r="M34" i="11"/>
  <c r="M46" i="11" s="1"/>
  <c r="M58" i="11" s="1"/>
  <c r="M70" i="11" s="1"/>
  <c r="M82" i="11" s="1"/>
  <c r="M94" i="11" s="1"/>
  <c r="M106" i="11" s="1"/>
  <c r="M118" i="11" s="1"/>
  <c r="M130" i="11" s="1"/>
  <c r="M142" i="11" s="1"/>
  <c r="M154" i="11" s="1"/>
  <c r="M166" i="11" s="1"/>
  <c r="M178" i="11" s="1"/>
  <c r="M190" i="11" s="1"/>
  <c r="M202" i="11" s="1"/>
  <c r="M214" i="11" s="1"/>
  <c r="M226" i="11" s="1"/>
  <c r="M238" i="11" s="1"/>
  <c r="M250" i="11" s="1"/>
  <c r="M262" i="11" s="1"/>
  <c r="M274" i="11" s="1"/>
  <c r="M286" i="11" s="1"/>
  <c r="M298" i="11" s="1"/>
  <c r="M310" i="11" s="1"/>
  <c r="M322" i="11" s="1"/>
  <c r="M334" i="11" s="1"/>
  <c r="M346" i="11" s="1"/>
  <c r="M358" i="11" s="1"/>
  <c r="M370" i="11" s="1"/>
  <c r="M382" i="11" s="1"/>
  <c r="M35" i="11"/>
  <c r="M47" i="11" s="1"/>
  <c r="M59" i="11" s="1"/>
  <c r="M71" i="11" s="1"/>
  <c r="M83" i="11" s="1"/>
  <c r="M95" i="11" s="1"/>
  <c r="M107" i="11" s="1"/>
  <c r="M119" i="11" s="1"/>
  <c r="M131" i="11" s="1"/>
  <c r="M143" i="11" s="1"/>
  <c r="M155" i="11" s="1"/>
  <c r="M167" i="11" s="1"/>
  <c r="M179" i="11" s="1"/>
  <c r="M191" i="11" s="1"/>
  <c r="M203" i="11" s="1"/>
  <c r="M215" i="11" s="1"/>
  <c r="M227" i="11" s="1"/>
  <c r="M239" i="11" s="1"/>
  <c r="M251" i="11" s="1"/>
  <c r="M263" i="11" s="1"/>
  <c r="M275" i="11" s="1"/>
  <c r="M287" i="11" s="1"/>
  <c r="M299" i="11" s="1"/>
  <c r="M311" i="11" s="1"/>
  <c r="M323" i="11" s="1"/>
  <c r="M335" i="11" s="1"/>
  <c r="M347" i="11" s="1"/>
  <c r="M359" i="11" s="1"/>
  <c r="M371" i="11" s="1"/>
  <c r="M383" i="11" s="1"/>
  <c r="M36" i="11"/>
  <c r="M48" i="11" s="1"/>
  <c r="M60" i="11" s="1"/>
  <c r="M72" i="11" s="1"/>
  <c r="M84" i="11" s="1"/>
  <c r="M96" i="11" s="1"/>
  <c r="M108" i="11" s="1"/>
  <c r="M120" i="11" s="1"/>
  <c r="M132" i="11" s="1"/>
  <c r="M144" i="11" s="1"/>
  <c r="M156" i="11" s="1"/>
  <c r="M168" i="11" s="1"/>
  <c r="M180" i="11" s="1"/>
  <c r="M192" i="11" s="1"/>
  <c r="M204" i="11" s="1"/>
  <c r="M216" i="11" s="1"/>
  <c r="M228" i="11" s="1"/>
  <c r="M240" i="11" s="1"/>
  <c r="M252" i="11" s="1"/>
  <c r="M264" i="11" s="1"/>
  <c r="M276" i="11" s="1"/>
  <c r="M288" i="11" s="1"/>
  <c r="M300" i="11" s="1"/>
  <c r="M312" i="11" s="1"/>
  <c r="M324" i="11" s="1"/>
  <c r="M336" i="11" s="1"/>
  <c r="M348" i="11" s="1"/>
  <c r="M360" i="11" s="1"/>
  <c r="M372" i="11" s="1"/>
  <c r="M384" i="11" s="1"/>
  <c r="M25" i="11"/>
  <c r="M37" i="11" s="1"/>
  <c r="M49" i="11" s="1"/>
  <c r="M61" i="11" s="1"/>
  <c r="M73" i="11" s="1"/>
  <c r="M85" i="11" s="1"/>
  <c r="M97" i="11" s="1"/>
  <c r="M109" i="11" s="1"/>
  <c r="M121" i="11" s="1"/>
  <c r="M133" i="11" s="1"/>
  <c r="M145" i="11" s="1"/>
  <c r="M157" i="11" s="1"/>
  <c r="M169" i="11" s="1"/>
  <c r="M181" i="11" s="1"/>
  <c r="M193" i="11" s="1"/>
  <c r="M205" i="11" s="1"/>
  <c r="M217" i="11" s="1"/>
  <c r="M229" i="11" s="1"/>
  <c r="M241" i="11" s="1"/>
  <c r="M253" i="11" s="1"/>
  <c r="M265" i="11" s="1"/>
  <c r="M277" i="11" s="1"/>
  <c r="M289" i="11" s="1"/>
  <c r="M301" i="11" s="1"/>
  <c r="M313" i="11" s="1"/>
  <c r="M325" i="11" s="1"/>
  <c r="M337" i="11" s="1"/>
  <c r="M349" i="11" s="1"/>
  <c r="M361" i="11" s="1"/>
  <c r="M373" i="11" s="1"/>
  <c r="B3" i="11" l="1"/>
  <c r="I26" i="11"/>
  <c r="I27" i="11"/>
  <c r="I28" i="11"/>
  <c r="I29" i="11"/>
  <c r="I30" i="11"/>
  <c r="I31" i="11"/>
  <c r="I32" i="11"/>
  <c r="I33" i="11"/>
  <c r="I34" i="11"/>
  <c r="I35" i="11"/>
  <c r="I36" i="11"/>
  <c r="H6" i="11"/>
  <c r="H5" i="11"/>
  <c r="H4" i="11"/>
  <c r="H3" i="11"/>
  <c r="I25" i="11"/>
  <c r="L48" i="11" l="1"/>
  <c r="L60" i="11" s="1"/>
  <c r="L72" i="11" s="1"/>
  <c r="L84" i="11" s="1"/>
  <c r="L96" i="11" s="1"/>
  <c r="L108" i="11" s="1"/>
  <c r="L120" i="11" s="1"/>
  <c r="L132" i="11" s="1"/>
  <c r="L144" i="11" s="1"/>
  <c r="L156" i="11" s="1"/>
  <c r="L168" i="11" s="1"/>
  <c r="L180" i="11" s="1"/>
  <c r="L192" i="11" s="1"/>
  <c r="L204" i="11" s="1"/>
  <c r="L216" i="11" s="1"/>
  <c r="L228" i="11" s="1"/>
  <c r="L240" i="11" s="1"/>
  <c r="L252" i="11" s="1"/>
  <c r="L264" i="11" s="1"/>
  <c r="L276" i="11" s="1"/>
  <c r="L288" i="11" s="1"/>
  <c r="L300" i="11" s="1"/>
  <c r="L312" i="11" s="1"/>
  <c r="L324" i="11" s="1"/>
  <c r="L336" i="11" s="1"/>
  <c r="L348" i="11" s="1"/>
  <c r="L360" i="11" s="1"/>
  <c r="L372" i="11" s="1"/>
  <c r="L384" i="11" s="1"/>
  <c r="L47" i="11"/>
  <c r="L59" i="11" s="1"/>
  <c r="L71" i="11" s="1"/>
  <c r="L83" i="11" s="1"/>
  <c r="L95" i="11" s="1"/>
  <c r="L107" i="11" s="1"/>
  <c r="L119" i="11" s="1"/>
  <c r="L131" i="11" s="1"/>
  <c r="L143" i="11" s="1"/>
  <c r="L155" i="11" s="1"/>
  <c r="L167" i="11" s="1"/>
  <c r="L179" i="11" s="1"/>
  <c r="L191" i="11" s="1"/>
  <c r="L203" i="11" s="1"/>
  <c r="L215" i="11" s="1"/>
  <c r="L227" i="11" s="1"/>
  <c r="L239" i="11" s="1"/>
  <c r="L251" i="11" s="1"/>
  <c r="L263" i="11" s="1"/>
  <c r="L275" i="11" s="1"/>
  <c r="L287" i="11" s="1"/>
  <c r="L299" i="11" s="1"/>
  <c r="L311" i="11" s="1"/>
  <c r="L323" i="11" s="1"/>
  <c r="L335" i="11" s="1"/>
  <c r="L347" i="11" s="1"/>
  <c r="L359" i="11" s="1"/>
  <c r="L371" i="11" s="1"/>
  <c r="L383" i="11" s="1"/>
  <c r="L46" i="11"/>
  <c r="L58" i="11" s="1"/>
  <c r="L70" i="11" s="1"/>
  <c r="L82" i="11" s="1"/>
  <c r="L94" i="11" s="1"/>
  <c r="L106" i="11" s="1"/>
  <c r="L118" i="11" s="1"/>
  <c r="L130" i="11" s="1"/>
  <c r="L142" i="11" s="1"/>
  <c r="L154" i="11" s="1"/>
  <c r="L166" i="11" s="1"/>
  <c r="L178" i="11" s="1"/>
  <c r="L190" i="11" s="1"/>
  <c r="L202" i="11" s="1"/>
  <c r="L214" i="11" s="1"/>
  <c r="L226" i="11" s="1"/>
  <c r="L238" i="11" s="1"/>
  <c r="L250" i="11" s="1"/>
  <c r="L262" i="11" s="1"/>
  <c r="L274" i="11" s="1"/>
  <c r="L286" i="11" s="1"/>
  <c r="L298" i="11" s="1"/>
  <c r="L310" i="11" s="1"/>
  <c r="L322" i="11" s="1"/>
  <c r="L334" i="11" s="1"/>
  <c r="L346" i="11" s="1"/>
  <c r="L358" i="11" s="1"/>
  <c r="L370" i="11" s="1"/>
  <c r="L382" i="11" s="1"/>
  <c r="L45" i="11"/>
  <c r="L57" i="11" s="1"/>
  <c r="L69" i="11" s="1"/>
  <c r="L81" i="11" s="1"/>
  <c r="L93" i="11" s="1"/>
  <c r="L105" i="11" s="1"/>
  <c r="L117" i="11" s="1"/>
  <c r="L129" i="11" s="1"/>
  <c r="L141" i="11" s="1"/>
  <c r="L153" i="11" s="1"/>
  <c r="L165" i="11" s="1"/>
  <c r="L177" i="11" s="1"/>
  <c r="L189" i="11" s="1"/>
  <c r="L201" i="11" s="1"/>
  <c r="L213" i="11" s="1"/>
  <c r="L225" i="11" s="1"/>
  <c r="L237" i="11" s="1"/>
  <c r="L249" i="11" s="1"/>
  <c r="L261" i="11" s="1"/>
  <c r="L273" i="11" s="1"/>
  <c r="L285" i="11" s="1"/>
  <c r="L297" i="11" s="1"/>
  <c r="L309" i="11" s="1"/>
  <c r="L321" i="11" s="1"/>
  <c r="L333" i="11" s="1"/>
  <c r="L345" i="11" s="1"/>
  <c r="L357" i="11" s="1"/>
  <c r="L369" i="11" s="1"/>
  <c r="L381" i="11" s="1"/>
  <c r="L44" i="11"/>
  <c r="L56" i="11" s="1"/>
  <c r="L68" i="11" s="1"/>
  <c r="L80" i="11" s="1"/>
  <c r="L92" i="11" s="1"/>
  <c r="L104" i="11" s="1"/>
  <c r="L116" i="11" s="1"/>
  <c r="L128" i="11" s="1"/>
  <c r="L140" i="11" s="1"/>
  <c r="L152" i="11" s="1"/>
  <c r="L164" i="11" s="1"/>
  <c r="L176" i="11" s="1"/>
  <c r="L188" i="11" s="1"/>
  <c r="L200" i="11" s="1"/>
  <c r="L212" i="11" s="1"/>
  <c r="L224" i="11" s="1"/>
  <c r="L236" i="11" s="1"/>
  <c r="L248" i="11" s="1"/>
  <c r="L260" i="11" s="1"/>
  <c r="L272" i="11" s="1"/>
  <c r="L284" i="11" s="1"/>
  <c r="L296" i="11" s="1"/>
  <c r="L308" i="11" s="1"/>
  <c r="L320" i="11" s="1"/>
  <c r="L332" i="11" s="1"/>
  <c r="L344" i="11" s="1"/>
  <c r="L356" i="11" s="1"/>
  <c r="L368" i="11" s="1"/>
  <c r="L380" i="11" s="1"/>
  <c r="L43" i="11"/>
  <c r="L55" i="11" s="1"/>
  <c r="L67" i="11" s="1"/>
  <c r="L79" i="11" s="1"/>
  <c r="L91" i="11" s="1"/>
  <c r="L103" i="11" s="1"/>
  <c r="L115" i="11" s="1"/>
  <c r="L127" i="11" s="1"/>
  <c r="L139" i="11" s="1"/>
  <c r="L151" i="11" s="1"/>
  <c r="L163" i="11" s="1"/>
  <c r="L175" i="11" s="1"/>
  <c r="L187" i="11" s="1"/>
  <c r="L199" i="11" s="1"/>
  <c r="L211" i="11" s="1"/>
  <c r="L223" i="11" s="1"/>
  <c r="L235" i="11" s="1"/>
  <c r="L247" i="11" s="1"/>
  <c r="L259" i="11" s="1"/>
  <c r="L271" i="11" s="1"/>
  <c r="L283" i="11" s="1"/>
  <c r="L295" i="11" s="1"/>
  <c r="L307" i="11" s="1"/>
  <c r="L319" i="11" s="1"/>
  <c r="L331" i="11" s="1"/>
  <c r="L343" i="11" s="1"/>
  <c r="L355" i="11" s="1"/>
  <c r="L367" i="11" s="1"/>
  <c r="L379" i="11" s="1"/>
  <c r="L42" i="11"/>
  <c r="L54" i="11" s="1"/>
  <c r="L66" i="11" s="1"/>
  <c r="L78" i="11" s="1"/>
  <c r="L90" i="11" s="1"/>
  <c r="L102" i="11" s="1"/>
  <c r="L114" i="11" s="1"/>
  <c r="L126" i="11" s="1"/>
  <c r="L138" i="11" s="1"/>
  <c r="L150" i="11" s="1"/>
  <c r="L162" i="11" s="1"/>
  <c r="L174" i="11" s="1"/>
  <c r="L186" i="11" s="1"/>
  <c r="L198" i="11" s="1"/>
  <c r="L210" i="11" s="1"/>
  <c r="L222" i="11" s="1"/>
  <c r="L234" i="11" s="1"/>
  <c r="L246" i="11" s="1"/>
  <c r="L258" i="11" s="1"/>
  <c r="L270" i="11" s="1"/>
  <c r="L282" i="11" s="1"/>
  <c r="L294" i="11" s="1"/>
  <c r="L306" i="11" s="1"/>
  <c r="L318" i="11" s="1"/>
  <c r="L330" i="11" s="1"/>
  <c r="L342" i="11" s="1"/>
  <c r="L354" i="11" s="1"/>
  <c r="L366" i="11" s="1"/>
  <c r="L378" i="11" s="1"/>
  <c r="L41" i="11"/>
  <c r="L53" i="11" s="1"/>
  <c r="L65" i="11" s="1"/>
  <c r="L77" i="11" s="1"/>
  <c r="L89" i="11" s="1"/>
  <c r="L101" i="11" s="1"/>
  <c r="L113" i="11" s="1"/>
  <c r="L125" i="11" s="1"/>
  <c r="L137" i="11" s="1"/>
  <c r="L149" i="11" s="1"/>
  <c r="L161" i="11" s="1"/>
  <c r="L173" i="11" s="1"/>
  <c r="L185" i="11" s="1"/>
  <c r="L197" i="11" s="1"/>
  <c r="L209" i="11" s="1"/>
  <c r="L221" i="11" s="1"/>
  <c r="L233" i="11" s="1"/>
  <c r="L245" i="11" s="1"/>
  <c r="L257" i="11" s="1"/>
  <c r="L269" i="11" s="1"/>
  <c r="L281" i="11" s="1"/>
  <c r="L293" i="11" s="1"/>
  <c r="L305" i="11" s="1"/>
  <c r="L317" i="11" s="1"/>
  <c r="L329" i="11" s="1"/>
  <c r="L341" i="11" s="1"/>
  <c r="L353" i="11" s="1"/>
  <c r="L365" i="11" s="1"/>
  <c r="L377" i="11" s="1"/>
  <c r="L40" i="11"/>
  <c r="L52" i="11" s="1"/>
  <c r="L64" i="11" s="1"/>
  <c r="L76" i="11" s="1"/>
  <c r="L88" i="11" s="1"/>
  <c r="L100" i="11" s="1"/>
  <c r="L112" i="11" s="1"/>
  <c r="L124" i="11" s="1"/>
  <c r="L136" i="11" s="1"/>
  <c r="L148" i="11" s="1"/>
  <c r="L160" i="11" s="1"/>
  <c r="L172" i="11" s="1"/>
  <c r="L184" i="11" s="1"/>
  <c r="L196" i="11" s="1"/>
  <c r="L208" i="11" s="1"/>
  <c r="L220" i="11" s="1"/>
  <c r="L232" i="11" s="1"/>
  <c r="L244" i="11" s="1"/>
  <c r="L256" i="11" s="1"/>
  <c r="L268" i="11" s="1"/>
  <c r="L280" i="11" s="1"/>
  <c r="L292" i="11" s="1"/>
  <c r="L304" i="11" s="1"/>
  <c r="L316" i="11" s="1"/>
  <c r="L328" i="11" s="1"/>
  <c r="L340" i="11" s="1"/>
  <c r="L352" i="11" s="1"/>
  <c r="L364" i="11" s="1"/>
  <c r="L376" i="11" s="1"/>
  <c r="L39" i="11"/>
  <c r="L51" i="11" s="1"/>
  <c r="L63" i="11" s="1"/>
  <c r="L75" i="11" s="1"/>
  <c r="L87" i="11" s="1"/>
  <c r="L99" i="11" s="1"/>
  <c r="L111" i="11" s="1"/>
  <c r="L123" i="11" s="1"/>
  <c r="L135" i="11" s="1"/>
  <c r="L147" i="11" s="1"/>
  <c r="L159" i="11" s="1"/>
  <c r="L171" i="11" s="1"/>
  <c r="L183" i="11" s="1"/>
  <c r="L195" i="11" s="1"/>
  <c r="L207" i="11" s="1"/>
  <c r="L219" i="11" s="1"/>
  <c r="L231" i="11" s="1"/>
  <c r="L243" i="11" s="1"/>
  <c r="L255" i="11" s="1"/>
  <c r="L267" i="11" s="1"/>
  <c r="L279" i="11" s="1"/>
  <c r="L291" i="11" s="1"/>
  <c r="L303" i="11" s="1"/>
  <c r="L315" i="11" s="1"/>
  <c r="L327" i="11" s="1"/>
  <c r="L339" i="11" s="1"/>
  <c r="L351" i="11" s="1"/>
  <c r="L363" i="11" s="1"/>
  <c r="L375" i="11" s="1"/>
  <c r="L38" i="11"/>
  <c r="L50" i="11" s="1"/>
  <c r="L62" i="11" s="1"/>
  <c r="L74" i="11" s="1"/>
  <c r="L86" i="11" s="1"/>
  <c r="L98" i="11" s="1"/>
  <c r="L110" i="11" s="1"/>
  <c r="L122" i="11" s="1"/>
  <c r="L134" i="11" s="1"/>
  <c r="L146" i="11" s="1"/>
  <c r="L158" i="11" s="1"/>
  <c r="L170" i="11" s="1"/>
  <c r="L182" i="11" s="1"/>
  <c r="L194" i="11" s="1"/>
  <c r="L206" i="11" s="1"/>
  <c r="L218" i="11" s="1"/>
  <c r="L230" i="11" s="1"/>
  <c r="L242" i="11" s="1"/>
  <c r="L254" i="11" s="1"/>
  <c r="L266" i="11" s="1"/>
  <c r="L278" i="11" s="1"/>
  <c r="L290" i="11" s="1"/>
  <c r="L302" i="11" s="1"/>
  <c r="L314" i="11" s="1"/>
  <c r="L326" i="11" s="1"/>
  <c r="L338" i="11" s="1"/>
  <c r="L350" i="11" s="1"/>
  <c r="L362" i="11" s="1"/>
  <c r="L374" i="11" s="1"/>
  <c r="L37" i="11"/>
  <c r="L49" i="11" s="1"/>
  <c r="L61" i="11" s="1"/>
  <c r="L73" i="11" s="1"/>
  <c r="L85" i="11" s="1"/>
  <c r="L97" i="11" s="1"/>
  <c r="L109" i="11" s="1"/>
  <c r="L121" i="11" s="1"/>
  <c r="L133" i="11" s="1"/>
  <c r="L145" i="11" s="1"/>
  <c r="L157" i="11" s="1"/>
  <c r="L169" i="11" s="1"/>
  <c r="L181" i="11" s="1"/>
  <c r="L193" i="11" s="1"/>
  <c r="L205" i="11" s="1"/>
  <c r="L217" i="11" s="1"/>
  <c r="L229" i="11" s="1"/>
  <c r="L241" i="11" s="1"/>
  <c r="L253" i="11" s="1"/>
  <c r="L265" i="11" s="1"/>
  <c r="L277" i="11" s="1"/>
  <c r="L289" i="11" s="1"/>
  <c r="L301" i="11" s="1"/>
  <c r="L313" i="11" s="1"/>
  <c r="L325" i="11" s="1"/>
  <c r="L337" i="11" s="1"/>
  <c r="L349" i="11" s="1"/>
  <c r="L361" i="11" s="1"/>
  <c r="L373" i="11" s="1"/>
  <c r="J26" i="1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113" i="11" s="1"/>
  <c r="J114" i="11" s="1"/>
  <c r="J115" i="11" s="1"/>
  <c r="J116" i="11" s="1"/>
  <c r="J117" i="11" s="1"/>
  <c r="J118" i="11" s="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J142" i="11" s="1"/>
  <c r="J143" i="11" s="1"/>
  <c r="J144" i="11" s="1"/>
  <c r="J145" i="11" s="1"/>
  <c r="J146" i="11" s="1"/>
  <c r="J147" i="11" s="1"/>
  <c r="J148" i="11" s="1"/>
  <c r="J149" i="11" s="1"/>
  <c r="J150" i="11" s="1"/>
  <c r="J151" i="11" s="1"/>
  <c r="J152" i="11" s="1"/>
  <c r="J153" i="11" s="1"/>
  <c r="J154" i="11" s="1"/>
  <c r="J155" i="11" s="1"/>
  <c r="J156" i="11" s="1"/>
  <c r="J157" i="11" s="1"/>
  <c r="J158" i="11" s="1"/>
  <c r="J159" i="11" s="1"/>
  <c r="J160" i="11" s="1"/>
  <c r="J161" i="11" s="1"/>
  <c r="J162" i="11" s="1"/>
  <c r="J163" i="11" s="1"/>
  <c r="J164" i="11" s="1"/>
  <c r="J165" i="11" s="1"/>
  <c r="J166" i="11" s="1"/>
  <c r="J167" i="11" s="1"/>
  <c r="J168" i="11" s="1"/>
  <c r="J169" i="11" s="1"/>
  <c r="J170" i="11" s="1"/>
  <c r="J171" i="11" s="1"/>
  <c r="J172" i="11" s="1"/>
  <c r="J173" i="11" s="1"/>
  <c r="J174" i="11" s="1"/>
  <c r="J175" i="11" s="1"/>
  <c r="J176" i="11" s="1"/>
  <c r="J177" i="11" s="1"/>
  <c r="J178" i="11" s="1"/>
  <c r="J179" i="11" s="1"/>
  <c r="J180" i="11" s="1"/>
  <c r="J181" i="11" s="1"/>
  <c r="J182" i="11" s="1"/>
  <c r="J183" i="11" s="1"/>
  <c r="J184" i="11" s="1"/>
  <c r="J185" i="11" s="1"/>
  <c r="J186" i="11" s="1"/>
  <c r="J187" i="11" s="1"/>
  <c r="J188" i="11" s="1"/>
  <c r="J189" i="11" s="1"/>
  <c r="J190" i="11" s="1"/>
  <c r="J191" i="11" s="1"/>
  <c r="J192" i="11" s="1"/>
  <c r="J193" i="11" s="1"/>
  <c r="J194" i="11" s="1"/>
  <c r="J195" i="11" s="1"/>
  <c r="J196" i="11" s="1"/>
  <c r="J197" i="11" s="1"/>
  <c r="J198" i="11" s="1"/>
  <c r="J199" i="11" s="1"/>
  <c r="J200" i="11" s="1"/>
  <c r="J201" i="11" s="1"/>
  <c r="J202" i="11" s="1"/>
  <c r="J203" i="11" s="1"/>
  <c r="J204" i="11" s="1"/>
  <c r="J205" i="11" s="1"/>
  <c r="J206" i="11" s="1"/>
  <c r="J207" i="11" s="1"/>
  <c r="J208" i="11" s="1"/>
  <c r="J209" i="11" s="1"/>
  <c r="J210" i="11" s="1"/>
  <c r="J211" i="11" s="1"/>
  <c r="J212" i="11" s="1"/>
  <c r="J213" i="11" s="1"/>
  <c r="J214" i="11" s="1"/>
  <c r="J215" i="11" s="1"/>
  <c r="J216" i="11" s="1"/>
  <c r="J217" i="11" s="1"/>
  <c r="J218" i="11" s="1"/>
  <c r="J219" i="11" s="1"/>
  <c r="J220" i="11" s="1"/>
  <c r="J221" i="11" s="1"/>
  <c r="J222" i="11" s="1"/>
  <c r="J223" i="11" s="1"/>
  <c r="J224" i="11" s="1"/>
  <c r="J225" i="11" s="1"/>
  <c r="J226" i="11" s="1"/>
  <c r="J227" i="11" s="1"/>
  <c r="J228" i="11" s="1"/>
  <c r="J229" i="11" s="1"/>
  <c r="J230" i="11" s="1"/>
  <c r="J231" i="11" s="1"/>
  <c r="J232" i="11" s="1"/>
  <c r="J233" i="11" s="1"/>
  <c r="J234" i="11" s="1"/>
  <c r="J235" i="11" s="1"/>
  <c r="J236" i="11" s="1"/>
  <c r="J237" i="11" s="1"/>
  <c r="J238" i="11" s="1"/>
  <c r="J239" i="11" s="1"/>
  <c r="J240" i="11" s="1"/>
  <c r="J241" i="11" s="1"/>
  <c r="J242" i="11" s="1"/>
  <c r="J243" i="11" s="1"/>
  <c r="J244" i="11" s="1"/>
  <c r="J245" i="11" s="1"/>
  <c r="J246" i="11" s="1"/>
  <c r="J247" i="11" s="1"/>
  <c r="J248" i="11" s="1"/>
  <c r="J249" i="11" s="1"/>
  <c r="J250" i="11" s="1"/>
  <c r="J251" i="11" s="1"/>
  <c r="J252" i="11" s="1"/>
  <c r="J253" i="11" s="1"/>
  <c r="J254" i="11" s="1"/>
  <c r="J255" i="11" s="1"/>
  <c r="J256" i="11" s="1"/>
  <c r="J257" i="11" s="1"/>
  <c r="J258" i="11" s="1"/>
  <c r="J259" i="11" s="1"/>
  <c r="J260" i="11" s="1"/>
  <c r="J261" i="11" s="1"/>
  <c r="J262" i="11" s="1"/>
  <c r="J263" i="11" s="1"/>
  <c r="J264" i="11" s="1"/>
  <c r="J265" i="11" s="1"/>
  <c r="J266" i="11" s="1"/>
  <c r="J267" i="11" s="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289" i="11" s="1"/>
  <c r="J290" i="11" s="1"/>
  <c r="J291" i="11" s="1"/>
  <c r="J292" i="11" s="1"/>
  <c r="J293" i="11" s="1"/>
  <c r="J294" i="11" s="1"/>
  <c r="J295" i="11" s="1"/>
  <c r="J296" i="11" s="1"/>
  <c r="J297" i="11" s="1"/>
  <c r="J298" i="11" s="1"/>
  <c r="J299" i="11" s="1"/>
  <c r="J300" i="11" s="1"/>
  <c r="J301" i="11" s="1"/>
  <c r="J302" i="11" s="1"/>
  <c r="J303" i="11" s="1"/>
  <c r="J304" i="11" s="1"/>
  <c r="J305" i="11" s="1"/>
  <c r="J306" i="11" s="1"/>
  <c r="J307" i="11" s="1"/>
  <c r="J308" i="11" s="1"/>
  <c r="J309" i="11" s="1"/>
  <c r="J310" i="11" s="1"/>
  <c r="J311" i="11" s="1"/>
  <c r="J312" i="11" s="1"/>
  <c r="J313" i="11" s="1"/>
  <c r="J314" i="11" s="1"/>
  <c r="J315" i="11" s="1"/>
  <c r="J316" i="11" s="1"/>
  <c r="J317" i="11" s="1"/>
  <c r="J318" i="11" s="1"/>
  <c r="J319" i="11" s="1"/>
  <c r="J320" i="11" s="1"/>
  <c r="J321" i="11" s="1"/>
  <c r="J322" i="11" s="1"/>
  <c r="J323" i="11" s="1"/>
  <c r="J324" i="11" s="1"/>
  <c r="J325" i="11" s="1"/>
  <c r="J326" i="11" s="1"/>
  <c r="J327" i="11" s="1"/>
  <c r="J328" i="11" s="1"/>
  <c r="J329" i="11" s="1"/>
  <c r="J330" i="11" s="1"/>
  <c r="J331" i="11" s="1"/>
  <c r="J332" i="11" s="1"/>
  <c r="J333" i="11" s="1"/>
  <c r="J334" i="11" s="1"/>
  <c r="J335" i="11" s="1"/>
  <c r="J336" i="11" s="1"/>
  <c r="J337" i="11" s="1"/>
  <c r="J338" i="11" s="1"/>
  <c r="J339" i="11" s="1"/>
  <c r="J340" i="11" s="1"/>
  <c r="J341" i="11" s="1"/>
  <c r="J342" i="11" s="1"/>
  <c r="J343" i="11" s="1"/>
  <c r="J344" i="11" s="1"/>
  <c r="J345" i="11" s="1"/>
  <c r="J346" i="11" s="1"/>
  <c r="J347" i="11" s="1"/>
  <c r="J348" i="11" s="1"/>
  <c r="J349" i="11" s="1"/>
  <c r="J350" i="11" s="1"/>
  <c r="J351" i="11" s="1"/>
  <c r="J352" i="11" s="1"/>
  <c r="J353" i="11" s="1"/>
  <c r="J354" i="11" s="1"/>
  <c r="J355" i="11" s="1"/>
  <c r="J356" i="11" s="1"/>
  <c r="J357" i="11" s="1"/>
  <c r="J358" i="11" s="1"/>
  <c r="J359" i="11" s="1"/>
  <c r="J360" i="11" s="1"/>
  <c r="J361" i="11" s="1"/>
  <c r="J362" i="11" s="1"/>
  <c r="J363" i="11" s="1"/>
  <c r="J364" i="11" s="1"/>
  <c r="J365" i="11" s="1"/>
  <c r="J366" i="11" s="1"/>
  <c r="J367" i="11" s="1"/>
  <c r="J368" i="11" s="1"/>
  <c r="J369" i="11" s="1"/>
  <c r="J370" i="11" s="1"/>
  <c r="J371" i="11" s="1"/>
  <c r="J372" i="11" s="1"/>
  <c r="J373" i="11" s="1"/>
  <c r="J374" i="11" s="1"/>
  <c r="J375" i="11" s="1"/>
  <c r="J376" i="11" s="1"/>
  <c r="J377" i="11" s="1"/>
  <c r="J378" i="11" s="1"/>
  <c r="J379" i="11" s="1"/>
  <c r="J380" i="11" s="1"/>
  <c r="J381" i="11" s="1"/>
  <c r="J382" i="11" s="1"/>
  <c r="J383" i="11" s="1"/>
  <c r="J384" i="11" s="1"/>
  <c r="A48" i="11"/>
  <c r="A60" i="11" s="1"/>
  <c r="A72" i="11" s="1"/>
  <c r="A84" i="11" s="1"/>
  <c r="A96" i="11" s="1"/>
  <c r="A108" i="11" s="1"/>
  <c r="A120" i="11" s="1"/>
  <c r="A132" i="11" s="1"/>
  <c r="A144" i="11" s="1"/>
  <c r="A156" i="11" s="1"/>
  <c r="A168" i="11" s="1"/>
  <c r="A180" i="11" s="1"/>
  <c r="A192" i="11" s="1"/>
  <c r="A204" i="11" s="1"/>
  <c r="A216" i="11" s="1"/>
  <c r="A228" i="11" s="1"/>
  <c r="A240" i="11" s="1"/>
  <c r="A252" i="11" s="1"/>
  <c r="A264" i="11" s="1"/>
  <c r="A276" i="11" s="1"/>
  <c r="A288" i="11" s="1"/>
  <c r="A300" i="11" s="1"/>
  <c r="A312" i="11" s="1"/>
  <c r="A324" i="11" s="1"/>
  <c r="A336" i="11" s="1"/>
  <c r="A348" i="11" s="1"/>
  <c r="A360" i="11" s="1"/>
  <c r="A372" i="11" s="1"/>
  <c r="A384" i="11" s="1"/>
  <c r="A47" i="11"/>
  <c r="A59" i="11" s="1"/>
  <c r="A71" i="11" s="1"/>
  <c r="A83" i="11" s="1"/>
  <c r="A95" i="11" s="1"/>
  <c r="A107" i="11" s="1"/>
  <c r="A119" i="11" s="1"/>
  <c r="A131" i="11" s="1"/>
  <c r="A143" i="11" s="1"/>
  <c r="A155" i="11" s="1"/>
  <c r="A167" i="11" s="1"/>
  <c r="A179" i="11" s="1"/>
  <c r="A191" i="11" s="1"/>
  <c r="A203" i="11" s="1"/>
  <c r="A215" i="11" s="1"/>
  <c r="A227" i="11" s="1"/>
  <c r="A239" i="11" s="1"/>
  <c r="A251" i="11" s="1"/>
  <c r="A263" i="11" s="1"/>
  <c r="A275" i="11" s="1"/>
  <c r="A287" i="11" s="1"/>
  <c r="A299" i="11" s="1"/>
  <c r="A311" i="11" s="1"/>
  <c r="A323" i="11" s="1"/>
  <c r="A335" i="11" s="1"/>
  <c r="A347" i="11" s="1"/>
  <c r="A359" i="11" s="1"/>
  <c r="A371" i="11" s="1"/>
  <c r="A383" i="11" s="1"/>
  <c r="A46" i="11"/>
  <c r="A58" i="11" s="1"/>
  <c r="A70" i="11" s="1"/>
  <c r="A82" i="11" s="1"/>
  <c r="A94" i="11" s="1"/>
  <c r="A106" i="11" s="1"/>
  <c r="A118" i="11" s="1"/>
  <c r="A130" i="11" s="1"/>
  <c r="A142" i="11" s="1"/>
  <c r="A154" i="11" s="1"/>
  <c r="A166" i="11" s="1"/>
  <c r="A178" i="11" s="1"/>
  <c r="A190" i="11" s="1"/>
  <c r="A202" i="11" s="1"/>
  <c r="A214" i="11" s="1"/>
  <c r="A226" i="11" s="1"/>
  <c r="A238" i="11" s="1"/>
  <c r="A250" i="11" s="1"/>
  <c r="A262" i="11" s="1"/>
  <c r="A274" i="11" s="1"/>
  <c r="A286" i="11" s="1"/>
  <c r="A298" i="11" s="1"/>
  <c r="A310" i="11" s="1"/>
  <c r="A322" i="11" s="1"/>
  <c r="A334" i="11" s="1"/>
  <c r="A346" i="11" s="1"/>
  <c r="A358" i="11" s="1"/>
  <c r="A370" i="11" s="1"/>
  <c r="A382" i="11" s="1"/>
  <c r="A45" i="11"/>
  <c r="A57" i="11" s="1"/>
  <c r="A69" i="11" s="1"/>
  <c r="A81" i="11" s="1"/>
  <c r="A93" i="11" s="1"/>
  <c r="A105" i="11" s="1"/>
  <c r="A117" i="11" s="1"/>
  <c r="A129" i="11" s="1"/>
  <c r="A141" i="11" s="1"/>
  <c r="A153" i="11" s="1"/>
  <c r="A165" i="11" s="1"/>
  <c r="A177" i="11" s="1"/>
  <c r="A189" i="11" s="1"/>
  <c r="A201" i="11" s="1"/>
  <c r="A213" i="11" s="1"/>
  <c r="A225" i="11" s="1"/>
  <c r="A237" i="11" s="1"/>
  <c r="A249" i="11" s="1"/>
  <c r="A261" i="11" s="1"/>
  <c r="A273" i="11" s="1"/>
  <c r="A285" i="11" s="1"/>
  <c r="A297" i="11" s="1"/>
  <c r="A309" i="11" s="1"/>
  <c r="A321" i="11" s="1"/>
  <c r="A333" i="11" s="1"/>
  <c r="A345" i="11" s="1"/>
  <c r="A357" i="11" s="1"/>
  <c r="A369" i="11" s="1"/>
  <c r="A381" i="11" s="1"/>
  <c r="A44" i="11"/>
  <c r="A56" i="11" s="1"/>
  <c r="A68" i="11" s="1"/>
  <c r="A80" i="11" s="1"/>
  <c r="A92" i="11" s="1"/>
  <c r="A104" i="11" s="1"/>
  <c r="A116" i="11" s="1"/>
  <c r="A128" i="11" s="1"/>
  <c r="A140" i="11" s="1"/>
  <c r="A152" i="11" s="1"/>
  <c r="A164" i="11" s="1"/>
  <c r="A176" i="11" s="1"/>
  <c r="A188" i="11" s="1"/>
  <c r="A200" i="11" s="1"/>
  <c r="A212" i="11" s="1"/>
  <c r="A224" i="11" s="1"/>
  <c r="A236" i="11" s="1"/>
  <c r="A248" i="11" s="1"/>
  <c r="A260" i="11" s="1"/>
  <c r="A272" i="11" s="1"/>
  <c r="A284" i="11" s="1"/>
  <c r="A296" i="11" s="1"/>
  <c r="A308" i="11" s="1"/>
  <c r="A320" i="11" s="1"/>
  <c r="A332" i="11" s="1"/>
  <c r="A344" i="11" s="1"/>
  <c r="A356" i="11" s="1"/>
  <c r="A368" i="11" s="1"/>
  <c r="A380" i="11" s="1"/>
  <c r="A43" i="11"/>
  <c r="A55" i="11" s="1"/>
  <c r="A67" i="11" s="1"/>
  <c r="A79" i="11" s="1"/>
  <c r="A91" i="11" s="1"/>
  <c r="A103" i="11" s="1"/>
  <c r="A115" i="11" s="1"/>
  <c r="A127" i="11" s="1"/>
  <c r="A139" i="11" s="1"/>
  <c r="A151" i="11" s="1"/>
  <c r="A163" i="11" s="1"/>
  <c r="A175" i="11" s="1"/>
  <c r="A187" i="11" s="1"/>
  <c r="A199" i="11" s="1"/>
  <c r="A211" i="11" s="1"/>
  <c r="A223" i="11" s="1"/>
  <c r="A235" i="11" s="1"/>
  <c r="A247" i="11" s="1"/>
  <c r="A259" i="11" s="1"/>
  <c r="A271" i="11" s="1"/>
  <c r="A283" i="11" s="1"/>
  <c r="A295" i="11" s="1"/>
  <c r="A307" i="11" s="1"/>
  <c r="A319" i="11" s="1"/>
  <c r="A331" i="11" s="1"/>
  <c r="A343" i="11" s="1"/>
  <c r="A355" i="11" s="1"/>
  <c r="A367" i="11" s="1"/>
  <c r="A379" i="11" s="1"/>
  <c r="A42" i="11"/>
  <c r="A54" i="11" s="1"/>
  <c r="A66" i="11" s="1"/>
  <c r="A78" i="11" s="1"/>
  <c r="A90" i="11" s="1"/>
  <c r="A102" i="11" s="1"/>
  <c r="A114" i="11" s="1"/>
  <c r="A126" i="11" s="1"/>
  <c r="A138" i="11" s="1"/>
  <c r="A150" i="11" s="1"/>
  <c r="A162" i="11" s="1"/>
  <c r="A174" i="11" s="1"/>
  <c r="A186" i="11" s="1"/>
  <c r="A198" i="11" s="1"/>
  <c r="A210" i="11" s="1"/>
  <c r="A222" i="11" s="1"/>
  <c r="A234" i="11" s="1"/>
  <c r="A246" i="11" s="1"/>
  <c r="A258" i="11" s="1"/>
  <c r="A270" i="11" s="1"/>
  <c r="A282" i="11" s="1"/>
  <c r="A294" i="11" s="1"/>
  <c r="A306" i="11" s="1"/>
  <c r="A318" i="11" s="1"/>
  <c r="A330" i="11" s="1"/>
  <c r="A342" i="11" s="1"/>
  <c r="A354" i="11" s="1"/>
  <c r="A366" i="11" s="1"/>
  <c r="A378" i="11" s="1"/>
  <c r="A41" i="11"/>
  <c r="A53" i="11" s="1"/>
  <c r="A65" i="11" s="1"/>
  <c r="A77" i="11" s="1"/>
  <c r="A89" i="11" s="1"/>
  <c r="A101" i="11" s="1"/>
  <c r="A113" i="11" s="1"/>
  <c r="A125" i="11" s="1"/>
  <c r="A137" i="11" s="1"/>
  <c r="A149" i="11" s="1"/>
  <c r="A161" i="11" s="1"/>
  <c r="A173" i="11" s="1"/>
  <c r="A185" i="11" s="1"/>
  <c r="A197" i="11" s="1"/>
  <c r="A209" i="11" s="1"/>
  <c r="A221" i="11" s="1"/>
  <c r="A233" i="11" s="1"/>
  <c r="A245" i="11" s="1"/>
  <c r="A257" i="11" s="1"/>
  <c r="A269" i="11" s="1"/>
  <c r="A281" i="11" s="1"/>
  <c r="A293" i="11" s="1"/>
  <c r="A305" i="11" s="1"/>
  <c r="A317" i="11" s="1"/>
  <c r="A329" i="11" s="1"/>
  <c r="A341" i="11" s="1"/>
  <c r="A353" i="11" s="1"/>
  <c r="A365" i="11" s="1"/>
  <c r="A377" i="11" s="1"/>
  <c r="A40" i="11"/>
  <c r="A52" i="11" s="1"/>
  <c r="A64" i="11" s="1"/>
  <c r="A76" i="11" s="1"/>
  <c r="A88" i="11" s="1"/>
  <c r="A100" i="11" s="1"/>
  <c r="A112" i="11" s="1"/>
  <c r="A124" i="11" s="1"/>
  <c r="A136" i="11" s="1"/>
  <c r="A148" i="11" s="1"/>
  <c r="A160" i="11" s="1"/>
  <c r="A172" i="11" s="1"/>
  <c r="A184" i="11" s="1"/>
  <c r="A196" i="11" s="1"/>
  <c r="A208" i="11" s="1"/>
  <c r="A220" i="11" s="1"/>
  <c r="A232" i="11" s="1"/>
  <c r="A244" i="11" s="1"/>
  <c r="A256" i="11" s="1"/>
  <c r="A268" i="11" s="1"/>
  <c r="A280" i="11" s="1"/>
  <c r="A292" i="11" s="1"/>
  <c r="A304" i="11" s="1"/>
  <c r="A316" i="11" s="1"/>
  <c r="A328" i="11" s="1"/>
  <c r="A340" i="11" s="1"/>
  <c r="A352" i="11" s="1"/>
  <c r="A364" i="11" s="1"/>
  <c r="A376" i="11" s="1"/>
  <c r="A39" i="11"/>
  <c r="A51" i="11" s="1"/>
  <c r="A63" i="11" s="1"/>
  <c r="A75" i="11" s="1"/>
  <c r="A87" i="11" s="1"/>
  <c r="A99" i="11" s="1"/>
  <c r="A111" i="11" s="1"/>
  <c r="A123" i="11" s="1"/>
  <c r="A135" i="11" s="1"/>
  <c r="A147" i="11" s="1"/>
  <c r="A159" i="11" s="1"/>
  <c r="A171" i="11" s="1"/>
  <c r="A183" i="11" s="1"/>
  <c r="A195" i="11" s="1"/>
  <c r="A207" i="11" s="1"/>
  <c r="A219" i="11" s="1"/>
  <c r="A231" i="11" s="1"/>
  <c r="A243" i="11" s="1"/>
  <c r="A255" i="11" s="1"/>
  <c r="A267" i="11" s="1"/>
  <c r="A279" i="11" s="1"/>
  <c r="A291" i="11" s="1"/>
  <c r="A303" i="11" s="1"/>
  <c r="A315" i="11" s="1"/>
  <c r="A327" i="11" s="1"/>
  <c r="A339" i="11" s="1"/>
  <c r="A351" i="11" s="1"/>
  <c r="A363" i="11" s="1"/>
  <c r="A375" i="11" s="1"/>
  <c r="A38" i="11"/>
  <c r="A50" i="11" s="1"/>
  <c r="A62" i="11" s="1"/>
  <c r="A74" i="11" s="1"/>
  <c r="A86" i="11" s="1"/>
  <c r="A98" i="11" s="1"/>
  <c r="A110" i="11" s="1"/>
  <c r="A122" i="11" s="1"/>
  <c r="A134" i="11" s="1"/>
  <c r="A146" i="11" s="1"/>
  <c r="A158" i="11" s="1"/>
  <c r="A170" i="11" s="1"/>
  <c r="A182" i="11" s="1"/>
  <c r="A194" i="11" s="1"/>
  <c r="A206" i="11" s="1"/>
  <c r="A218" i="11" s="1"/>
  <c r="A230" i="11" s="1"/>
  <c r="A242" i="11" s="1"/>
  <c r="A254" i="11" s="1"/>
  <c r="A266" i="11" s="1"/>
  <c r="A278" i="11" s="1"/>
  <c r="A290" i="11" s="1"/>
  <c r="A302" i="11" s="1"/>
  <c r="A314" i="11" s="1"/>
  <c r="A326" i="11" s="1"/>
  <c r="A338" i="11" s="1"/>
  <c r="A350" i="11" s="1"/>
  <c r="A362" i="11" s="1"/>
  <c r="A374" i="11" s="1"/>
  <c r="A37" i="11"/>
  <c r="A49" i="11" s="1"/>
  <c r="A61" i="11" s="1"/>
  <c r="A73" i="11" s="1"/>
  <c r="A85" i="11" s="1"/>
  <c r="A97" i="11" s="1"/>
  <c r="A109" i="11" s="1"/>
  <c r="A121" i="11" s="1"/>
  <c r="A133" i="11" s="1"/>
  <c r="A145" i="11" s="1"/>
  <c r="A157" i="11" s="1"/>
  <c r="A169" i="11" s="1"/>
  <c r="A181" i="11" s="1"/>
  <c r="A193" i="11" s="1"/>
  <c r="A205" i="11" s="1"/>
  <c r="A217" i="11" s="1"/>
  <c r="A229" i="11" s="1"/>
  <c r="A241" i="11" s="1"/>
  <c r="A253" i="11" s="1"/>
  <c r="A265" i="11" s="1"/>
  <c r="A277" i="11" s="1"/>
  <c r="A289" i="11" s="1"/>
  <c r="A301" i="11" s="1"/>
  <c r="A313" i="11" s="1"/>
  <c r="A325" i="11" s="1"/>
  <c r="A337" i="11" s="1"/>
  <c r="A349" i="11" s="1"/>
  <c r="A361" i="11" s="1"/>
  <c r="A373" i="11" s="1"/>
  <c r="F48" i="11"/>
  <c r="F60" i="11" s="1"/>
  <c r="F72" i="11" s="1"/>
  <c r="F84" i="11" s="1"/>
  <c r="F96" i="11" s="1"/>
  <c r="F108" i="11" s="1"/>
  <c r="F120" i="11" s="1"/>
  <c r="F132" i="11" s="1"/>
  <c r="F144" i="11" s="1"/>
  <c r="F156" i="11" s="1"/>
  <c r="F168" i="11" s="1"/>
  <c r="F180" i="11" s="1"/>
  <c r="F192" i="11" s="1"/>
  <c r="F204" i="11" s="1"/>
  <c r="F216" i="11" s="1"/>
  <c r="F228" i="11" s="1"/>
  <c r="F240" i="11" s="1"/>
  <c r="F252" i="11" s="1"/>
  <c r="F264" i="11" s="1"/>
  <c r="F276" i="11" s="1"/>
  <c r="F288" i="11" s="1"/>
  <c r="F300" i="11" s="1"/>
  <c r="F312" i="11" s="1"/>
  <c r="F324" i="11" s="1"/>
  <c r="F336" i="11" s="1"/>
  <c r="F348" i="11" s="1"/>
  <c r="F360" i="11" s="1"/>
  <c r="F372" i="11" s="1"/>
  <c r="F384" i="11" s="1"/>
  <c r="E48" i="11"/>
  <c r="E60" i="11" s="1"/>
  <c r="E72" i="11" s="1"/>
  <c r="E84" i="11" s="1"/>
  <c r="E96" i="11" s="1"/>
  <c r="E108" i="11" s="1"/>
  <c r="E120" i="11" s="1"/>
  <c r="E132" i="11" s="1"/>
  <c r="E144" i="11" s="1"/>
  <c r="E156" i="11" s="1"/>
  <c r="E168" i="11" s="1"/>
  <c r="E180" i="11" s="1"/>
  <c r="E192" i="11" s="1"/>
  <c r="E204" i="11" s="1"/>
  <c r="E216" i="11" s="1"/>
  <c r="E228" i="11" s="1"/>
  <c r="E240" i="11" s="1"/>
  <c r="E252" i="11" s="1"/>
  <c r="E264" i="11" s="1"/>
  <c r="E276" i="11" s="1"/>
  <c r="E288" i="11" s="1"/>
  <c r="E300" i="11" s="1"/>
  <c r="E312" i="11" s="1"/>
  <c r="E324" i="11" s="1"/>
  <c r="E336" i="11" s="1"/>
  <c r="E348" i="11" s="1"/>
  <c r="E360" i="11" s="1"/>
  <c r="E372" i="11" s="1"/>
  <c r="E384" i="11" s="1"/>
  <c r="D48" i="11"/>
  <c r="D60" i="11" s="1"/>
  <c r="D72" i="11" s="1"/>
  <c r="D84" i="11" s="1"/>
  <c r="D96" i="11" s="1"/>
  <c r="D108" i="11" s="1"/>
  <c r="D120" i="11" s="1"/>
  <c r="D132" i="11" s="1"/>
  <c r="D144" i="11" s="1"/>
  <c r="D156" i="11" s="1"/>
  <c r="D168" i="11" s="1"/>
  <c r="D180" i="11" s="1"/>
  <c r="D192" i="11" s="1"/>
  <c r="D204" i="11" s="1"/>
  <c r="D216" i="11" s="1"/>
  <c r="D228" i="11" s="1"/>
  <c r="D240" i="11" s="1"/>
  <c r="D252" i="11" s="1"/>
  <c r="D264" i="11" s="1"/>
  <c r="D276" i="11" s="1"/>
  <c r="D288" i="11" s="1"/>
  <c r="D300" i="11" s="1"/>
  <c r="D312" i="11" s="1"/>
  <c r="D324" i="11" s="1"/>
  <c r="D336" i="11" s="1"/>
  <c r="D348" i="11" s="1"/>
  <c r="D360" i="11" s="1"/>
  <c r="D372" i="11" s="1"/>
  <c r="D384" i="11" s="1"/>
  <c r="C48" i="11"/>
  <c r="C60" i="11" s="1"/>
  <c r="C72" i="11" s="1"/>
  <c r="C84" i="11" s="1"/>
  <c r="C96" i="11" s="1"/>
  <c r="C108" i="11" s="1"/>
  <c r="C120" i="11" s="1"/>
  <c r="C132" i="11" s="1"/>
  <c r="C144" i="11" s="1"/>
  <c r="C156" i="11" s="1"/>
  <c r="C168" i="11" s="1"/>
  <c r="C180" i="11" s="1"/>
  <c r="C192" i="11" s="1"/>
  <c r="C204" i="11" s="1"/>
  <c r="C216" i="11" s="1"/>
  <c r="C228" i="11" s="1"/>
  <c r="C240" i="11" s="1"/>
  <c r="C252" i="11" s="1"/>
  <c r="C264" i="11" s="1"/>
  <c r="C276" i="11" s="1"/>
  <c r="C288" i="11" s="1"/>
  <c r="C300" i="11" s="1"/>
  <c r="C312" i="11" s="1"/>
  <c r="C324" i="11" s="1"/>
  <c r="C336" i="11" s="1"/>
  <c r="C348" i="11" s="1"/>
  <c r="C360" i="11" s="1"/>
  <c r="C372" i="11" s="1"/>
  <c r="C384" i="11" s="1"/>
  <c r="B48" i="11"/>
  <c r="B60" i="11" s="1"/>
  <c r="B72" i="11" s="1"/>
  <c r="B84" i="11" s="1"/>
  <c r="B96" i="11" s="1"/>
  <c r="B108" i="11" s="1"/>
  <c r="B120" i="11" s="1"/>
  <c r="F47" i="11"/>
  <c r="F59" i="11" s="1"/>
  <c r="F71" i="11" s="1"/>
  <c r="F83" i="11" s="1"/>
  <c r="F95" i="11" s="1"/>
  <c r="F107" i="11" s="1"/>
  <c r="F119" i="11" s="1"/>
  <c r="F131" i="11" s="1"/>
  <c r="F143" i="11" s="1"/>
  <c r="F155" i="11" s="1"/>
  <c r="F167" i="11" s="1"/>
  <c r="F179" i="11" s="1"/>
  <c r="F191" i="11" s="1"/>
  <c r="F203" i="11" s="1"/>
  <c r="F215" i="11" s="1"/>
  <c r="F227" i="11" s="1"/>
  <c r="F239" i="11" s="1"/>
  <c r="F251" i="11" s="1"/>
  <c r="F263" i="11" s="1"/>
  <c r="F275" i="11" s="1"/>
  <c r="F287" i="11" s="1"/>
  <c r="F299" i="11" s="1"/>
  <c r="F311" i="11" s="1"/>
  <c r="F323" i="11" s="1"/>
  <c r="F335" i="11" s="1"/>
  <c r="F347" i="11" s="1"/>
  <c r="F359" i="11" s="1"/>
  <c r="F371" i="11" s="1"/>
  <c r="F383" i="11" s="1"/>
  <c r="E47" i="11"/>
  <c r="E59" i="11" s="1"/>
  <c r="E71" i="11" s="1"/>
  <c r="E83" i="11" s="1"/>
  <c r="E95" i="11" s="1"/>
  <c r="E107" i="11" s="1"/>
  <c r="E119" i="11" s="1"/>
  <c r="E131" i="11" s="1"/>
  <c r="E143" i="11" s="1"/>
  <c r="E155" i="11" s="1"/>
  <c r="E167" i="11" s="1"/>
  <c r="E179" i="11" s="1"/>
  <c r="E191" i="11" s="1"/>
  <c r="E203" i="11" s="1"/>
  <c r="E215" i="11" s="1"/>
  <c r="E227" i="11" s="1"/>
  <c r="E239" i="11" s="1"/>
  <c r="E251" i="11" s="1"/>
  <c r="E263" i="11" s="1"/>
  <c r="E275" i="11" s="1"/>
  <c r="E287" i="11" s="1"/>
  <c r="E299" i="11" s="1"/>
  <c r="E311" i="11" s="1"/>
  <c r="E323" i="11" s="1"/>
  <c r="E335" i="11" s="1"/>
  <c r="E347" i="11" s="1"/>
  <c r="E359" i="11" s="1"/>
  <c r="E371" i="11" s="1"/>
  <c r="E383" i="11" s="1"/>
  <c r="D47" i="11"/>
  <c r="D59" i="11" s="1"/>
  <c r="D71" i="11" s="1"/>
  <c r="D83" i="11" s="1"/>
  <c r="D95" i="11" s="1"/>
  <c r="D107" i="11" s="1"/>
  <c r="D119" i="11" s="1"/>
  <c r="D131" i="11" s="1"/>
  <c r="D143" i="11" s="1"/>
  <c r="D155" i="11" s="1"/>
  <c r="D167" i="11" s="1"/>
  <c r="D179" i="11" s="1"/>
  <c r="D191" i="11" s="1"/>
  <c r="D203" i="11" s="1"/>
  <c r="D215" i="11" s="1"/>
  <c r="D227" i="11" s="1"/>
  <c r="D239" i="11" s="1"/>
  <c r="D251" i="11" s="1"/>
  <c r="D263" i="11" s="1"/>
  <c r="D275" i="11" s="1"/>
  <c r="D287" i="11" s="1"/>
  <c r="D299" i="11" s="1"/>
  <c r="D311" i="11" s="1"/>
  <c r="D323" i="11" s="1"/>
  <c r="D335" i="11" s="1"/>
  <c r="D347" i="11" s="1"/>
  <c r="D359" i="11" s="1"/>
  <c r="D371" i="11" s="1"/>
  <c r="D383" i="11" s="1"/>
  <c r="C47" i="11"/>
  <c r="C59" i="11" s="1"/>
  <c r="C71" i="11" s="1"/>
  <c r="C83" i="11" s="1"/>
  <c r="C95" i="11" s="1"/>
  <c r="C107" i="11" s="1"/>
  <c r="C119" i="11" s="1"/>
  <c r="C131" i="11" s="1"/>
  <c r="C143" i="11" s="1"/>
  <c r="C155" i="11" s="1"/>
  <c r="C167" i="11" s="1"/>
  <c r="C179" i="11" s="1"/>
  <c r="C191" i="11" s="1"/>
  <c r="C203" i="11" s="1"/>
  <c r="C215" i="11" s="1"/>
  <c r="C227" i="11" s="1"/>
  <c r="C239" i="11" s="1"/>
  <c r="C251" i="11" s="1"/>
  <c r="C263" i="11" s="1"/>
  <c r="C275" i="11" s="1"/>
  <c r="C287" i="11" s="1"/>
  <c r="C299" i="11" s="1"/>
  <c r="C311" i="11" s="1"/>
  <c r="C323" i="11" s="1"/>
  <c r="C335" i="11" s="1"/>
  <c r="C347" i="11" s="1"/>
  <c r="C359" i="11" s="1"/>
  <c r="C371" i="11" s="1"/>
  <c r="C383" i="11" s="1"/>
  <c r="B47" i="11"/>
  <c r="B59" i="11" s="1"/>
  <c r="B71" i="11" s="1"/>
  <c r="B83" i="11" s="1"/>
  <c r="B95" i="11" s="1"/>
  <c r="B107" i="11" s="1"/>
  <c r="B119" i="11" s="1"/>
  <c r="F46" i="11"/>
  <c r="F58" i="11" s="1"/>
  <c r="F70" i="11" s="1"/>
  <c r="F82" i="11" s="1"/>
  <c r="F94" i="11" s="1"/>
  <c r="F106" i="11" s="1"/>
  <c r="F118" i="11" s="1"/>
  <c r="F130" i="11" s="1"/>
  <c r="F142" i="11" s="1"/>
  <c r="F154" i="11" s="1"/>
  <c r="F166" i="11" s="1"/>
  <c r="F178" i="11" s="1"/>
  <c r="F190" i="11" s="1"/>
  <c r="F202" i="11" s="1"/>
  <c r="F214" i="11" s="1"/>
  <c r="F226" i="11" s="1"/>
  <c r="F238" i="11" s="1"/>
  <c r="F250" i="11" s="1"/>
  <c r="F262" i="11" s="1"/>
  <c r="F274" i="11" s="1"/>
  <c r="F286" i="11" s="1"/>
  <c r="F298" i="11" s="1"/>
  <c r="F310" i="11" s="1"/>
  <c r="F322" i="11" s="1"/>
  <c r="F334" i="11" s="1"/>
  <c r="F346" i="11" s="1"/>
  <c r="F358" i="11" s="1"/>
  <c r="F370" i="11" s="1"/>
  <c r="F382" i="11" s="1"/>
  <c r="E46" i="11"/>
  <c r="E58" i="11" s="1"/>
  <c r="E70" i="11" s="1"/>
  <c r="E82" i="11" s="1"/>
  <c r="E94" i="11" s="1"/>
  <c r="E106" i="11" s="1"/>
  <c r="E118" i="11" s="1"/>
  <c r="E130" i="11" s="1"/>
  <c r="E142" i="11" s="1"/>
  <c r="E154" i="11" s="1"/>
  <c r="E166" i="11" s="1"/>
  <c r="E178" i="11" s="1"/>
  <c r="E190" i="11" s="1"/>
  <c r="E202" i="11" s="1"/>
  <c r="E214" i="11" s="1"/>
  <c r="E226" i="11" s="1"/>
  <c r="E238" i="11" s="1"/>
  <c r="E250" i="11" s="1"/>
  <c r="E262" i="11" s="1"/>
  <c r="E274" i="11" s="1"/>
  <c r="E286" i="11" s="1"/>
  <c r="E298" i="11" s="1"/>
  <c r="E310" i="11" s="1"/>
  <c r="E322" i="11" s="1"/>
  <c r="E334" i="11" s="1"/>
  <c r="E346" i="11" s="1"/>
  <c r="E358" i="11" s="1"/>
  <c r="E370" i="11" s="1"/>
  <c r="E382" i="11" s="1"/>
  <c r="D46" i="11"/>
  <c r="D58" i="11" s="1"/>
  <c r="D70" i="11" s="1"/>
  <c r="D82" i="11" s="1"/>
  <c r="D94" i="11" s="1"/>
  <c r="D106" i="11" s="1"/>
  <c r="D118" i="11" s="1"/>
  <c r="D130" i="11" s="1"/>
  <c r="D142" i="11" s="1"/>
  <c r="D154" i="11" s="1"/>
  <c r="D166" i="11" s="1"/>
  <c r="D178" i="11" s="1"/>
  <c r="D190" i="11" s="1"/>
  <c r="D202" i="11" s="1"/>
  <c r="D214" i="11" s="1"/>
  <c r="D226" i="11" s="1"/>
  <c r="D238" i="11" s="1"/>
  <c r="D250" i="11" s="1"/>
  <c r="D262" i="11" s="1"/>
  <c r="D274" i="11" s="1"/>
  <c r="D286" i="11" s="1"/>
  <c r="D298" i="11" s="1"/>
  <c r="D310" i="11" s="1"/>
  <c r="D322" i="11" s="1"/>
  <c r="D334" i="11" s="1"/>
  <c r="D346" i="11" s="1"/>
  <c r="D358" i="11" s="1"/>
  <c r="D370" i="11" s="1"/>
  <c r="D382" i="11" s="1"/>
  <c r="C46" i="11"/>
  <c r="C58" i="11" s="1"/>
  <c r="C70" i="11" s="1"/>
  <c r="C82" i="11" s="1"/>
  <c r="C94" i="11" s="1"/>
  <c r="C106" i="11" s="1"/>
  <c r="C118" i="11" s="1"/>
  <c r="C130" i="11" s="1"/>
  <c r="C142" i="11" s="1"/>
  <c r="C154" i="11" s="1"/>
  <c r="C166" i="11" s="1"/>
  <c r="C178" i="11" s="1"/>
  <c r="C190" i="11" s="1"/>
  <c r="C202" i="11" s="1"/>
  <c r="C214" i="11" s="1"/>
  <c r="C226" i="11" s="1"/>
  <c r="C238" i="11" s="1"/>
  <c r="C250" i="11" s="1"/>
  <c r="C262" i="11" s="1"/>
  <c r="C274" i="11" s="1"/>
  <c r="C286" i="11" s="1"/>
  <c r="C298" i="11" s="1"/>
  <c r="C310" i="11" s="1"/>
  <c r="C322" i="11" s="1"/>
  <c r="C334" i="11" s="1"/>
  <c r="C346" i="11" s="1"/>
  <c r="C358" i="11" s="1"/>
  <c r="C370" i="11" s="1"/>
  <c r="C382" i="11" s="1"/>
  <c r="B46" i="11"/>
  <c r="B58" i="11" s="1"/>
  <c r="B70" i="11" s="1"/>
  <c r="B82" i="11" s="1"/>
  <c r="B94" i="11" s="1"/>
  <c r="B106" i="11" s="1"/>
  <c r="B118" i="11" s="1"/>
  <c r="F45" i="11"/>
  <c r="F57" i="11" s="1"/>
  <c r="F69" i="11" s="1"/>
  <c r="F81" i="11" s="1"/>
  <c r="F93" i="11" s="1"/>
  <c r="F105" i="11" s="1"/>
  <c r="F117" i="11" s="1"/>
  <c r="F129" i="11" s="1"/>
  <c r="F141" i="11" s="1"/>
  <c r="F153" i="11" s="1"/>
  <c r="F165" i="11" s="1"/>
  <c r="F177" i="11" s="1"/>
  <c r="F189" i="11" s="1"/>
  <c r="F201" i="11" s="1"/>
  <c r="F213" i="11" s="1"/>
  <c r="F225" i="11" s="1"/>
  <c r="F237" i="11" s="1"/>
  <c r="F249" i="11" s="1"/>
  <c r="F261" i="11" s="1"/>
  <c r="F273" i="11" s="1"/>
  <c r="F285" i="11" s="1"/>
  <c r="F297" i="11" s="1"/>
  <c r="F309" i="11" s="1"/>
  <c r="F321" i="11" s="1"/>
  <c r="F333" i="11" s="1"/>
  <c r="F345" i="11" s="1"/>
  <c r="F357" i="11" s="1"/>
  <c r="F369" i="11" s="1"/>
  <c r="F381" i="11" s="1"/>
  <c r="E45" i="11"/>
  <c r="E57" i="11" s="1"/>
  <c r="E69" i="11" s="1"/>
  <c r="E81" i="11" s="1"/>
  <c r="E93" i="11" s="1"/>
  <c r="E105" i="11" s="1"/>
  <c r="E117" i="11" s="1"/>
  <c r="E129" i="11" s="1"/>
  <c r="E141" i="11" s="1"/>
  <c r="E153" i="11" s="1"/>
  <c r="E165" i="11" s="1"/>
  <c r="E177" i="11" s="1"/>
  <c r="E189" i="11" s="1"/>
  <c r="E201" i="11" s="1"/>
  <c r="E213" i="11" s="1"/>
  <c r="E225" i="11" s="1"/>
  <c r="E237" i="11" s="1"/>
  <c r="E249" i="11" s="1"/>
  <c r="E261" i="11" s="1"/>
  <c r="E273" i="11" s="1"/>
  <c r="E285" i="11" s="1"/>
  <c r="E297" i="11" s="1"/>
  <c r="E309" i="11" s="1"/>
  <c r="E321" i="11" s="1"/>
  <c r="E333" i="11" s="1"/>
  <c r="E345" i="11" s="1"/>
  <c r="E357" i="11" s="1"/>
  <c r="E369" i="11" s="1"/>
  <c r="E381" i="11" s="1"/>
  <c r="D45" i="11"/>
  <c r="D57" i="11" s="1"/>
  <c r="D69" i="11" s="1"/>
  <c r="D81" i="11" s="1"/>
  <c r="D93" i="11" s="1"/>
  <c r="D105" i="11" s="1"/>
  <c r="D117" i="11" s="1"/>
  <c r="C45" i="11"/>
  <c r="C57" i="11" s="1"/>
  <c r="C69" i="11" s="1"/>
  <c r="C81" i="11" s="1"/>
  <c r="C93" i="11" s="1"/>
  <c r="C105" i="11" s="1"/>
  <c r="C117" i="11" s="1"/>
  <c r="C129" i="11" s="1"/>
  <c r="C141" i="11" s="1"/>
  <c r="C153" i="11" s="1"/>
  <c r="C165" i="11" s="1"/>
  <c r="C177" i="11" s="1"/>
  <c r="C189" i="11" s="1"/>
  <c r="C201" i="11" s="1"/>
  <c r="C213" i="11" s="1"/>
  <c r="C225" i="11" s="1"/>
  <c r="C237" i="11" s="1"/>
  <c r="C249" i="11" s="1"/>
  <c r="C261" i="11" s="1"/>
  <c r="C273" i="11" s="1"/>
  <c r="C285" i="11" s="1"/>
  <c r="C297" i="11" s="1"/>
  <c r="C309" i="11" s="1"/>
  <c r="C321" i="11" s="1"/>
  <c r="C333" i="11" s="1"/>
  <c r="C345" i="11" s="1"/>
  <c r="C357" i="11" s="1"/>
  <c r="C369" i="11" s="1"/>
  <c r="C381" i="11" s="1"/>
  <c r="B45" i="11"/>
  <c r="B57" i="11" s="1"/>
  <c r="B69" i="11" s="1"/>
  <c r="B81" i="11" s="1"/>
  <c r="B93" i="11" s="1"/>
  <c r="B105" i="11" s="1"/>
  <c r="B117" i="11" s="1"/>
  <c r="B129" i="11" s="1"/>
  <c r="F44" i="11"/>
  <c r="F56" i="11" s="1"/>
  <c r="F68" i="11" s="1"/>
  <c r="F80" i="11" s="1"/>
  <c r="F92" i="11" s="1"/>
  <c r="F104" i="11" s="1"/>
  <c r="F116" i="11" s="1"/>
  <c r="F128" i="11" s="1"/>
  <c r="F140" i="11" s="1"/>
  <c r="F152" i="11" s="1"/>
  <c r="F164" i="11" s="1"/>
  <c r="F176" i="11" s="1"/>
  <c r="F188" i="11" s="1"/>
  <c r="F200" i="11" s="1"/>
  <c r="F212" i="11" s="1"/>
  <c r="F224" i="11" s="1"/>
  <c r="F236" i="11" s="1"/>
  <c r="F248" i="11" s="1"/>
  <c r="F260" i="11" s="1"/>
  <c r="F272" i="11" s="1"/>
  <c r="F284" i="11" s="1"/>
  <c r="F296" i="11" s="1"/>
  <c r="F308" i="11" s="1"/>
  <c r="F320" i="11" s="1"/>
  <c r="F332" i="11" s="1"/>
  <c r="F344" i="11" s="1"/>
  <c r="F356" i="11" s="1"/>
  <c r="F368" i="11" s="1"/>
  <c r="F380" i="11" s="1"/>
  <c r="E44" i="11"/>
  <c r="E56" i="11" s="1"/>
  <c r="E68" i="11" s="1"/>
  <c r="E80" i="11" s="1"/>
  <c r="E92" i="11" s="1"/>
  <c r="E104" i="11" s="1"/>
  <c r="E116" i="11" s="1"/>
  <c r="E128" i="11" s="1"/>
  <c r="E140" i="11" s="1"/>
  <c r="E152" i="11" s="1"/>
  <c r="E164" i="11" s="1"/>
  <c r="E176" i="11" s="1"/>
  <c r="E188" i="11" s="1"/>
  <c r="E200" i="11" s="1"/>
  <c r="E212" i="11" s="1"/>
  <c r="E224" i="11" s="1"/>
  <c r="E236" i="11" s="1"/>
  <c r="E248" i="11" s="1"/>
  <c r="E260" i="11" s="1"/>
  <c r="E272" i="11" s="1"/>
  <c r="E284" i="11" s="1"/>
  <c r="E296" i="11" s="1"/>
  <c r="E308" i="11" s="1"/>
  <c r="E320" i="11" s="1"/>
  <c r="E332" i="11" s="1"/>
  <c r="E344" i="11" s="1"/>
  <c r="E356" i="11" s="1"/>
  <c r="E368" i="11" s="1"/>
  <c r="E380" i="11" s="1"/>
  <c r="D44" i="11"/>
  <c r="D56" i="11" s="1"/>
  <c r="D68" i="11" s="1"/>
  <c r="D80" i="11" s="1"/>
  <c r="D92" i="11" s="1"/>
  <c r="D104" i="11" s="1"/>
  <c r="D116" i="11" s="1"/>
  <c r="C44" i="11"/>
  <c r="C56" i="11" s="1"/>
  <c r="C68" i="11" s="1"/>
  <c r="C80" i="11" s="1"/>
  <c r="C92" i="11" s="1"/>
  <c r="C104" i="11" s="1"/>
  <c r="C116" i="11" s="1"/>
  <c r="C128" i="11" s="1"/>
  <c r="C140" i="11" s="1"/>
  <c r="C152" i="11" s="1"/>
  <c r="C164" i="11" s="1"/>
  <c r="C176" i="11" s="1"/>
  <c r="C188" i="11" s="1"/>
  <c r="C200" i="11" s="1"/>
  <c r="C212" i="11" s="1"/>
  <c r="C224" i="11" s="1"/>
  <c r="C236" i="11" s="1"/>
  <c r="C248" i="11" s="1"/>
  <c r="C260" i="11" s="1"/>
  <c r="C272" i="11" s="1"/>
  <c r="C284" i="11" s="1"/>
  <c r="C296" i="11" s="1"/>
  <c r="C308" i="11" s="1"/>
  <c r="C320" i="11" s="1"/>
  <c r="C332" i="11" s="1"/>
  <c r="C344" i="11" s="1"/>
  <c r="C356" i="11" s="1"/>
  <c r="C368" i="11" s="1"/>
  <c r="C380" i="11" s="1"/>
  <c r="B44" i="11"/>
  <c r="B56" i="11" s="1"/>
  <c r="B68" i="11" s="1"/>
  <c r="B80" i="11" s="1"/>
  <c r="B92" i="11" s="1"/>
  <c r="B104" i="11" s="1"/>
  <c r="B116" i="11" s="1"/>
  <c r="B128" i="11" s="1"/>
  <c r="F43" i="11"/>
  <c r="F55" i="11" s="1"/>
  <c r="F67" i="11" s="1"/>
  <c r="F79" i="11" s="1"/>
  <c r="F91" i="11" s="1"/>
  <c r="F103" i="11" s="1"/>
  <c r="F115" i="11" s="1"/>
  <c r="F127" i="11" s="1"/>
  <c r="F139" i="11" s="1"/>
  <c r="F151" i="11" s="1"/>
  <c r="F163" i="11" s="1"/>
  <c r="F175" i="11" s="1"/>
  <c r="F187" i="11" s="1"/>
  <c r="F199" i="11" s="1"/>
  <c r="F211" i="11" s="1"/>
  <c r="F223" i="11" s="1"/>
  <c r="F235" i="11" s="1"/>
  <c r="F247" i="11" s="1"/>
  <c r="F259" i="11" s="1"/>
  <c r="F271" i="11" s="1"/>
  <c r="F283" i="11" s="1"/>
  <c r="F295" i="11" s="1"/>
  <c r="F307" i="11" s="1"/>
  <c r="F319" i="11" s="1"/>
  <c r="F331" i="11" s="1"/>
  <c r="F343" i="11" s="1"/>
  <c r="F355" i="11" s="1"/>
  <c r="F367" i="11" s="1"/>
  <c r="F379" i="11" s="1"/>
  <c r="E43" i="11"/>
  <c r="E55" i="11" s="1"/>
  <c r="E67" i="11" s="1"/>
  <c r="E79" i="11" s="1"/>
  <c r="E91" i="11" s="1"/>
  <c r="E103" i="11" s="1"/>
  <c r="E115" i="11" s="1"/>
  <c r="E127" i="11" s="1"/>
  <c r="E139" i="11" s="1"/>
  <c r="E151" i="11" s="1"/>
  <c r="E163" i="11" s="1"/>
  <c r="E175" i="11" s="1"/>
  <c r="E187" i="11" s="1"/>
  <c r="E199" i="11" s="1"/>
  <c r="E211" i="11" s="1"/>
  <c r="E223" i="11" s="1"/>
  <c r="E235" i="11" s="1"/>
  <c r="E247" i="11" s="1"/>
  <c r="E259" i="11" s="1"/>
  <c r="E271" i="11" s="1"/>
  <c r="E283" i="11" s="1"/>
  <c r="E295" i="11" s="1"/>
  <c r="E307" i="11" s="1"/>
  <c r="E319" i="11" s="1"/>
  <c r="E331" i="11" s="1"/>
  <c r="E343" i="11" s="1"/>
  <c r="E355" i="11" s="1"/>
  <c r="E367" i="11" s="1"/>
  <c r="E379" i="11" s="1"/>
  <c r="D43" i="11"/>
  <c r="D55" i="11" s="1"/>
  <c r="D67" i="11" s="1"/>
  <c r="D79" i="11" s="1"/>
  <c r="D91" i="11" s="1"/>
  <c r="D103" i="11" s="1"/>
  <c r="D115" i="11" s="1"/>
  <c r="D127" i="11" s="1"/>
  <c r="D139" i="11" s="1"/>
  <c r="D151" i="11" s="1"/>
  <c r="D163" i="11" s="1"/>
  <c r="D175" i="11" s="1"/>
  <c r="D187" i="11" s="1"/>
  <c r="D199" i="11" s="1"/>
  <c r="D211" i="11" s="1"/>
  <c r="D223" i="11" s="1"/>
  <c r="D235" i="11" s="1"/>
  <c r="D247" i="11" s="1"/>
  <c r="D259" i="11" s="1"/>
  <c r="D271" i="11" s="1"/>
  <c r="D283" i="11" s="1"/>
  <c r="D295" i="11" s="1"/>
  <c r="D307" i="11" s="1"/>
  <c r="D319" i="11" s="1"/>
  <c r="D331" i="11" s="1"/>
  <c r="D343" i="11" s="1"/>
  <c r="D355" i="11" s="1"/>
  <c r="D367" i="11" s="1"/>
  <c r="D379" i="11" s="1"/>
  <c r="C43" i="11"/>
  <c r="C55" i="11" s="1"/>
  <c r="C67" i="11" s="1"/>
  <c r="C79" i="11" s="1"/>
  <c r="C91" i="11" s="1"/>
  <c r="C103" i="11" s="1"/>
  <c r="C115" i="11" s="1"/>
  <c r="C127" i="11" s="1"/>
  <c r="C139" i="11" s="1"/>
  <c r="C151" i="11" s="1"/>
  <c r="C163" i="11" s="1"/>
  <c r="C175" i="11" s="1"/>
  <c r="C187" i="11" s="1"/>
  <c r="C199" i="11" s="1"/>
  <c r="C211" i="11" s="1"/>
  <c r="C223" i="11" s="1"/>
  <c r="C235" i="11" s="1"/>
  <c r="C247" i="11" s="1"/>
  <c r="C259" i="11" s="1"/>
  <c r="C271" i="11" s="1"/>
  <c r="C283" i="11" s="1"/>
  <c r="C295" i="11" s="1"/>
  <c r="C307" i="11" s="1"/>
  <c r="C319" i="11" s="1"/>
  <c r="C331" i="11" s="1"/>
  <c r="C343" i="11" s="1"/>
  <c r="C355" i="11" s="1"/>
  <c r="C367" i="11" s="1"/>
  <c r="C379" i="11" s="1"/>
  <c r="B43" i="11"/>
  <c r="B55" i="11" s="1"/>
  <c r="B67" i="11" s="1"/>
  <c r="B79" i="11" s="1"/>
  <c r="B91" i="11" s="1"/>
  <c r="B103" i="11" s="1"/>
  <c r="B115" i="11" s="1"/>
  <c r="F42" i="11"/>
  <c r="F54" i="11" s="1"/>
  <c r="F66" i="11" s="1"/>
  <c r="F78" i="11" s="1"/>
  <c r="F90" i="11" s="1"/>
  <c r="F102" i="11" s="1"/>
  <c r="F114" i="11" s="1"/>
  <c r="F126" i="11" s="1"/>
  <c r="F138" i="11" s="1"/>
  <c r="F150" i="11" s="1"/>
  <c r="F162" i="11" s="1"/>
  <c r="F174" i="11" s="1"/>
  <c r="F186" i="11" s="1"/>
  <c r="F198" i="11" s="1"/>
  <c r="F210" i="11" s="1"/>
  <c r="F222" i="11" s="1"/>
  <c r="F234" i="11" s="1"/>
  <c r="F246" i="11" s="1"/>
  <c r="F258" i="11" s="1"/>
  <c r="F270" i="11" s="1"/>
  <c r="F282" i="11" s="1"/>
  <c r="F294" i="11" s="1"/>
  <c r="F306" i="11" s="1"/>
  <c r="F318" i="11" s="1"/>
  <c r="F330" i="11" s="1"/>
  <c r="F342" i="11" s="1"/>
  <c r="F354" i="11" s="1"/>
  <c r="F366" i="11" s="1"/>
  <c r="F378" i="11" s="1"/>
  <c r="E42" i="11"/>
  <c r="E54" i="11" s="1"/>
  <c r="E66" i="11" s="1"/>
  <c r="E78" i="11" s="1"/>
  <c r="E90" i="11" s="1"/>
  <c r="E102" i="11" s="1"/>
  <c r="E114" i="11" s="1"/>
  <c r="E126" i="11" s="1"/>
  <c r="E138" i="11" s="1"/>
  <c r="E150" i="11" s="1"/>
  <c r="E162" i="11" s="1"/>
  <c r="E174" i="11" s="1"/>
  <c r="E186" i="11" s="1"/>
  <c r="E198" i="11" s="1"/>
  <c r="E210" i="11" s="1"/>
  <c r="E222" i="11" s="1"/>
  <c r="E234" i="11" s="1"/>
  <c r="E246" i="11" s="1"/>
  <c r="E258" i="11" s="1"/>
  <c r="E270" i="11" s="1"/>
  <c r="E282" i="11" s="1"/>
  <c r="E294" i="11" s="1"/>
  <c r="E306" i="11" s="1"/>
  <c r="E318" i="11" s="1"/>
  <c r="E330" i="11" s="1"/>
  <c r="E342" i="11" s="1"/>
  <c r="E354" i="11" s="1"/>
  <c r="E366" i="11" s="1"/>
  <c r="E378" i="11" s="1"/>
  <c r="D42" i="11"/>
  <c r="D54" i="11" s="1"/>
  <c r="D66" i="11" s="1"/>
  <c r="D78" i="11" s="1"/>
  <c r="D90" i="11" s="1"/>
  <c r="D102" i="11" s="1"/>
  <c r="D114" i="11" s="1"/>
  <c r="D126" i="11" s="1"/>
  <c r="D138" i="11" s="1"/>
  <c r="D150" i="11" s="1"/>
  <c r="D162" i="11" s="1"/>
  <c r="D174" i="11" s="1"/>
  <c r="D186" i="11" s="1"/>
  <c r="D198" i="11" s="1"/>
  <c r="D210" i="11" s="1"/>
  <c r="D222" i="11" s="1"/>
  <c r="D234" i="11" s="1"/>
  <c r="D246" i="11" s="1"/>
  <c r="D258" i="11" s="1"/>
  <c r="D270" i="11" s="1"/>
  <c r="D282" i="11" s="1"/>
  <c r="D294" i="11" s="1"/>
  <c r="D306" i="11" s="1"/>
  <c r="D318" i="11" s="1"/>
  <c r="D330" i="11" s="1"/>
  <c r="D342" i="11" s="1"/>
  <c r="D354" i="11" s="1"/>
  <c r="D366" i="11" s="1"/>
  <c r="D378" i="11" s="1"/>
  <c r="C42" i="11"/>
  <c r="C54" i="11" s="1"/>
  <c r="C66" i="11" s="1"/>
  <c r="C78" i="11" s="1"/>
  <c r="C90" i="11" s="1"/>
  <c r="C102" i="11" s="1"/>
  <c r="C114" i="11" s="1"/>
  <c r="C126" i="11" s="1"/>
  <c r="C138" i="11" s="1"/>
  <c r="C150" i="11" s="1"/>
  <c r="C162" i="11" s="1"/>
  <c r="C174" i="11" s="1"/>
  <c r="C186" i="11" s="1"/>
  <c r="C198" i="11" s="1"/>
  <c r="C210" i="11" s="1"/>
  <c r="C222" i="11" s="1"/>
  <c r="C234" i="11" s="1"/>
  <c r="C246" i="11" s="1"/>
  <c r="C258" i="11" s="1"/>
  <c r="C270" i="11" s="1"/>
  <c r="C282" i="11" s="1"/>
  <c r="C294" i="11" s="1"/>
  <c r="C306" i="11" s="1"/>
  <c r="C318" i="11" s="1"/>
  <c r="C330" i="11" s="1"/>
  <c r="C342" i="11" s="1"/>
  <c r="C354" i="11" s="1"/>
  <c r="C366" i="11" s="1"/>
  <c r="C378" i="11" s="1"/>
  <c r="B42" i="11"/>
  <c r="B54" i="11" s="1"/>
  <c r="B66" i="11" s="1"/>
  <c r="B78" i="11" s="1"/>
  <c r="B90" i="11" s="1"/>
  <c r="B102" i="11" s="1"/>
  <c r="B114" i="11" s="1"/>
  <c r="B126" i="11" s="1"/>
  <c r="F41" i="11"/>
  <c r="F53" i="11" s="1"/>
  <c r="F65" i="11" s="1"/>
  <c r="F77" i="11" s="1"/>
  <c r="F89" i="11" s="1"/>
  <c r="F101" i="11" s="1"/>
  <c r="F113" i="11" s="1"/>
  <c r="F125" i="11" s="1"/>
  <c r="F137" i="11" s="1"/>
  <c r="F149" i="11" s="1"/>
  <c r="F161" i="11" s="1"/>
  <c r="F173" i="11" s="1"/>
  <c r="F185" i="11" s="1"/>
  <c r="F197" i="11" s="1"/>
  <c r="F209" i="11" s="1"/>
  <c r="F221" i="11" s="1"/>
  <c r="F233" i="11" s="1"/>
  <c r="F245" i="11" s="1"/>
  <c r="F257" i="11" s="1"/>
  <c r="F269" i="11" s="1"/>
  <c r="F281" i="11" s="1"/>
  <c r="F293" i="11" s="1"/>
  <c r="F305" i="11" s="1"/>
  <c r="F317" i="11" s="1"/>
  <c r="F329" i="11" s="1"/>
  <c r="F341" i="11" s="1"/>
  <c r="F353" i="11" s="1"/>
  <c r="F365" i="11" s="1"/>
  <c r="F377" i="11" s="1"/>
  <c r="E41" i="11"/>
  <c r="E53" i="11" s="1"/>
  <c r="E65" i="11" s="1"/>
  <c r="E77" i="11" s="1"/>
  <c r="E89" i="11" s="1"/>
  <c r="E101" i="11" s="1"/>
  <c r="E113" i="11" s="1"/>
  <c r="E125" i="11" s="1"/>
  <c r="E137" i="11" s="1"/>
  <c r="E149" i="11" s="1"/>
  <c r="E161" i="11" s="1"/>
  <c r="E173" i="11" s="1"/>
  <c r="E185" i="11" s="1"/>
  <c r="E197" i="11" s="1"/>
  <c r="E209" i="11" s="1"/>
  <c r="E221" i="11" s="1"/>
  <c r="E233" i="11" s="1"/>
  <c r="E245" i="11" s="1"/>
  <c r="E257" i="11" s="1"/>
  <c r="E269" i="11" s="1"/>
  <c r="E281" i="11" s="1"/>
  <c r="E293" i="11" s="1"/>
  <c r="E305" i="11" s="1"/>
  <c r="E317" i="11" s="1"/>
  <c r="E329" i="11" s="1"/>
  <c r="E341" i="11" s="1"/>
  <c r="E353" i="11" s="1"/>
  <c r="E365" i="11" s="1"/>
  <c r="E377" i="11" s="1"/>
  <c r="D41" i="11"/>
  <c r="D53" i="11" s="1"/>
  <c r="D65" i="11" s="1"/>
  <c r="D77" i="11" s="1"/>
  <c r="D89" i="11" s="1"/>
  <c r="D101" i="11" s="1"/>
  <c r="D113" i="11" s="1"/>
  <c r="D125" i="11" s="1"/>
  <c r="D137" i="11" s="1"/>
  <c r="D149" i="11" s="1"/>
  <c r="D161" i="11" s="1"/>
  <c r="D173" i="11" s="1"/>
  <c r="D185" i="11" s="1"/>
  <c r="D197" i="11" s="1"/>
  <c r="D209" i="11" s="1"/>
  <c r="D221" i="11" s="1"/>
  <c r="D233" i="11" s="1"/>
  <c r="D245" i="11" s="1"/>
  <c r="D257" i="11" s="1"/>
  <c r="D269" i="11" s="1"/>
  <c r="D281" i="11" s="1"/>
  <c r="D293" i="11" s="1"/>
  <c r="D305" i="11" s="1"/>
  <c r="D317" i="11" s="1"/>
  <c r="D329" i="11" s="1"/>
  <c r="D341" i="11" s="1"/>
  <c r="D353" i="11" s="1"/>
  <c r="D365" i="11" s="1"/>
  <c r="D377" i="11" s="1"/>
  <c r="C41" i="11"/>
  <c r="C53" i="11" s="1"/>
  <c r="C65" i="11" s="1"/>
  <c r="C77" i="11" s="1"/>
  <c r="C89" i="11" s="1"/>
  <c r="C101" i="11" s="1"/>
  <c r="C113" i="11" s="1"/>
  <c r="C125" i="11" s="1"/>
  <c r="C137" i="11" s="1"/>
  <c r="C149" i="11" s="1"/>
  <c r="C161" i="11" s="1"/>
  <c r="C173" i="11" s="1"/>
  <c r="C185" i="11" s="1"/>
  <c r="C197" i="11" s="1"/>
  <c r="C209" i="11" s="1"/>
  <c r="C221" i="11" s="1"/>
  <c r="C233" i="11" s="1"/>
  <c r="C245" i="11" s="1"/>
  <c r="C257" i="11" s="1"/>
  <c r="C269" i="11" s="1"/>
  <c r="C281" i="11" s="1"/>
  <c r="C293" i="11" s="1"/>
  <c r="C305" i="11" s="1"/>
  <c r="C317" i="11" s="1"/>
  <c r="C329" i="11" s="1"/>
  <c r="C341" i="11" s="1"/>
  <c r="C353" i="11" s="1"/>
  <c r="C365" i="11" s="1"/>
  <c r="C377" i="11" s="1"/>
  <c r="B41" i="11"/>
  <c r="B53" i="11" s="1"/>
  <c r="B65" i="11" s="1"/>
  <c r="B77" i="11" s="1"/>
  <c r="B89" i="11" s="1"/>
  <c r="B101" i="11" s="1"/>
  <c r="B113" i="11" s="1"/>
  <c r="B125" i="11" s="1"/>
  <c r="F40" i="11"/>
  <c r="F52" i="11" s="1"/>
  <c r="F64" i="11" s="1"/>
  <c r="F76" i="11" s="1"/>
  <c r="F88" i="11" s="1"/>
  <c r="F100" i="11" s="1"/>
  <c r="F112" i="11" s="1"/>
  <c r="F124" i="11" s="1"/>
  <c r="F136" i="11" s="1"/>
  <c r="F148" i="11" s="1"/>
  <c r="F160" i="11" s="1"/>
  <c r="F172" i="11" s="1"/>
  <c r="F184" i="11" s="1"/>
  <c r="F196" i="11" s="1"/>
  <c r="F208" i="11" s="1"/>
  <c r="F220" i="11" s="1"/>
  <c r="F232" i="11" s="1"/>
  <c r="F244" i="11" s="1"/>
  <c r="F256" i="11" s="1"/>
  <c r="F268" i="11" s="1"/>
  <c r="F280" i="11" s="1"/>
  <c r="F292" i="11" s="1"/>
  <c r="F304" i="11" s="1"/>
  <c r="F316" i="11" s="1"/>
  <c r="F328" i="11" s="1"/>
  <c r="F340" i="11" s="1"/>
  <c r="F352" i="11" s="1"/>
  <c r="F364" i="11" s="1"/>
  <c r="F376" i="11" s="1"/>
  <c r="E40" i="11"/>
  <c r="E52" i="11" s="1"/>
  <c r="E64" i="11" s="1"/>
  <c r="E76" i="11" s="1"/>
  <c r="E88" i="11" s="1"/>
  <c r="E100" i="11" s="1"/>
  <c r="E112" i="11" s="1"/>
  <c r="E124" i="11" s="1"/>
  <c r="E136" i="11" s="1"/>
  <c r="E148" i="11" s="1"/>
  <c r="E160" i="11" s="1"/>
  <c r="E172" i="11" s="1"/>
  <c r="E184" i="11" s="1"/>
  <c r="E196" i="11" s="1"/>
  <c r="E208" i="11" s="1"/>
  <c r="E220" i="11" s="1"/>
  <c r="E232" i="11" s="1"/>
  <c r="E244" i="11" s="1"/>
  <c r="E256" i="11" s="1"/>
  <c r="E268" i="11" s="1"/>
  <c r="E280" i="11" s="1"/>
  <c r="E292" i="11" s="1"/>
  <c r="E304" i="11" s="1"/>
  <c r="E316" i="11" s="1"/>
  <c r="E328" i="11" s="1"/>
  <c r="E340" i="11" s="1"/>
  <c r="E352" i="11" s="1"/>
  <c r="E364" i="11" s="1"/>
  <c r="E376" i="11" s="1"/>
  <c r="D40" i="11"/>
  <c r="D52" i="11" s="1"/>
  <c r="D64" i="11" s="1"/>
  <c r="D76" i="11" s="1"/>
  <c r="D88" i="11" s="1"/>
  <c r="D100" i="11" s="1"/>
  <c r="D112" i="11" s="1"/>
  <c r="D124" i="11" s="1"/>
  <c r="D136" i="11" s="1"/>
  <c r="D148" i="11" s="1"/>
  <c r="D160" i="11" s="1"/>
  <c r="D172" i="11" s="1"/>
  <c r="D184" i="11" s="1"/>
  <c r="D196" i="11" s="1"/>
  <c r="D208" i="11" s="1"/>
  <c r="D220" i="11" s="1"/>
  <c r="D232" i="11" s="1"/>
  <c r="D244" i="11" s="1"/>
  <c r="D256" i="11" s="1"/>
  <c r="D268" i="11" s="1"/>
  <c r="D280" i="11" s="1"/>
  <c r="D292" i="11" s="1"/>
  <c r="D304" i="11" s="1"/>
  <c r="D316" i="11" s="1"/>
  <c r="D328" i="11" s="1"/>
  <c r="D340" i="11" s="1"/>
  <c r="D352" i="11" s="1"/>
  <c r="D364" i="11" s="1"/>
  <c r="D376" i="11" s="1"/>
  <c r="C40" i="11"/>
  <c r="C52" i="11" s="1"/>
  <c r="C64" i="11" s="1"/>
  <c r="C76" i="11" s="1"/>
  <c r="C88" i="11" s="1"/>
  <c r="C100" i="11" s="1"/>
  <c r="C112" i="11" s="1"/>
  <c r="C124" i="11" s="1"/>
  <c r="C136" i="11" s="1"/>
  <c r="C148" i="11" s="1"/>
  <c r="C160" i="11" s="1"/>
  <c r="C172" i="11" s="1"/>
  <c r="C184" i="11" s="1"/>
  <c r="C196" i="11" s="1"/>
  <c r="C208" i="11" s="1"/>
  <c r="C220" i="11" s="1"/>
  <c r="C232" i="11" s="1"/>
  <c r="C244" i="11" s="1"/>
  <c r="C256" i="11" s="1"/>
  <c r="C268" i="11" s="1"/>
  <c r="C280" i="11" s="1"/>
  <c r="C292" i="11" s="1"/>
  <c r="C304" i="11" s="1"/>
  <c r="C316" i="11" s="1"/>
  <c r="C328" i="11" s="1"/>
  <c r="C340" i="11" s="1"/>
  <c r="C352" i="11" s="1"/>
  <c r="C364" i="11" s="1"/>
  <c r="C376" i="11" s="1"/>
  <c r="B40" i="11"/>
  <c r="B52" i="11" s="1"/>
  <c r="B64" i="11" s="1"/>
  <c r="B76" i="11" s="1"/>
  <c r="B88" i="11" s="1"/>
  <c r="B100" i="11" s="1"/>
  <c r="F39" i="11"/>
  <c r="F51" i="11" s="1"/>
  <c r="F63" i="11" s="1"/>
  <c r="F75" i="11" s="1"/>
  <c r="F87" i="11" s="1"/>
  <c r="F99" i="11" s="1"/>
  <c r="F111" i="11" s="1"/>
  <c r="F123" i="11" s="1"/>
  <c r="F135" i="11" s="1"/>
  <c r="F147" i="11" s="1"/>
  <c r="F159" i="11" s="1"/>
  <c r="F171" i="11" s="1"/>
  <c r="F183" i="11" s="1"/>
  <c r="F195" i="11" s="1"/>
  <c r="F207" i="11" s="1"/>
  <c r="F219" i="11" s="1"/>
  <c r="F231" i="11" s="1"/>
  <c r="F243" i="11" s="1"/>
  <c r="F255" i="11" s="1"/>
  <c r="F267" i="11" s="1"/>
  <c r="F279" i="11" s="1"/>
  <c r="F291" i="11" s="1"/>
  <c r="F303" i="11" s="1"/>
  <c r="F315" i="11" s="1"/>
  <c r="F327" i="11" s="1"/>
  <c r="F339" i="11" s="1"/>
  <c r="F351" i="11" s="1"/>
  <c r="F363" i="11" s="1"/>
  <c r="F375" i="11" s="1"/>
  <c r="E39" i="11"/>
  <c r="E51" i="11" s="1"/>
  <c r="E63" i="11" s="1"/>
  <c r="E75" i="11" s="1"/>
  <c r="E87" i="11" s="1"/>
  <c r="E99" i="11" s="1"/>
  <c r="E111" i="11" s="1"/>
  <c r="E123" i="11" s="1"/>
  <c r="E135" i="11" s="1"/>
  <c r="E147" i="11" s="1"/>
  <c r="E159" i="11" s="1"/>
  <c r="E171" i="11" s="1"/>
  <c r="E183" i="11" s="1"/>
  <c r="E195" i="11" s="1"/>
  <c r="E207" i="11" s="1"/>
  <c r="E219" i="11" s="1"/>
  <c r="E231" i="11" s="1"/>
  <c r="E243" i="11" s="1"/>
  <c r="E255" i="11" s="1"/>
  <c r="E267" i="11" s="1"/>
  <c r="E279" i="11" s="1"/>
  <c r="E291" i="11" s="1"/>
  <c r="E303" i="11" s="1"/>
  <c r="E315" i="11" s="1"/>
  <c r="E327" i="11" s="1"/>
  <c r="E339" i="11" s="1"/>
  <c r="E351" i="11" s="1"/>
  <c r="E363" i="11" s="1"/>
  <c r="E375" i="11" s="1"/>
  <c r="D39" i="11"/>
  <c r="D51" i="11" s="1"/>
  <c r="D63" i="11" s="1"/>
  <c r="D75" i="11" s="1"/>
  <c r="D87" i="11" s="1"/>
  <c r="D99" i="11" s="1"/>
  <c r="D111" i="11" s="1"/>
  <c r="D123" i="11" s="1"/>
  <c r="D135" i="11" s="1"/>
  <c r="D147" i="11" s="1"/>
  <c r="D159" i="11" s="1"/>
  <c r="D171" i="11" s="1"/>
  <c r="D183" i="11" s="1"/>
  <c r="D195" i="11" s="1"/>
  <c r="D207" i="11" s="1"/>
  <c r="D219" i="11" s="1"/>
  <c r="D231" i="11" s="1"/>
  <c r="D243" i="11" s="1"/>
  <c r="D255" i="11" s="1"/>
  <c r="D267" i="11" s="1"/>
  <c r="D279" i="11" s="1"/>
  <c r="D291" i="11" s="1"/>
  <c r="D303" i="11" s="1"/>
  <c r="D315" i="11" s="1"/>
  <c r="D327" i="11" s="1"/>
  <c r="D339" i="11" s="1"/>
  <c r="D351" i="11" s="1"/>
  <c r="D363" i="11" s="1"/>
  <c r="D375" i="11" s="1"/>
  <c r="C39" i="11"/>
  <c r="C51" i="11" s="1"/>
  <c r="C63" i="11" s="1"/>
  <c r="C75" i="11" s="1"/>
  <c r="C87" i="11" s="1"/>
  <c r="C99" i="11" s="1"/>
  <c r="C111" i="11" s="1"/>
  <c r="C123" i="11" s="1"/>
  <c r="C135" i="11" s="1"/>
  <c r="C147" i="11" s="1"/>
  <c r="C159" i="11" s="1"/>
  <c r="C171" i="11" s="1"/>
  <c r="C183" i="11" s="1"/>
  <c r="C195" i="11" s="1"/>
  <c r="C207" i="11" s="1"/>
  <c r="C219" i="11" s="1"/>
  <c r="C231" i="11" s="1"/>
  <c r="C243" i="11" s="1"/>
  <c r="C255" i="11" s="1"/>
  <c r="C267" i="11" s="1"/>
  <c r="C279" i="11" s="1"/>
  <c r="C291" i="11" s="1"/>
  <c r="C303" i="11" s="1"/>
  <c r="C315" i="11" s="1"/>
  <c r="C327" i="11" s="1"/>
  <c r="C339" i="11" s="1"/>
  <c r="C351" i="11" s="1"/>
  <c r="C363" i="11" s="1"/>
  <c r="C375" i="11" s="1"/>
  <c r="B39" i="11"/>
  <c r="B51" i="11" s="1"/>
  <c r="B63" i="11" s="1"/>
  <c r="B75" i="11" s="1"/>
  <c r="B87" i="11" s="1"/>
  <c r="B99" i="11" s="1"/>
  <c r="B111" i="11" s="1"/>
  <c r="F38" i="11"/>
  <c r="F50" i="11" s="1"/>
  <c r="F62" i="11" s="1"/>
  <c r="F74" i="11" s="1"/>
  <c r="F86" i="11" s="1"/>
  <c r="F98" i="11" s="1"/>
  <c r="F110" i="11" s="1"/>
  <c r="F122" i="11" s="1"/>
  <c r="F134" i="11" s="1"/>
  <c r="F146" i="11" s="1"/>
  <c r="F158" i="11" s="1"/>
  <c r="F170" i="11" s="1"/>
  <c r="F182" i="11" s="1"/>
  <c r="F194" i="11" s="1"/>
  <c r="F206" i="11" s="1"/>
  <c r="F218" i="11" s="1"/>
  <c r="F230" i="11" s="1"/>
  <c r="F242" i="11" s="1"/>
  <c r="F254" i="11" s="1"/>
  <c r="F266" i="11" s="1"/>
  <c r="F278" i="11" s="1"/>
  <c r="F290" i="11" s="1"/>
  <c r="F302" i="11" s="1"/>
  <c r="F314" i="11" s="1"/>
  <c r="F326" i="11" s="1"/>
  <c r="F338" i="11" s="1"/>
  <c r="F350" i="11" s="1"/>
  <c r="F362" i="11" s="1"/>
  <c r="F374" i="11" s="1"/>
  <c r="E38" i="11"/>
  <c r="E50" i="11" s="1"/>
  <c r="E62" i="11" s="1"/>
  <c r="E74" i="11" s="1"/>
  <c r="E86" i="11" s="1"/>
  <c r="E98" i="11" s="1"/>
  <c r="E110" i="11" s="1"/>
  <c r="E122" i="11" s="1"/>
  <c r="E134" i="11" s="1"/>
  <c r="E146" i="11" s="1"/>
  <c r="E158" i="11" s="1"/>
  <c r="E170" i="11" s="1"/>
  <c r="E182" i="11" s="1"/>
  <c r="E194" i="11" s="1"/>
  <c r="E206" i="11" s="1"/>
  <c r="E218" i="11" s="1"/>
  <c r="E230" i="11" s="1"/>
  <c r="E242" i="11" s="1"/>
  <c r="E254" i="11" s="1"/>
  <c r="E266" i="11" s="1"/>
  <c r="E278" i="11" s="1"/>
  <c r="E290" i="11" s="1"/>
  <c r="E302" i="11" s="1"/>
  <c r="E314" i="11" s="1"/>
  <c r="E326" i="11" s="1"/>
  <c r="E338" i="11" s="1"/>
  <c r="E350" i="11" s="1"/>
  <c r="E362" i="11" s="1"/>
  <c r="E374" i="11" s="1"/>
  <c r="D38" i="11"/>
  <c r="D50" i="11" s="1"/>
  <c r="D62" i="11" s="1"/>
  <c r="D74" i="11" s="1"/>
  <c r="D86" i="11" s="1"/>
  <c r="D98" i="11" s="1"/>
  <c r="D110" i="11" s="1"/>
  <c r="D122" i="11" s="1"/>
  <c r="D134" i="11" s="1"/>
  <c r="D146" i="11" s="1"/>
  <c r="D158" i="11" s="1"/>
  <c r="D170" i="11" s="1"/>
  <c r="D182" i="11" s="1"/>
  <c r="D194" i="11" s="1"/>
  <c r="D206" i="11" s="1"/>
  <c r="D218" i="11" s="1"/>
  <c r="D230" i="11" s="1"/>
  <c r="D242" i="11" s="1"/>
  <c r="D254" i="11" s="1"/>
  <c r="D266" i="11" s="1"/>
  <c r="D278" i="11" s="1"/>
  <c r="D290" i="11" s="1"/>
  <c r="D302" i="11" s="1"/>
  <c r="D314" i="11" s="1"/>
  <c r="D326" i="11" s="1"/>
  <c r="D338" i="11" s="1"/>
  <c r="D350" i="11" s="1"/>
  <c r="D362" i="11" s="1"/>
  <c r="D374" i="11" s="1"/>
  <c r="C38" i="11"/>
  <c r="C50" i="11" s="1"/>
  <c r="C62" i="11" s="1"/>
  <c r="C74" i="11" s="1"/>
  <c r="C86" i="11" s="1"/>
  <c r="C98" i="11" s="1"/>
  <c r="C110" i="11" s="1"/>
  <c r="C122" i="11" s="1"/>
  <c r="C134" i="11" s="1"/>
  <c r="C146" i="11" s="1"/>
  <c r="C158" i="11" s="1"/>
  <c r="C170" i="11" s="1"/>
  <c r="C182" i="11" s="1"/>
  <c r="C194" i="11" s="1"/>
  <c r="C206" i="11" s="1"/>
  <c r="C218" i="11" s="1"/>
  <c r="C230" i="11" s="1"/>
  <c r="C242" i="11" s="1"/>
  <c r="C254" i="11" s="1"/>
  <c r="C266" i="11" s="1"/>
  <c r="C278" i="11" s="1"/>
  <c r="C290" i="11" s="1"/>
  <c r="C302" i="11" s="1"/>
  <c r="C314" i="11" s="1"/>
  <c r="C326" i="11" s="1"/>
  <c r="C338" i="11" s="1"/>
  <c r="C350" i="11" s="1"/>
  <c r="C362" i="11" s="1"/>
  <c r="C374" i="11" s="1"/>
  <c r="B38" i="11"/>
  <c r="B50" i="11" s="1"/>
  <c r="B62" i="11" s="1"/>
  <c r="B74" i="11" s="1"/>
  <c r="B86" i="11" s="1"/>
  <c r="B98" i="11" s="1"/>
  <c r="B110" i="11" s="1"/>
  <c r="F37" i="11"/>
  <c r="F49" i="11" s="1"/>
  <c r="F61" i="11" s="1"/>
  <c r="F73" i="11" s="1"/>
  <c r="F85" i="11" s="1"/>
  <c r="F97" i="11" s="1"/>
  <c r="F109" i="11" s="1"/>
  <c r="F121" i="11" s="1"/>
  <c r="F133" i="11" s="1"/>
  <c r="F145" i="11" s="1"/>
  <c r="F157" i="11" s="1"/>
  <c r="F169" i="11" s="1"/>
  <c r="F181" i="11" s="1"/>
  <c r="F193" i="11" s="1"/>
  <c r="F205" i="11" s="1"/>
  <c r="F217" i="11" s="1"/>
  <c r="F229" i="11" s="1"/>
  <c r="F241" i="11" s="1"/>
  <c r="F253" i="11" s="1"/>
  <c r="F265" i="11" s="1"/>
  <c r="F277" i="11" s="1"/>
  <c r="F289" i="11" s="1"/>
  <c r="F301" i="11" s="1"/>
  <c r="F313" i="11" s="1"/>
  <c r="F325" i="11" s="1"/>
  <c r="F337" i="11" s="1"/>
  <c r="F349" i="11" s="1"/>
  <c r="F361" i="11" s="1"/>
  <c r="F373" i="11" s="1"/>
  <c r="E37" i="11"/>
  <c r="E49" i="11" s="1"/>
  <c r="E61" i="11" s="1"/>
  <c r="E73" i="11" s="1"/>
  <c r="E85" i="11" s="1"/>
  <c r="E97" i="11" s="1"/>
  <c r="E109" i="11" s="1"/>
  <c r="E121" i="11" s="1"/>
  <c r="E133" i="11" s="1"/>
  <c r="E145" i="11" s="1"/>
  <c r="E157" i="11" s="1"/>
  <c r="E169" i="11" s="1"/>
  <c r="E181" i="11" s="1"/>
  <c r="E193" i="11" s="1"/>
  <c r="E205" i="11" s="1"/>
  <c r="E217" i="11" s="1"/>
  <c r="E229" i="11" s="1"/>
  <c r="E241" i="11" s="1"/>
  <c r="E253" i="11" s="1"/>
  <c r="E265" i="11" s="1"/>
  <c r="E277" i="11" s="1"/>
  <c r="E289" i="11" s="1"/>
  <c r="E301" i="11" s="1"/>
  <c r="E313" i="11" s="1"/>
  <c r="E325" i="11" s="1"/>
  <c r="E337" i="11" s="1"/>
  <c r="E349" i="11" s="1"/>
  <c r="E361" i="11" s="1"/>
  <c r="E373" i="11" s="1"/>
  <c r="D37" i="11"/>
  <c r="D49" i="11" s="1"/>
  <c r="D61" i="11" s="1"/>
  <c r="D73" i="11" s="1"/>
  <c r="D85" i="11" s="1"/>
  <c r="D97" i="11" s="1"/>
  <c r="D109" i="11" s="1"/>
  <c r="D121" i="11" s="1"/>
  <c r="D133" i="11" s="1"/>
  <c r="D145" i="11" s="1"/>
  <c r="D157" i="11" s="1"/>
  <c r="D169" i="11" s="1"/>
  <c r="D181" i="11" s="1"/>
  <c r="D193" i="11" s="1"/>
  <c r="D205" i="11" s="1"/>
  <c r="D217" i="11" s="1"/>
  <c r="D229" i="11" s="1"/>
  <c r="D241" i="11" s="1"/>
  <c r="D253" i="11" s="1"/>
  <c r="D265" i="11" s="1"/>
  <c r="D277" i="11" s="1"/>
  <c r="D289" i="11" s="1"/>
  <c r="D301" i="11" s="1"/>
  <c r="D313" i="11" s="1"/>
  <c r="D325" i="11" s="1"/>
  <c r="D337" i="11" s="1"/>
  <c r="D349" i="11" s="1"/>
  <c r="D361" i="11" s="1"/>
  <c r="D373" i="11" s="1"/>
  <c r="C37" i="11"/>
  <c r="C49" i="11" s="1"/>
  <c r="C61" i="11" s="1"/>
  <c r="C73" i="11" s="1"/>
  <c r="C85" i="11" s="1"/>
  <c r="C97" i="11" s="1"/>
  <c r="C109" i="11" s="1"/>
  <c r="C121" i="11" s="1"/>
  <c r="C133" i="11" s="1"/>
  <c r="C145" i="11" s="1"/>
  <c r="C157" i="11" s="1"/>
  <c r="C169" i="11" s="1"/>
  <c r="C181" i="11" s="1"/>
  <c r="C193" i="11" s="1"/>
  <c r="C205" i="11" s="1"/>
  <c r="C217" i="11" s="1"/>
  <c r="C229" i="11" s="1"/>
  <c r="C241" i="11" s="1"/>
  <c r="C253" i="11" s="1"/>
  <c r="C265" i="11" s="1"/>
  <c r="C277" i="11" s="1"/>
  <c r="C289" i="11" s="1"/>
  <c r="C301" i="11" s="1"/>
  <c r="C313" i="11" s="1"/>
  <c r="C325" i="11" s="1"/>
  <c r="C337" i="11" s="1"/>
  <c r="C349" i="11" s="1"/>
  <c r="C361" i="11" s="1"/>
  <c r="C373" i="11" s="1"/>
  <c r="B37" i="11"/>
  <c r="B49" i="11" s="1"/>
  <c r="B61" i="11" s="1"/>
  <c r="B73" i="11" s="1"/>
  <c r="B85" i="11" s="1"/>
  <c r="B97" i="11" s="1"/>
  <c r="B109" i="11" s="1"/>
  <c r="B121" i="11" s="1"/>
  <c r="B133" i="11" s="1"/>
  <c r="H38" i="11"/>
  <c r="I38" i="11" s="1"/>
  <c r="H39" i="11"/>
  <c r="I39" i="11" s="1"/>
  <c r="H40" i="11"/>
  <c r="I40" i="11" s="1"/>
  <c r="H41" i="11"/>
  <c r="I41" i="11" s="1"/>
  <c r="H42" i="11"/>
  <c r="I42" i="11" s="1"/>
  <c r="H43" i="11"/>
  <c r="I43" i="11" s="1"/>
  <c r="H44" i="11"/>
  <c r="I44" i="11" s="1"/>
  <c r="H45" i="11"/>
  <c r="I45" i="11" s="1"/>
  <c r="H46" i="11"/>
  <c r="I46" i="11" s="1"/>
  <c r="H47" i="11"/>
  <c r="I47" i="11" s="1"/>
  <c r="H48" i="11"/>
  <c r="I48" i="11" s="1"/>
  <c r="H49" i="11"/>
  <c r="I49" i="11" s="1"/>
  <c r="H50" i="11"/>
  <c r="I50" i="11" s="1"/>
  <c r="H51" i="11"/>
  <c r="I51" i="11" s="1"/>
  <c r="H52" i="11"/>
  <c r="I52" i="11" s="1"/>
  <c r="H53" i="11"/>
  <c r="I53" i="11" s="1"/>
  <c r="H54" i="11"/>
  <c r="I54" i="11" s="1"/>
  <c r="H55" i="11"/>
  <c r="I55" i="11" s="1"/>
  <c r="H56" i="11"/>
  <c r="I56" i="11" s="1"/>
  <c r="H57" i="11"/>
  <c r="I57" i="11" s="1"/>
  <c r="H58" i="11"/>
  <c r="I58" i="11" s="1"/>
  <c r="H59" i="11"/>
  <c r="I59" i="11" s="1"/>
  <c r="H60" i="11"/>
  <c r="I60" i="11" s="1"/>
  <c r="H61" i="11"/>
  <c r="I61" i="11" s="1"/>
  <c r="H62" i="11"/>
  <c r="I62" i="11" s="1"/>
  <c r="H63" i="11"/>
  <c r="I63" i="11" s="1"/>
  <c r="H64" i="11"/>
  <c r="I64" i="11" s="1"/>
  <c r="H65" i="11"/>
  <c r="I65" i="11" s="1"/>
  <c r="H66" i="11"/>
  <c r="I66" i="11" s="1"/>
  <c r="H67" i="11"/>
  <c r="I67" i="11" s="1"/>
  <c r="H68" i="11"/>
  <c r="I68" i="11" s="1"/>
  <c r="H69" i="11"/>
  <c r="I69" i="11" s="1"/>
  <c r="H70" i="11"/>
  <c r="I70" i="11" s="1"/>
  <c r="H71" i="11"/>
  <c r="I71" i="11" s="1"/>
  <c r="H72" i="11"/>
  <c r="I72" i="11" s="1"/>
  <c r="H37" i="11"/>
  <c r="I37" i="11" s="1"/>
  <c r="G84" i="11"/>
  <c r="G83" i="11"/>
  <c r="G82" i="11"/>
  <c r="G81" i="11"/>
  <c r="G80" i="11"/>
  <c r="G79" i="11"/>
  <c r="G78" i="11"/>
  <c r="G77" i="11"/>
  <c r="G76" i="11"/>
  <c r="G75" i="11"/>
  <c r="G74" i="11"/>
  <c r="G73" i="11"/>
  <c r="K62" i="11"/>
  <c r="G86" i="11" s="1"/>
  <c r="K63" i="11"/>
  <c r="K75" i="11" s="1"/>
  <c r="K64" i="11"/>
  <c r="K76" i="11" s="1"/>
  <c r="K65" i="11"/>
  <c r="H77" i="11" s="1"/>
  <c r="I77" i="11" s="1"/>
  <c r="K66" i="11"/>
  <c r="K78" i="11" s="1"/>
  <c r="K67" i="11"/>
  <c r="H79" i="11" s="1"/>
  <c r="I79" i="11" s="1"/>
  <c r="K68" i="11"/>
  <c r="K80" i="11" s="1"/>
  <c r="K69" i="11"/>
  <c r="K81" i="11" s="1"/>
  <c r="K70" i="11"/>
  <c r="G94" i="11" s="1"/>
  <c r="K71" i="11"/>
  <c r="K83" i="11" s="1"/>
  <c r="H95" i="11" s="1"/>
  <c r="I95" i="11" s="1"/>
  <c r="K72" i="11"/>
  <c r="K84" i="11" s="1"/>
  <c r="H96" i="11" s="1"/>
  <c r="I96" i="11" s="1"/>
  <c r="G72" i="11"/>
  <c r="G71" i="11"/>
  <c r="G70" i="11"/>
  <c r="G69" i="11"/>
  <c r="G68" i="11"/>
  <c r="G67" i="11"/>
  <c r="G66" i="11"/>
  <c r="G65" i="11"/>
  <c r="G64" i="11"/>
  <c r="G63" i="11"/>
  <c r="G62" i="11"/>
  <c r="G61" i="11"/>
  <c r="K61" i="11"/>
  <c r="H73" i="11" s="1"/>
  <c r="I73" i="11" s="1"/>
  <c r="W25" i="11"/>
  <c r="W26" i="11"/>
  <c r="W27" i="11"/>
  <c r="W28" i="11"/>
  <c r="W29" i="11"/>
  <c r="W30" i="11"/>
  <c r="W31" i="11"/>
  <c r="W32" i="11"/>
  <c r="W33" i="11"/>
  <c r="W34" i="11"/>
  <c r="W35" i="11"/>
  <c r="W36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W41" i="11" l="1"/>
  <c r="W40" i="11"/>
  <c r="G107" i="11"/>
  <c r="W46" i="11"/>
  <c r="W39" i="11"/>
  <c r="D128" i="11"/>
  <c r="D140" i="11" s="1"/>
  <c r="D152" i="11" s="1"/>
  <c r="D164" i="11" s="1"/>
  <c r="D176" i="11" s="1"/>
  <c r="D188" i="11" s="1"/>
  <c r="D200" i="11" s="1"/>
  <c r="D212" i="11" s="1"/>
  <c r="D224" i="11" s="1"/>
  <c r="D236" i="11" s="1"/>
  <c r="D248" i="11" s="1"/>
  <c r="D260" i="11" s="1"/>
  <c r="D272" i="11" s="1"/>
  <c r="D284" i="11" s="1"/>
  <c r="D296" i="11" s="1"/>
  <c r="D308" i="11" s="1"/>
  <c r="D320" i="11" s="1"/>
  <c r="D332" i="11" s="1"/>
  <c r="D344" i="11" s="1"/>
  <c r="D356" i="11" s="1"/>
  <c r="D368" i="11" s="1"/>
  <c r="D380" i="11" s="1"/>
  <c r="B122" i="11"/>
  <c r="B134" i="11" s="1"/>
  <c r="H88" i="11"/>
  <c r="I88" i="11" s="1"/>
  <c r="G100" i="11"/>
  <c r="B131" i="11"/>
  <c r="B143" i="11" s="1"/>
  <c r="H93" i="11"/>
  <c r="I93" i="11" s="1"/>
  <c r="G105" i="11"/>
  <c r="B112" i="11"/>
  <c r="B124" i="11" s="1"/>
  <c r="H90" i="11"/>
  <c r="I90" i="11" s="1"/>
  <c r="G102" i="11"/>
  <c r="K92" i="11"/>
  <c r="G104" i="11"/>
  <c r="H87" i="11"/>
  <c r="I87" i="11" s="1"/>
  <c r="G99" i="11"/>
  <c r="W37" i="11"/>
  <c r="K96" i="11"/>
  <c r="G108" i="11"/>
  <c r="W38" i="11"/>
  <c r="W43" i="11"/>
  <c r="D129" i="11"/>
  <c r="D141" i="11" s="1"/>
  <c r="D153" i="11" s="1"/>
  <c r="D165" i="11" s="1"/>
  <c r="D177" i="11" s="1"/>
  <c r="D189" i="11" s="1"/>
  <c r="D201" i="11" s="1"/>
  <c r="D213" i="11" s="1"/>
  <c r="D225" i="11" s="1"/>
  <c r="D237" i="11" s="1"/>
  <c r="D249" i="11" s="1"/>
  <c r="D261" i="11" s="1"/>
  <c r="D273" i="11" s="1"/>
  <c r="D285" i="11" s="1"/>
  <c r="D297" i="11" s="1"/>
  <c r="D309" i="11" s="1"/>
  <c r="D321" i="11" s="1"/>
  <c r="D333" i="11" s="1"/>
  <c r="D345" i="11" s="1"/>
  <c r="D357" i="11" s="1"/>
  <c r="D369" i="11" s="1"/>
  <c r="D381" i="11" s="1"/>
  <c r="B132" i="11"/>
  <c r="B137" i="11"/>
  <c r="B123" i="11"/>
  <c r="B138" i="11"/>
  <c r="B130" i="11"/>
  <c r="B127" i="11"/>
  <c r="B145" i="11"/>
  <c r="B141" i="11"/>
  <c r="B140" i="11"/>
  <c r="W51" i="11"/>
  <c r="W49" i="11"/>
  <c r="W60" i="11"/>
  <c r="W59" i="11"/>
  <c r="W58" i="11"/>
  <c r="W57" i="11"/>
  <c r="W45" i="11"/>
  <c r="W54" i="11"/>
  <c r="W52" i="11"/>
  <c r="W50" i="11"/>
  <c r="W48" i="11"/>
  <c r="W47" i="11"/>
  <c r="W42" i="11"/>
  <c r="W56" i="11"/>
  <c r="W44" i="11"/>
  <c r="W55" i="11"/>
  <c r="W53" i="11"/>
  <c r="H78" i="11"/>
  <c r="I78" i="11" s="1"/>
  <c r="H74" i="11"/>
  <c r="I74" i="11" s="1"/>
  <c r="H84" i="11"/>
  <c r="I84" i="11" s="1"/>
  <c r="H83" i="11"/>
  <c r="I83" i="11" s="1"/>
  <c r="H82" i="11"/>
  <c r="I82" i="11" s="1"/>
  <c r="H81" i="11"/>
  <c r="I81" i="11" s="1"/>
  <c r="H80" i="11"/>
  <c r="I80" i="11" s="1"/>
  <c r="H76" i="11"/>
  <c r="I76" i="11" s="1"/>
  <c r="H92" i="11"/>
  <c r="I92" i="11" s="1"/>
  <c r="W67" i="11"/>
  <c r="H75" i="11"/>
  <c r="I75" i="11" s="1"/>
  <c r="W70" i="11"/>
  <c r="W62" i="11"/>
  <c r="K79" i="11"/>
  <c r="G103" i="11" s="1"/>
  <c r="W64" i="11"/>
  <c r="G87" i="11"/>
  <c r="W72" i="11"/>
  <c r="G91" i="11"/>
  <c r="G95" i="11"/>
  <c r="G96" i="11"/>
  <c r="W71" i="11"/>
  <c r="W66" i="11"/>
  <c r="K95" i="11"/>
  <c r="W95" i="11"/>
  <c r="K90" i="11"/>
  <c r="W77" i="11"/>
  <c r="K93" i="11"/>
  <c r="G85" i="11"/>
  <c r="K74" i="11"/>
  <c r="G98" i="11" s="1"/>
  <c r="W61" i="11"/>
  <c r="W68" i="11"/>
  <c r="W79" i="11"/>
  <c r="G92" i="11"/>
  <c r="G88" i="11"/>
  <c r="W65" i="11"/>
  <c r="G93" i="11"/>
  <c r="G89" i="11"/>
  <c r="K73" i="11"/>
  <c r="G90" i="11"/>
  <c r="K77" i="11"/>
  <c r="W69" i="11"/>
  <c r="K82" i="11"/>
  <c r="K87" i="11"/>
  <c r="W73" i="11"/>
  <c r="K88" i="11"/>
  <c r="B5" i="11"/>
  <c r="W80" i="11" l="1"/>
  <c r="W81" i="11"/>
  <c r="W83" i="11"/>
  <c r="W78" i="11"/>
  <c r="G114" i="11"/>
  <c r="K102" i="11"/>
  <c r="H102" i="11"/>
  <c r="I102" i="11" s="1"/>
  <c r="G111" i="11"/>
  <c r="H99" i="11"/>
  <c r="I99" i="11" s="1"/>
  <c r="K99" i="11"/>
  <c r="H85" i="11"/>
  <c r="I85" i="11" s="1"/>
  <c r="G97" i="11"/>
  <c r="K107" i="11"/>
  <c r="G119" i="11"/>
  <c r="H107" i="11"/>
  <c r="I107" i="11" s="1"/>
  <c r="K100" i="11"/>
  <c r="H100" i="11"/>
  <c r="I100" i="11" s="1"/>
  <c r="G112" i="11"/>
  <c r="K104" i="11"/>
  <c r="H104" i="11"/>
  <c r="I104" i="11" s="1"/>
  <c r="G116" i="11"/>
  <c r="H108" i="11"/>
  <c r="I108" i="11" s="1"/>
  <c r="K108" i="11"/>
  <c r="G120" i="11"/>
  <c r="H94" i="11"/>
  <c r="I94" i="11" s="1"/>
  <c r="G106" i="11"/>
  <c r="H89" i="11"/>
  <c r="I89" i="11" s="1"/>
  <c r="G101" i="11"/>
  <c r="G117" i="11"/>
  <c r="K105" i="11"/>
  <c r="H105" i="11"/>
  <c r="I105" i="11" s="1"/>
  <c r="B157" i="11"/>
  <c r="B142" i="11"/>
  <c r="B135" i="11"/>
  <c r="B139" i="11"/>
  <c r="B146" i="11"/>
  <c r="B153" i="11"/>
  <c r="B155" i="11"/>
  <c r="B136" i="11"/>
  <c r="B152" i="11"/>
  <c r="B149" i="11"/>
  <c r="B144" i="11"/>
  <c r="B150" i="11"/>
  <c r="W63" i="11"/>
  <c r="K91" i="11"/>
  <c r="H91" i="11"/>
  <c r="I91" i="11" s="1"/>
  <c r="K86" i="11"/>
  <c r="H86" i="11"/>
  <c r="I86" i="11" s="1"/>
  <c r="W76" i="11"/>
  <c r="W84" i="11"/>
  <c r="W74" i="11"/>
  <c r="W82" i="11"/>
  <c r="K89" i="11"/>
  <c r="W93" i="11"/>
  <c r="W75" i="11"/>
  <c r="K94" i="11"/>
  <c r="K85" i="11"/>
  <c r="B4" i="11"/>
  <c r="W87" i="11"/>
  <c r="W92" i="11"/>
  <c r="W90" i="11"/>
  <c r="W88" i="11"/>
  <c r="W96" i="11"/>
  <c r="W89" i="11" l="1"/>
  <c r="W108" i="11"/>
  <c r="W85" i="11"/>
  <c r="W91" i="11"/>
  <c r="W104" i="11"/>
  <c r="W105" i="11"/>
  <c r="W99" i="11"/>
  <c r="W100" i="11"/>
  <c r="W102" i="11"/>
  <c r="W107" i="11"/>
  <c r="W94" i="11"/>
  <c r="W86" i="11"/>
  <c r="H101" i="11"/>
  <c r="I101" i="11" s="1"/>
  <c r="K101" i="11"/>
  <c r="G113" i="11"/>
  <c r="H111" i="11"/>
  <c r="I111" i="11" s="1"/>
  <c r="K111" i="11"/>
  <c r="G123" i="11"/>
  <c r="G124" i="11"/>
  <c r="K112" i="11"/>
  <c r="H112" i="11"/>
  <c r="I112" i="11" s="1"/>
  <c r="G126" i="11"/>
  <c r="K114" i="11"/>
  <c r="H114" i="11"/>
  <c r="I114" i="11" s="1"/>
  <c r="H98" i="11"/>
  <c r="I98" i="11" s="1"/>
  <c r="G110" i="11"/>
  <c r="K98" i="11"/>
  <c r="G131" i="11"/>
  <c r="H119" i="11"/>
  <c r="I119" i="11" s="1"/>
  <c r="K119" i="11"/>
  <c r="K120" i="11"/>
  <c r="G132" i="11"/>
  <c r="H120" i="11"/>
  <c r="I120" i="11" s="1"/>
  <c r="K116" i="11"/>
  <c r="G128" i="11"/>
  <c r="H116" i="11"/>
  <c r="I116" i="11" s="1"/>
  <c r="K97" i="11"/>
  <c r="H97" i="11"/>
  <c r="I97" i="11" s="1"/>
  <c r="G109" i="11"/>
  <c r="G115" i="11"/>
  <c r="K103" i="11"/>
  <c r="H103" i="11"/>
  <c r="I103" i="11" s="1"/>
  <c r="H117" i="11"/>
  <c r="I117" i="11" s="1"/>
  <c r="K117" i="11"/>
  <c r="G129" i="11"/>
  <c r="K106" i="11"/>
  <c r="G118" i="11"/>
  <c r="H106" i="11"/>
  <c r="I106" i="11" s="1"/>
  <c r="B156" i="11"/>
  <c r="B164" i="11"/>
  <c r="B158" i="11"/>
  <c r="B154" i="11"/>
  <c r="B167" i="11"/>
  <c r="B162" i="11"/>
  <c r="B147" i="11"/>
  <c r="B148" i="11"/>
  <c r="B151" i="11"/>
  <c r="B169" i="11"/>
  <c r="B165" i="11"/>
  <c r="B161" i="11"/>
  <c r="B6" i="11"/>
  <c r="W111" i="11" l="1"/>
  <c r="W97" i="11"/>
  <c r="W106" i="11"/>
  <c r="W98" i="11"/>
  <c r="W116" i="11"/>
  <c r="W114" i="11"/>
  <c r="W101" i="11"/>
  <c r="W120" i="11"/>
  <c r="W117" i="11"/>
  <c r="W112" i="11"/>
  <c r="W103" i="11"/>
  <c r="W119" i="11"/>
  <c r="G144" i="11"/>
  <c r="H132" i="11"/>
  <c r="I132" i="11" s="1"/>
  <c r="K132" i="11"/>
  <c r="G122" i="11"/>
  <c r="H110" i="11"/>
  <c r="I110" i="11" s="1"/>
  <c r="K110" i="11"/>
  <c r="K118" i="11"/>
  <c r="G130" i="11"/>
  <c r="H118" i="11"/>
  <c r="I118" i="11" s="1"/>
  <c r="K113" i="11"/>
  <c r="G125" i="11"/>
  <c r="H113" i="11"/>
  <c r="I113" i="11" s="1"/>
  <c r="G136" i="11"/>
  <c r="H124" i="11"/>
  <c r="I124" i="11" s="1"/>
  <c r="K124" i="11"/>
  <c r="H131" i="11"/>
  <c r="I131" i="11" s="1"/>
  <c r="G143" i="11"/>
  <c r="K131" i="11"/>
  <c r="H123" i="11"/>
  <c r="I123" i="11" s="1"/>
  <c r="G135" i="11"/>
  <c r="K123" i="11"/>
  <c r="H115" i="11"/>
  <c r="I115" i="11" s="1"/>
  <c r="K115" i="11"/>
  <c r="G127" i="11"/>
  <c r="H109" i="11"/>
  <c r="I109" i="11" s="1"/>
  <c r="K109" i="11"/>
  <c r="G121" i="11"/>
  <c r="K129" i="11"/>
  <c r="H129" i="11"/>
  <c r="I129" i="11" s="1"/>
  <c r="G141" i="11"/>
  <c r="G140" i="11"/>
  <c r="K128" i="11"/>
  <c r="H128" i="11"/>
  <c r="I128" i="11" s="1"/>
  <c r="H126" i="11"/>
  <c r="I126" i="11" s="1"/>
  <c r="G138" i="11"/>
  <c r="K126" i="11"/>
  <c r="B176" i="11"/>
  <c r="B160" i="11"/>
  <c r="B163" i="11"/>
  <c r="B177" i="11"/>
  <c r="B170" i="11"/>
  <c r="B166" i="11"/>
  <c r="B168" i="11"/>
  <c r="B159" i="11"/>
  <c r="B174" i="11"/>
  <c r="B179" i="11"/>
  <c r="B173" i="11"/>
  <c r="B181" i="11"/>
  <c r="B9" i="11"/>
  <c r="N121" i="11" l="1"/>
  <c r="O121" i="11" s="1"/>
  <c r="Q121" i="11" s="1"/>
  <c r="N143" i="11"/>
  <c r="O143" i="11" s="1"/>
  <c r="P143" i="11" s="1"/>
  <c r="W132" i="11"/>
  <c r="W113" i="11"/>
  <c r="W115" i="11"/>
  <c r="W109" i="11"/>
  <c r="W126" i="11"/>
  <c r="W128" i="11"/>
  <c r="W118" i="11"/>
  <c r="W123" i="11"/>
  <c r="W129" i="11"/>
  <c r="W131" i="11"/>
  <c r="W110" i="11"/>
  <c r="W124" i="11"/>
  <c r="H143" i="11"/>
  <c r="I143" i="11" s="1"/>
  <c r="K143" i="11"/>
  <c r="G155" i="11"/>
  <c r="N155" i="11" s="1"/>
  <c r="O155" i="11" s="1"/>
  <c r="K136" i="11"/>
  <c r="H136" i="11"/>
  <c r="I136" i="11" s="1"/>
  <c r="G148" i="11"/>
  <c r="N148" i="11" s="1"/>
  <c r="O148" i="11" s="1"/>
  <c r="Q148" i="11" s="1"/>
  <c r="K135" i="11"/>
  <c r="G147" i="11"/>
  <c r="N147" i="11" s="1"/>
  <c r="O147" i="11" s="1"/>
  <c r="H135" i="11"/>
  <c r="I135" i="11" s="1"/>
  <c r="H130" i="11"/>
  <c r="I130" i="11" s="1"/>
  <c r="K130" i="11"/>
  <c r="G142" i="11"/>
  <c r="N142" i="11" s="1"/>
  <c r="O142" i="11" s="1"/>
  <c r="P142" i="11" s="1"/>
  <c r="K122" i="11"/>
  <c r="H122" i="11"/>
  <c r="I122" i="11" s="1"/>
  <c r="G134" i="11"/>
  <c r="N134" i="11" s="1"/>
  <c r="O134" i="11" s="1"/>
  <c r="K138" i="11"/>
  <c r="H138" i="11"/>
  <c r="I138" i="11" s="1"/>
  <c r="G150" i="11"/>
  <c r="N150" i="11" s="1"/>
  <c r="O150" i="11" s="1"/>
  <c r="P150" i="11" s="1"/>
  <c r="G156" i="11"/>
  <c r="N156" i="11" s="1"/>
  <c r="O156" i="11" s="1"/>
  <c r="P156" i="11" s="1"/>
  <c r="K144" i="11"/>
  <c r="H144" i="11"/>
  <c r="I144" i="11" s="1"/>
  <c r="N138" i="11"/>
  <c r="O138" i="11" s="1"/>
  <c r="P138" i="11" s="1"/>
  <c r="H127" i="11"/>
  <c r="I127" i="11" s="1"/>
  <c r="G139" i="11"/>
  <c r="N139" i="11" s="1"/>
  <c r="K127" i="11"/>
  <c r="H140" i="11"/>
  <c r="I140" i="11" s="1"/>
  <c r="G152" i="11"/>
  <c r="N152" i="11" s="1"/>
  <c r="K140" i="11"/>
  <c r="H141" i="11"/>
  <c r="I141" i="11" s="1"/>
  <c r="G153" i="11"/>
  <c r="N153" i="11" s="1"/>
  <c r="K141" i="11"/>
  <c r="H121" i="11"/>
  <c r="I121" i="11" s="1"/>
  <c r="K121" i="11"/>
  <c r="G133" i="11"/>
  <c r="N133" i="11" s="1"/>
  <c r="N107" i="11"/>
  <c r="N119" i="11"/>
  <c r="O119" i="11" s="1"/>
  <c r="N108" i="11"/>
  <c r="N103" i="11"/>
  <c r="N112" i="11"/>
  <c r="N106" i="11"/>
  <c r="O106" i="11" s="1"/>
  <c r="N125" i="11"/>
  <c r="N111" i="11"/>
  <c r="N120" i="11"/>
  <c r="O120" i="11" s="1"/>
  <c r="N116" i="11"/>
  <c r="O116" i="11" s="1"/>
  <c r="N126" i="11"/>
  <c r="O126" i="11" s="1"/>
  <c r="N105" i="11"/>
  <c r="N110" i="11"/>
  <c r="O110" i="11" s="1"/>
  <c r="N104" i="11"/>
  <c r="N97" i="11"/>
  <c r="N99" i="11"/>
  <c r="N122" i="11"/>
  <c r="N101" i="11"/>
  <c r="N109" i="11"/>
  <c r="N117" i="11"/>
  <c r="N114" i="11"/>
  <c r="O114" i="11" s="1"/>
  <c r="N100" i="11"/>
  <c r="N115" i="11"/>
  <c r="N98" i="11"/>
  <c r="N102" i="11"/>
  <c r="N131" i="11"/>
  <c r="O131" i="11" s="1"/>
  <c r="N113" i="11"/>
  <c r="N118" i="11"/>
  <c r="N129" i="11"/>
  <c r="N141" i="11"/>
  <c r="N124" i="11"/>
  <c r="O124" i="11" s="1"/>
  <c r="N130" i="11"/>
  <c r="N140" i="11"/>
  <c r="O140" i="11" s="1"/>
  <c r="N127" i="11"/>
  <c r="N132" i="11"/>
  <c r="N123" i="11"/>
  <c r="O123" i="11" s="1"/>
  <c r="N144" i="11"/>
  <c r="N135" i="11"/>
  <c r="N136" i="11"/>
  <c r="N128" i="11"/>
  <c r="O128" i="11" s="1"/>
  <c r="G137" i="11"/>
  <c r="N137" i="11" s="1"/>
  <c r="O137" i="11" s="1"/>
  <c r="H125" i="11"/>
  <c r="I125" i="11" s="1"/>
  <c r="K125" i="11"/>
  <c r="B189" i="11"/>
  <c r="B186" i="11"/>
  <c r="B172" i="11"/>
  <c r="B193" i="11"/>
  <c r="B185" i="11"/>
  <c r="B171" i="11"/>
  <c r="B175" i="11"/>
  <c r="B188" i="11"/>
  <c r="B180" i="11"/>
  <c r="B182" i="11"/>
  <c r="B178" i="11"/>
  <c r="B191" i="11"/>
  <c r="N61" i="11"/>
  <c r="N96" i="11"/>
  <c r="N67" i="11"/>
  <c r="N66" i="11"/>
  <c r="N34" i="11"/>
  <c r="N45" i="11"/>
  <c r="N40" i="11"/>
  <c r="N32" i="11"/>
  <c r="N51" i="11"/>
  <c r="N38" i="11"/>
  <c r="N95" i="11"/>
  <c r="N70" i="11"/>
  <c r="N79" i="11"/>
  <c r="N35" i="11"/>
  <c r="N59" i="11"/>
  <c r="N71" i="11"/>
  <c r="N69" i="11"/>
  <c r="N37" i="11"/>
  <c r="N83" i="11"/>
  <c r="O83" i="11" s="1"/>
  <c r="N44" i="11"/>
  <c r="N89" i="11"/>
  <c r="O89" i="11" s="1"/>
  <c r="N27" i="11"/>
  <c r="N26" i="11"/>
  <c r="N52" i="11"/>
  <c r="N43" i="11"/>
  <c r="N80" i="11"/>
  <c r="N30" i="11"/>
  <c r="N50" i="11"/>
  <c r="N64" i="11"/>
  <c r="N57" i="11"/>
  <c r="N54" i="11"/>
  <c r="N78" i="11"/>
  <c r="N92" i="11"/>
  <c r="O92" i="11" s="1"/>
  <c r="N77" i="11"/>
  <c r="N46" i="11"/>
  <c r="N28" i="11"/>
  <c r="N49" i="11"/>
  <c r="N62" i="11"/>
  <c r="N68" i="11"/>
  <c r="N84" i="11"/>
  <c r="N55" i="11"/>
  <c r="N29" i="11"/>
  <c r="N41" i="11"/>
  <c r="N72" i="11"/>
  <c r="N74" i="11"/>
  <c r="N91" i="11"/>
  <c r="N25" i="11"/>
  <c r="N63" i="11"/>
  <c r="N53" i="11"/>
  <c r="N94" i="11"/>
  <c r="N90" i="11"/>
  <c r="O90" i="11" s="1"/>
  <c r="N39" i="11"/>
  <c r="N76" i="11"/>
  <c r="N73" i="11"/>
  <c r="O73" i="11" s="1"/>
  <c r="N81" i="11"/>
  <c r="N42" i="11"/>
  <c r="N86" i="11"/>
  <c r="N47" i="11"/>
  <c r="N85" i="11"/>
  <c r="O85" i="11" s="1"/>
  <c r="N87" i="11"/>
  <c r="N31" i="11"/>
  <c r="N93" i="11"/>
  <c r="N36" i="11"/>
  <c r="N48" i="11"/>
  <c r="N56" i="11"/>
  <c r="N82" i="11"/>
  <c r="N33" i="11"/>
  <c r="N58" i="11"/>
  <c r="N75" i="11"/>
  <c r="N60" i="11"/>
  <c r="N65" i="11"/>
  <c r="N88" i="11"/>
  <c r="O88" i="11" s="1"/>
  <c r="P121" i="11" l="1"/>
  <c r="R121" i="11" s="1"/>
  <c r="Q143" i="11"/>
  <c r="R143" i="11" s="1"/>
  <c r="P155" i="11"/>
  <c r="Q155" i="11"/>
  <c r="Q142" i="11"/>
  <c r="R142" i="11" s="1"/>
  <c r="W127" i="11"/>
  <c r="W121" i="11"/>
  <c r="W130" i="11"/>
  <c r="W144" i="11"/>
  <c r="W135" i="11"/>
  <c r="W125" i="11"/>
  <c r="W141" i="11"/>
  <c r="W138" i="11"/>
  <c r="W136" i="11"/>
  <c r="W140" i="11"/>
  <c r="W122" i="11"/>
  <c r="W143" i="11"/>
  <c r="O139" i="11"/>
  <c r="Q139" i="11" s="1"/>
  <c r="P134" i="11"/>
  <c r="Q134" i="11"/>
  <c r="P137" i="11"/>
  <c r="Q137" i="11"/>
  <c r="P147" i="11"/>
  <c r="Q147" i="11"/>
  <c r="O153" i="11"/>
  <c r="Q153" i="11" s="1"/>
  <c r="O152" i="11"/>
  <c r="Q152" i="11" s="1"/>
  <c r="O101" i="11"/>
  <c r="Q101" i="11" s="1"/>
  <c r="O129" i="11"/>
  <c r="Q129" i="11" s="1"/>
  <c r="O99" i="11"/>
  <c r="Q99" i="11" s="1"/>
  <c r="O113" i="11"/>
  <c r="Q113" i="11" s="1"/>
  <c r="O108" i="11"/>
  <c r="Q108" i="11" s="1"/>
  <c r="K150" i="11"/>
  <c r="H150" i="11"/>
  <c r="I150" i="11" s="1"/>
  <c r="G162" i="11"/>
  <c r="N162" i="11" s="1"/>
  <c r="O162" i="11" s="1"/>
  <c r="P123" i="11"/>
  <c r="Q123" i="11"/>
  <c r="O104" i="11"/>
  <c r="Q104" i="11" s="1"/>
  <c r="O132" i="11"/>
  <c r="Q132" i="11" s="1"/>
  <c r="O133" i="11"/>
  <c r="Q133" i="11" s="1"/>
  <c r="O115" i="11"/>
  <c r="Q115" i="11" s="1"/>
  <c r="G145" i="11"/>
  <c r="N145" i="11" s="1"/>
  <c r="K133" i="11"/>
  <c r="H133" i="11"/>
  <c r="I133" i="11" s="1"/>
  <c r="O100" i="11"/>
  <c r="Q100" i="11" s="1"/>
  <c r="O130" i="11"/>
  <c r="Q130" i="11" s="1"/>
  <c r="P106" i="11"/>
  <c r="Q106" i="11"/>
  <c r="O144" i="11"/>
  <c r="Q144" i="11" s="1"/>
  <c r="O122" i="11"/>
  <c r="Q122" i="11" s="1"/>
  <c r="O112" i="11"/>
  <c r="Q112" i="11" s="1"/>
  <c r="O118" i="11"/>
  <c r="Q118" i="11" s="1"/>
  <c r="O103" i="11"/>
  <c r="Q103" i="11" s="1"/>
  <c r="K147" i="11"/>
  <c r="G159" i="11"/>
  <c r="N159" i="11" s="1"/>
  <c r="O159" i="11" s="1"/>
  <c r="H147" i="11"/>
  <c r="I147" i="11" s="1"/>
  <c r="K137" i="11"/>
  <c r="H137" i="11"/>
  <c r="I137" i="11" s="1"/>
  <c r="G149" i="11"/>
  <c r="N149" i="11" s="1"/>
  <c r="O149" i="11" s="1"/>
  <c r="O97" i="11"/>
  <c r="Q97" i="11" s="1"/>
  <c r="P119" i="11"/>
  <c r="Q119" i="11"/>
  <c r="P110" i="11"/>
  <c r="Q110" i="11"/>
  <c r="G160" i="11"/>
  <c r="N160" i="11" s="1"/>
  <c r="O160" i="11" s="1"/>
  <c r="Q160" i="11" s="1"/>
  <c r="K148" i="11"/>
  <c r="H148" i="11"/>
  <c r="I148" i="11" s="1"/>
  <c r="O98" i="11"/>
  <c r="Q98" i="11" s="1"/>
  <c r="O105" i="11"/>
  <c r="Q105" i="11" s="1"/>
  <c r="P126" i="11"/>
  <c r="Q126" i="11"/>
  <c r="P116" i="11"/>
  <c r="Q116" i="11"/>
  <c r="G167" i="11"/>
  <c r="N167" i="11" s="1"/>
  <c r="O167" i="11" s="1"/>
  <c r="P167" i="11" s="1"/>
  <c r="K155" i="11"/>
  <c r="H155" i="11"/>
  <c r="I155" i="11" s="1"/>
  <c r="P114" i="11"/>
  <c r="Q114" i="11"/>
  <c r="P120" i="11"/>
  <c r="Q120" i="11"/>
  <c r="Q138" i="11"/>
  <c r="R138" i="11" s="1"/>
  <c r="O135" i="11"/>
  <c r="Q135" i="11" s="1"/>
  <c r="P124" i="11"/>
  <c r="Q124" i="11"/>
  <c r="O117" i="11"/>
  <c r="Q117" i="11" s="1"/>
  <c r="O111" i="11"/>
  <c r="Q111" i="11" s="1"/>
  <c r="H142" i="11"/>
  <c r="I142" i="11" s="1"/>
  <c r="K142" i="11"/>
  <c r="G154" i="11"/>
  <c r="N154" i="11" s="1"/>
  <c r="O141" i="11"/>
  <c r="Q141" i="11" s="1"/>
  <c r="H152" i="11"/>
  <c r="I152" i="11" s="1"/>
  <c r="K152" i="11"/>
  <c r="G164" i="11"/>
  <c r="N164" i="11" s="1"/>
  <c r="O164" i="11" s="1"/>
  <c r="Q164" i="11" s="1"/>
  <c r="P131" i="11"/>
  <c r="Q131" i="11"/>
  <c r="O102" i="11"/>
  <c r="Q102" i="11" s="1"/>
  <c r="O107" i="11"/>
  <c r="Q107" i="11" s="1"/>
  <c r="G151" i="11"/>
  <c r="N151" i="11" s="1"/>
  <c r="K139" i="11"/>
  <c r="H139" i="11"/>
  <c r="I139" i="11" s="1"/>
  <c r="P128" i="11"/>
  <c r="Q128" i="11"/>
  <c r="O127" i="11"/>
  <c r="Q127" i="11" s="1"/>
  <c r="P140" i="11"/>
  <c r="Q140" i="11"/>
  <c r="H134" i="11"/>
  <c r="I134" i="11" s="1"/>
  <c r="K134" i="11"/>
  <c r="G146" i="11"/>
  <c r="N146" i="11" s="1"/>
  <c r="O136" i="11"/>
  <c r="Q136" i="11" s="1"/>
  <c r="O109" i="11"/>
  <c r="Q109" i="11" s="1"/>
  <c r="O125" i="11"/>
  <c r="Q125" i="11" s="1"/>
  <c r="G165" i="11"/>
  <c r="N165" i="11" s="1"/>
  <c r="K153" i="11"/>
  <c r="H153" i="11"/>
  <c r="I153" i="11" s="1"/>
  <c r="G168" i="11"/>
  <c r="N168" i="11" s="1"/>
  <c r="O168" i="11" s="1"/>
  <c r="K156" i="11"/>
  <c r="H156" i="11"/>
  <c r="I156" i="11" s="1"/>
  <c r="B198" i="11"/>
  <c r="P148" i="11"/>
  <c r="Q156" i="11"/>
  <c r="R156" i="11" s="1"/>
  <c r="B203" i="11"/>
  <c r="B184" i="11"/>
  <c r="B190" i="11"/>
  <c r="B201" i="11"/>
  <c r="B194" i="11"/>
  <c r="B187" i="11"/>
  <c r="B197" i="11"/>
  <c r="B192" i="11"/>
  <c r="B200" i="11"/>
  <c r="Q150" i="11"/>
  <c r="R150" i="11" s="1"/>
  <c r="B183" i="11"/>
  <c r="B205" i="11"/>
  <c r="P88" i="11"/>
  <c r="Q88" i="11"/>
  <c r="O70" i="11"/>
  <c r="Q70" i="11" s="1"/>
  <c r="O65" i="11"/>
  <c r="Q65" i="11" s="1"/>
  <c r="O46" i="11"/>
  <c r="Q46" i="11" s="1"/>
  <c r="O60" i="11"/>
  <c r="Q60" i="11" s="1"/>
  <c r="O77" i="11"/>
  <c r="Q77" i="11" s="1"/>
  <c r="O75" i="11"/>
  <c r="Q75" i="11" s="1"/>
  <c r="P92" i="11"/>
  <c r="Q92" i="11"/>
  <c r="O58" i="11"/>
  <c r="Q58" i="11" s="1"/>
  <c r="O78" i="11"/>
  <c r="Q78" i="11" s="1"/>
  <c r="O81" i="11"/>
  <c r="Q81" i="11" s="1"/>
  <c r="P83" i="11"/>
  <c r="Q83" i="11"/>
  <c r="O82" i="11"/>
  <c r="Q82" i="11" s="1"/>
  <c r="O37" i="11"/>
  <c r="Q37" i="11" s="1"/>
  <c r="O56" i="11"/>
  <c r="Q56" i="11" s="1"/>
  <c r="O64" i="11"/>
  <c r="Q64" i="11" s="1"/>
  <c r="P90" i="11"/>
  <c r="Q90" i="11"/>
  <c r="O68" i="11"/>
  <c r="Q68" i="11" s="1"/>
  <c r="O30" i="11"/>
  <c r="Q30" i="11" s="1"/>
  <c r="O59" i="11"/>
  <c r="Q59" i="11" s="1"/>
  <c r="O67" i="11"/>
  <c r="Q67" i="11" s="1"/>
  <c r="O87" i="11"/>
  <c r="Q87" i="11" s="1"/>
  <c r="O28" i="11"/>
  <c r="Q28" i="11" s="1"/>
  <c r="P85" i="11"/>
  <c r="Q85" i="11"/>
  <c r="O26" i="11"/>
  <c r="Q26" i="11" s="1"/>
  <c r="O91" i="11"/>
  <c r="Q91" i="11" s="1"/>
  <c r="O38" i="11"/>
  <c r="Q38" i="11" s="1"/>
  <c r="O86" i="11"/>
  <c r="Q86" i="11" s="1"/>
  <c r="O74" i="11"/>
  <c r="Q74" i="11" s="1"/>
  <c r="O51" i="11"/>
  <c r="Q51" i="11" s="1"/>
  <c r="O72" i="11"/>
  <c r="Q72" i="11" s="1"/>
  <c r="O32" i="11"/>
  <c r="Q32" i="11" s="1"/>
  <c r="P73" i="11"/>
  <c r="Q73" i="11"/>
  <c r="O57" i="11"/>
  <c r="Q57" i="11" s="1"/>
  <c r="O55" i="11"/>
  <c r="Q55" i="11" s="1"/>
  <c r="O69" i="11"/>
  <c r="Q69" i="11" s="1"/>
  <c r="O48" i="11"/>
  <c r="Q48" i="11" s="1"/>
  <c r="O84" i="11"/>
  <c r="Q84" i="11" s="1"/>
  <c r="O66" i="11"/>
  <c r="Q66" i="11" s="1"/>
  <c r="O93" i="11"/>
  <c r="Q93" i="11" s="1"/>
  <c r="O94" i="11"/>
  <c r="Q94" i="11" s="1"/>
  <c r="O62" i="11"/>
  <c r="Q62" i="11" s="1"/>
  <c r="O80" i="11"/>
  <c r="Q80" i="11" s="1"/>
  <c r="O35" i="11"/>
  <c r="Q35" i="11" s="1"/>
  <c r="O96" i="11"/>
  <c r="Q96" i="11" s="1"/>
  <c r="O63" i="11"/>
  <c r="Q63" i="11" s="1"/>
  <c r="O52" i="11"/>
  <c r="Q52" i="11" s="1"/>
  <c r="O25" i="11"/>
  <c r="Q25" i="11" s="1"/>
  <c r="T25" i="11" s="1"/>
  <c r="U25" i="11" s="1"/>
  <c r="V25" i="11" s="1"/>
  <c r="X25" i="11" s="1"/>
  <c r="O95" i="11"/>
  <c r="Q95" i="11" s="1"/>
  <c r="O47" i="11"/>
  <c r="Q47" i="11" s="1"/>
  <c r="O27" i="11"/>
  <c r="Q27" i="11" s="1"/>
  <c r="P89" i="11"/>
  <c r="Q89" i="11"/>
  <c r="O42" i="11"/>
  <c r="Q42" i="11" s="1"/>
  <c r="O44" i="11"/>
  <c r="Q44" i="11" s="1"/>
  <c r="O33" i="11"/>
  <c r="Q33" i="11" s="1"/>
  <c r="O41" i="11"/>
  <c r="Q41" i="11" s="1"/>
  <c r="O54" i="11"/>
  <c r="Q54" i="11" s="1"/>
  <c r="O40" i="11"/>
  <c r="Q40" i="11" s="1"/>
  <c r="O29" i="11"/>
  <c r="Q29" i="11" s="1"/>
  <c r="O45" i="11"/>
  <c r="Q45" i="11" s="1"/>
  <c r="O76" i="11"/>
  <c r="Q76" i="11" s="1"/>
  <c r="O34" i="11"/>
  <c r="Q34" i="11" s="1"/>
  <c r="O39" i="11"/>
  <c r="Q39" i="11" s="1"/>
  <c r="O50" i="11"/>
  <c r="Q50" i="11" s="1"/>
  <c r="O71" i="11"/>
  <c r="Q71" i="11" s="1"/>
  <c r="O36" i="11"/>
  <c r="Q36" i="11" s="1"/>
  <c r="O31" i="11"/>
  <c r="Q31" i="11" s="1"/>
  <c r="O53" i="11"/>
  <c r="Q53" i="11" s="1"/>
  <c r="O49" i="11"/>
  <c r="Q49" i="11" s="1"/>
  <c r="O43" i="11"/>
  <c r="Q43" i="11" s="1"/>
  <c r="O79" i="11"/>
  <c r="Q79" i="11" s="1"/>
  <c r="O61" i="11"/>
  <c r="Q61" i="11" s="1"/>
  <c r="P113" i="11" l="1"/>
  <c r="R113" i="11" s="1"/>
  <c r="P133" i="11"/>
  <c r="R133" i="11" s="1"/>
  <c r="P99" i="11"/>
  <c r="R99" i="11" s="1"/>
  <c r="Y25" i="11"/>
  <c r="AC25" i="11"/>
  <c r="P97" i="11"/>
  <c r="R97" i="11" s="1"/>
  <c r="P122" i="11"/>
  <c r="R122" i="11" s="1"/>
  <c r="P135" i="11"/>
  <c r="R135" i="11" s="1"/>
  <c r="P144" i="11"/>
  <c r="R144" i="11" s="1"/>
  <c r="P132" i="11"/>
  <c r="R132" i="11" s="1"/>
  <c r="R155" i="11"/>
  <c r="P127" i="11"/>
  <c r="R127" i="11" s="1"/>
  <c r="P54" i="11"/>
  <c r="R54" i="11" s="1"/>
  <c r="P115" i="11"/>
  <c r="R115" i="11" s="1"/>
  <c r="P108" i="11"/>
  <c r="R108" i="11" s="1"/>
  <c r="P141" i="11"/>
  <c r="R141" i="11" s="1"/>
  <c r="P98" i="11"/>
  <c r="R98" i="11" s="1"/>
  <c r="P125" i="11"/>
  <c r="R125" i="11" s="1"/>
  <c r="P129" i="11"/>
  <c r="R129" i="11" s="1"/>
  <c r="P102" i="11"/>
  <c r="R102" i="11" s="1"/>
  <c r="P153" i="11"/>
  <c r="R153" i="11" s="1"/>
  <c r="P86" i="11"/>
  <c r="R86" i="11" s="1"/>
  <c r="P160" i="11"/>
  <c r="R160" i="11" s="1"/>
  <c r="P100" i="11"/>
  <c r="R100" i="11" s="1"/>
  <c r="P77" i="11"/>
  <c r="R77" i="11" s="1"/>
  <c r="P162" i="11"/>
  <c r="Q162" i="11"/>
  <c r="P104" i="11"/>
  <c r="R104" i="11" s="1"/>
  <c r="P117" i="11"/>
  <c r="R117" i="11" s="1"/>
  <c r="R110" i="11"/>
  <c r="P103" i="11"/>
  <c r="R103" i="11" s="1"/>
  <c r="R147" i="11"/>
  <c r="P164" i="11"/>
  <c r="R164" i="11" s="1"/>
  <c r="P93" i="11"/>
  <c r="R93" i="11" s="1"/>
  <c r="R131" i="11"/>
  <c r="P139" i="11"/>
  <c r="R139" i="11" s="1"/>
  <c r="R119" i="11"/>
  <c r="P118" i="11"/>
  <c r="R118" i="11" s="1"/>
  <c r="P101" i="11"/>
  <c r="R101" i="11" s="1"/>
  <c r="W142" i="11"/>
  <c r="W156" i="11"/>
  <c r="W153" i="11"/>
  <c r="W150" i="11"/>
  <c r="W152" i="11"/>
  <c r="W139" i="11"/>
  <c r="W137" i="11"/>
  <c r="W148" i="11"/>
  <c r="W147" i="11"/>
  <c r="W155" i="11"/>
  <c r="W134" i="11"/>
  <c r="W133" i="11"/>
  <c r="Q159" i="11"/>
  <c r="P159" i="11"/>
  <c r="Q168" i="11"/>
  <c r="P168" i="11"/>
  <c r="O154" i="11"/>
  <c r="Q154" i="11" s="1"/>
  <c r="O145" i="11"/>
  <c r="Q145" i="11" s="1"/>
  <c r="O146" i="11"/>
  <c r="Q146" i="11" s="1"/>
  <c r="H154" i="11"/>
  <c r="I154" i="11" s="1"/>
  <c r="K154" i="11"/>
  <c r="G166" i="11"/>
  <c r="N166" i="11" s="1"/>
  <c r="P152" i="11"/>
  <c r="R152" i="11" s="1"/>
  <c r="R114" i="11"/>
  <c r="G177" i="11"/>
  <c r="N177" i="11" s="1"/>
  <c r="H165" i="11"/>
  <c r="I165" i="11" s="1"/>
  <c r="K165" i="11"/>
  <c r="R106" i="11"/>
  <c r="O165" i="11"/>
  <c r="Q165" i="11" s="1"/>
  <c r="R137" i="11"/>
  <c r="H164" i="11"/>
  <c r="I164" i="11" s="1"/>
  <c r="G176" i="11"/>
  <c r="N176" i="11" s="1"/>
  <c r="O176" i="11" s="1"/>
  <c r="P176" i="11" s="1"/>
  <c r="K164" i="11"/>
  <c r="R116" i="11"/>
  <c r="R128" i="11"/>
  <c r="R134" i="11"/>
  <c r="O151" i="11"/>
  <c r="Q151" i="11" s="1"/>
  <c r="K168" i="11"/>
  <c r="G180" i="11"/>
  <c r="N180" i="11" s="1"/>
  <c r="O180" i="11" s="1"/>
  <c r="P180" i="11" s="1"/>
  <c r="H168" i="11"/>
  <c r="I168" i="11" s="1"/>
  <c r="P107" i="11"/>
  <c r="R107" i="11" s="1"/>
  <c r="K149" i="11"/>
  <c r="G161" i="11"/>
  <c r="N161" i="11" s="1"/>
  <c r="H149" i="11"/>
  <c r="I149" i="11" s="1"/>
  <c r="R140" i="11"/>
  <c r="H159" i="11"/>
  <c r="I159" i="11" s="1"/>
  <c r="G171" i="11"/>
  <c r="N171" i="11" s="1"/>
  <c r="O171" i="11" s="1"/>
  <c r="K159" i="11"/>
  <c r="P130" i="11"/>
  <c r="R130" i="11" s="1"/>
  <c r="R124" i="11"/>
  <c r="P109" i="11"/>
  <c r="R109" i="11" s="1"/>
  <c r="R126" i="11"/>
  <c r="R123" i="11"/>
  <c r="P149" i="11"/>
  <c r="Q149" i="11"/>
  <c r="R120" i="11"/>
  <c r="K162" i="11"/>
  <c r="H162" i="11"/>
  <c r="I162" i="11" s="1"/>
  <c r="G174" i="11"/>
  <c r="N174" i="11" s="1"/>
  <c r="O174" i="11" s="1"/>
  <c r="P174" i="11" s="1"/>
  <c r="K146" i="11"/>
  <c r="H146" i="11"/>
  <c r="I146" i="11" s="1"/>
  <c r="G158" i="11"/>
  <c r="N158" i="11" s="1"/>
  <c r="O158" i="11" s="1"/>
  <c r="P111" i="11"/>
  <c r="R111" i="11" s="1"/>
  <c r="H160" i="11"/>
  <c r="I160" i="11" s="1"/>
  <c r="G172" i="11"/>
  <c r="N172" i="11" s="1"/>
  <c r="O172" i="11" s="1"/>
  <c r="P172" i="11" s="1"/>
  <c r="K160" i="11"/>
  <c r="G179" i="11"/>
  <c r="N179" i="11" s="1"/>
  <c r="O179" i="11" s="1"/>
  <c r="P179" i="11" s="1"/>
  <c r="H167" i="11"/>
  <c r="I167" i="11" s="1"/>
  <c r="K167" i="11"/>
  <c r="P35" i="11"/>
  <c r="R35" i="11" s="1"/>
  <c r="R85" i="11"/>
  <c r="P60" i="11"/>
  <c r="R60" i="11" s="1"/>
  <c r="P136" i="11"/>
  <c r="R136" i="11" s="1"/>
  <c r="G163" i="11"/>
  <c r="N163" i="11" s="1"/>
  <c r="K151" i="11"/>
  <c r="H151" i="11"/>
  <c r="I151" i="11" s="1"/>
  <c r="P105" i="11"/>
  <c r="R105" i="11" s="1"/>
  <c r="P112" i="11"/>
  <c r="R112" i="11" s="1"/>
  <c r="H145" i="11"/>
  <c r="I145" i="11" s="1"/>
  <c r="K145" i="11"/>
  <c r="G157" i="11"/>
  <c r="N157" i="11" s="1"/>
  <c r="B213" i="11"/>
  <c r="B202" i="11"/>
  <c r="B210" i="11"/>
  <c r="Q167" i="11"/>
  <c r="R167" i="11" s="1"/>
  <c r="B204" i="11"/>
  <c r="B206" i="11"/>
  <c r="B209" i="11"/>
  <c r="R148" i="11"/>
  <c r="B217" i="11"/>
  <c r="B195" i="11"/>
  <c r="B199" i="11"/>
  <c r="B215" i="11"/>
  <c r="B212" i="11"/>
  <c r="B196" i="11"/>
  <c r="P72" i="11"/>
  <c r="R72" i="11" s="1"/>
  <c r="P95" i="11"/>
  <c r="R95" i="11" s="1"/>
  <c r="P59" i="11"/>
  <c r="R59" i="11" s="1"/>
  <c r="P81" i="11"/>
  <c r="R81" i="11" s="1"/>
  <c r="P30" i="11"/>
  <c r="R30" i="11" s="1"/>
  <c r="P50" i="11"/>
  <c r="R50" i="11" s="1"/>
  <c r="P44" i="11"/>
  <c r="R44" i="11" s="1"/>
  <c r="P55" i="11"/>
  <c r="R55" i="11" s="1"/>
  <c r="R83" i="11"/>
  <c r="P91" i="11"/>
  <c r="R91" i="11" s="1"/>
  <c r="P68" i="11"/>
  <c r="R68" i="11" s="1"/>
  <c r="P27" i="11"/>
  <c r="R27" i="11" s="1"/>
  <c r="P62" i="11"/>
  <c r="R62" i="11" s="1"/>
  <c r="R73" i="11"/>
  <c r="P26" i="11"/>
  <c r="R26" i="11" s="1"/>
  <c r="P58" i="11"/>
  <c r="R58" i="11" s="1"/>
  <c r="P53" i="11"/>
  <c r="R53" i="11" s="1"/>
  <c r="P94" i="11"/>
  <c r="R94" i="11" s="1"/>
  <c r="R90" i="11"/>
  <c r="P71" i="11"/>
  <c r="R71" i="11" s="1"/>
  <c r="P25" i="11"/>
  <c r="R25" i="11" s="1"/>
  <c r="S25" i="11" s="1"/>
  <c r="P78" i="11"/>
  <c r="R78" i="11" s="1"/>
  <c r="P65" i="11"/>
  <c r="R65" i="11" s="1"/>
  <c r="P61" i="11"/>
  <c r="R61" i="11" s="1"/>
  <c r="P63" i="11"/>
  <c r="R63" i="11" s="1"/>
  <c r="P51" i="11"/>
  <c r="R51" i="11" s="1"/>
  <c r="P28" i="11"/>
  <c r="R28" i="11" s="1"/>
  <c r="P64" i="11"/>
  <c r="R64" i="11" s="1"/>
  <c r="R88" i="11"/>
  <c r="P49" i="11"/>
  <c r="R49" i="11" s="1"/>
  <c r="P76" i="11"/>
  <c r="R76" i="11" s="1"/>
  <c r="P48" i="11"/>
  <c r="R48" i="11" s="1"/>
  <c r="P40" i="11"/>
  <c r="R40" i="11" s="1"/>
  <c r="P80" i="11"/>
  <c r="R80" i="11" s="1"/>
  <c r="P69" i="11"/>
  <c r="R69" i="11" s="1"/>
  <c r="P87" i="11"/>
  <c r="R87" i="11" s="1"/>
  <c r="P38" i="11"/>
  <c r="R38" i="11" s="1"/>
  <c r="P67" i="11"/>
  <c r="R67" i="11" s="1"/>
  <c r="P56" i="11"/>
  <c r="R56" i="11" s="1"/>
  <c r="P57" i="11"/>
  <c r="R57" i="11" s="1"/>
  <c r="P46" i="11"/>
  <c r="R46" i="11" s="1"/>
  <c r="P79" i="11"/>
  <c r="R79" i="11" s="1"/>
  <c r="P43" i="11"/>
  <c r="R43" i="11" s="1"/>
  <c r="P39" i="11"/>
  <c r="R39" i="11" s="1"/>
  <c r="P45" i="11"/>
  <c r="R45" i="11" s="1"/>
  <c r="R89" i="11"/>
  <c r="P96" i="11"/>
  <c r="R96" i="11" s="1"/>
  <c r="P66" i="11"/>
  <c r="R66" i="11" s="1"/>
  <c r="P82" i="11"/>
  <c r="R82" i="11" s="1"/>
  <c r="P75" i="11"/>
  <c r="R75" i="11" s="1"/>
  <c r="P36" i="11"/>
  <c r="R36" i="11" s="1"/>
  <c r="P33" i="11"/>
  <c r="R33" i="11" s="1"/>
  <c r="P29" i="11"/>
  <c r="R29" i="11" s="1"/>
  <c r="P41" i="11"/>
  <c r="R41" i="11" s="1"/>
  <c r="P42" i="11"/>
  <c r="R42" i="11" s="1"/>
  <c r="P47" i="11"/>
  <c r="R47" i="11" s="1"/>
  <c r="P52" i="11"/>
  <c r="R52" i="11" s="1"/>
  <c r="P84" i="11"/>
  <c r="R84" i="11" s="1"/>
  <c r="P32" i="11"/>
  <c r="R32" i="11" s="1"/>
  <c r="P74" i="11"/>
  <c r="R74" i="11" s="1"/>
  <c r="P37" i="11"/>
  <c r="R37" i="11" s="1"/>
  <c r="R92" i="11"/>
  <c r="P70" i="11"/>
  <c r="R70" i="11" s="1"/>
  <c r="P34" i="11"/>
  <c r="R34" i="11" s="1"/>
  <c r="P31" i="11"/>
  <c r="R31" i="11" s="1"/>
  <c r="R149" i="11" l="1"/>
  <c r="R168" i="11"/>
  <c r="R162" i="11"/>
  <c r="R159" i="11"/>
  <c r="P171" i="11"/>
  <c r="Q171" i="11"/>
  <c r="P165" i="11"/>
  <c r="R165" i="11" s="1"/>
  <c r="Q176" i="11"/>
  <c r="R176" i="11" s="1"/>
  <c r="P154" i="11"/>
  <c r="R154" i="11" s="1"/>
  <c r="P151" i="11"/>
  <c r="R151" i="11" s="1"/>
  <c r="W165" i="11"/>
  <c r="W162" i="11"/>
  <c r="W159" i="11"/>
  <c r="W145" i="11"/>
  <c r="W167" i="11"/>
  <c r="W149" i="11"/>
  <c r="W151" i="11"/>
  <c r="W164" i="11"/>
  <c r="W160" i="11"/>
  <c r="W154" i="11"/>
  <c r="W168" i="11"/>
  <c r="W146" i="11"/>
  <c r="H166" i="11"/>
  <c r="I166" i="11" s="1"/>
  <c r="K166" i="11"/>
  <c r="G178" i="11"/>
  <c r="N178" i="11" s="1"/>
  <c r="G170" i="11"/>
  <c r="N170" i="11" s="1"/>
  <c r="H158" i="11"/>
  <c r="I158" i="11" s="1"/>
  <c r="K158" i="11"/>
  <c r="H180" i="11"/>
  <c r="I180" i="11" s="1"/>
  <c r="K180" i="11"/>
  <c r="G192" i="11"/>
  <c r="N192" i="11" s="1"/>
  <c r="O157" i="11"/>
  <c r="Q157" i="11" s="1"/>
  <c r="H177" i="11"/>
  <c r="I177" i="11" s="1"/>
  <c r="G189" i="11"/>
  <c r="N189" i="11" s="1"/>
  <c r="K177" i="11"/>
  <c r="H157" i="11"/>
  <c r="I157" i="11" s="1"/>
  <c r="K157" i="11"/>
  <c r="G169" i="11"/>
  <c r="N169" i="11" s="1"/>
  <c r="O169" i="11" s="1"/>
  <c r="H171" i="11"/>
  <c r="I171" i="11" s="1"/>
  <c r="G183" i="11"/>
  <c r="N183" i="11" s="1"/>
  <c r="O183" i="11" s="1"/>
  <c r="Q183" i="11" s="1"/>
  <c r="K171" i="11"/>
  <c r="K172" i="11"/>
  <c r="H172" i="11"/>
  <c r="I172" i="11" s="1"/>
  <c r="G184" i="11"/>
  <c r="N184" i="11" s="1"/>
  <c r="O184" i="11" s="1"/>
  <c r="G175" i="11"/>
  <c r="N175" i="11" s="1"/>
  <c r="H163" i="11"/>
  <c r="I163" i="11" s="1"/>
  <c r="K163" i="11"/>
  <c r="O161" i="11"/>
  <c r="Q161" i="11" s="1"/>
  <c r="P158" i="11"/>
  <c r="Q158" i="11"/>
  <c r="Q172" i="11"/>
  <c r="R172" i="11" s="1"/>
  <c r="P146" i="11"/>
  <c r="R146" i="11" s="1"/>
  <c r="P145" i="11"/>
  <c r="R145" i="11" s="1"/>
  <c r="K179" i="11"/>
  <c r="H179" i="11"/>
  <c r="I179" i="11" s="1"/>
  <c r="G191" i="11"/>
  <c r="N191" i="11" s="1"/>
  <c r="O191" i="11" s="1"/>
  <c r="P191" i="11" s="1"/>
  <c r="K174" i="11"/>
  <c r="G186" i="11"/>
  <c r="N186" i="11" s="1"/>
  <c r="O186" i="11" s="1"/>
  <c r="P186" i="11" s="1"/>
  <c r="H174" i="11"/>
  <c r="I174" i="11" s="1"/>
  <c r="O177" i="11"/>
  <c r="Q177" i="11" s="1"/>
  <c r="G188" i="11"/>
  <c r="N188" i="11" s="1"/>
  <c r="H176" i="11"/>
  <c r="I176" i="11" s="1"/>
  <c r="K176" i="11"/>
  <c r="O163" i="11"/>
  <c r="Q163" i="11" s="1"/>
  <c r="K161" i="11"/>
  <c r="H161" i="11"/>
  <c r="I161" i="11" s="1"/>
  <c r="G173" i="11"/>
  <c r="N173" i="11" s="1"/>
  <c r="O173" i="11" s="1"/>
  <c r="O166" i="11"/>
  <c r="Q166" i="11" s="1"/>
  <c r="Q174" i="11"/>
  <c r="R174" i="11" s="1"/>
  <c r="B222" i="11"/>
  <c r="B224" i="11"/>
  <c r="Q179" i="11"/>
  <c r="R179" i="11" s="1"/>
  <c r="B208" i="11"/>
  <c r="B225" i="11"/>
  <c r="B207" i="11"/>
  <c r="Q180" i="11"/>
  <c r="R180" i="11" s="1"/>
  <c r="B216" i="11"/>
  <c r="B211" i="11"/>
  <c r="B229" i="11"/>
  <c r="B227" i="11"/>
  <c r="B214" i="11"/>
  <c r="B221" i="11"/>
  <c r="B218" i="11"/>
  <c r="T26" i="11"/>
  <c r="U26" i="11" s="1"/>
  <c r="V26" i="11" s="1"/>
  <c r="X26" i="11" s="1"/>
  <c r="S26" i="1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S86" i="11" s="1"/>
  <c r="S87" i="11" s="1"/>
  <c r="S88" i="11" s="1"/>
  <c r="S89" i="11" s="1"/>
  <c r="S90" i="11" s="1"/>
  <c r="S91" i="11" s="1"/>
  <c r="S92" i="11" s="1"/>
  <c r="S93" i="11" s="1"/>
  <c r="S94" i="11" s="1"/>
  <c r="S95" i="11" s="1"/>
  <c r="S96" i="11" s="1"/>
  <c r="S97" i="11" s="1"/>
  <c r="S98" i="11" s="1"/>
  <c r="S99" i="11" s="1"/>
  <c r="S100" i="11" s="1"/>
  <c r="S101" i="11" s="1"/>
  <c r="S102" i="11" s="1"/>
  <c r="S103" i="11" s="1"/>
  <c r="S104" i="11" s="1"/>
  <c r="S105" i="11" s="1"/>
  <c r="S106" i="11" s="1"/>
  <c r="S107" i="11" s="1"/>
  <c r="S108" i="11" s="1"/>
  <c r="S109" i="11" s="1"/>
  <c r="S110" i="11" s="1"/>
  <c r="S111" i="11" s="1"/>
  <c r="S112" i="11" s="1"/>
  <c r="S113" i="11" s="1"/>
  <c r="S114" i="11" s="1"/>
  <c r="S115" i="11" s="1"/>
  <c r="S116" i="11" s="1"/>
  <c r="S117" i="11" s="1"/>
  <c r="S118" i="11" s="1"/>
  <c r="S119" i="11" s="1"/>
  <c r="S120" i="11" s="1"/>
  <c r="S121" i="11" s="1"/>
  <c r="S122" i="11" s="1"/>
  <c r="S123" i="11" s="1"/>
  <c r="S124" i="11" s="1"/>
  <c r="S125" i="11" s="1"/>
  <c r="S126" i="11" s="1"/>
  <c r="S127" i="11" s="1"/>
  <c r="S128" i="11" s="1"/>
  <c r="S129" i="11" s="1"/>
  <c r="S130" i="11" s="1"/>
  <c r="S131" i="11" s="1"/>
  <c r="S132" i="11" s="1"/>
  <c r="S133" i="11" s="1"/>
  <c r="S134" i="11" s="1"/>
  <c r="S135" i="11" s="1"/>
  <c r="S136" i="11" s="1"/>
  <c r="S137" i="11" s="1"/>
  <c r="S138" i="11" s="1"/>
  <c r="S139" i="11" s="1"/>
  <c r="S140" i="11" s="1"/>
  <c r="S141" i="11" s="1"/>
  <c r="S142" i="11" s="1"/>
  <c r="S143" i="11" s="1"/>
  <c r="S144" i="11" s="1"/>
  <c r="S145" i="11" l="1"/>
  <c r="S146" i="11" s="1"/>
  <c r="S147" i="11" s="1"/>
  <c r="S148" i="11" s="1"/>
  <c r="S149" i="11" s="1"/>
  <c r="S150" i="11" s="1"/>
  <c r="S151" i="11" s="1"/>
  <c r="S152" i="11" s="1"/>
  <c r="S153" i="11" s="1"/>
  <c r="S154" i="11" s="1"/>
  <c r="S155" i="11" s="1"/>
  <c r="S156" i="11" s="1"/>
  <c r="AC26" i="11"/>
  <c r="R171" i="11"/>
  <c r="P166" i="11"/>
  <c r="R166" i="11" s="1"/>
  <c r="P163" i="11"/>
  <c r="R163" i="11" s="1"/>
  <c r="P161" i="11"/>
  <c r="R161" i="11" s="1"/>
  <c r="P157" i="11"/>
  <c r="R157" i="11" s="1"/>
  <c r="W158" i="11"/>
  <c r="W174" i="11"/>
  <c r="W157" i="11"/>
  <c r="W163" i="11"/>
  <c r="W166" i="11"/>
  <c r="W177" i="11"/>
  <c r="W161" i="11"/>
  <c r="W179" i="11"/>
  <c r="W172" i="11"/>
  <c r="W180" i="11"/>
  <c r="W176" i="11"/>
  <c r="W171" i="11"/>
  <c r="P184" i="11"/>
  <c r="Q184" i="11"/>
  <c r="G203" i="11"/>
  <c r="N203" i="11" s="1"/>
  <c r="O203" i="11" s="1"/>
  <c r="P203" i="11" s="1"/>
  <c r="K191" i="11"/>
  <c r="H191" i="11"/>
  <c r="I191" i="11" s="1"/>
  <c r="G200" i="11"/>
  <c r="N200" i="11" s="1"/>
  <c r="H188" i="11"/>
  <c r="I188" i="11" s="1"/>
  <c r="K188" i="11"/>
  <c r="G196" i="11"/>
  <c r="N196" i="11" s="1"/>
  <c r="O196" i="11" s="1"/>
  <c r="Q196" i="11" s="1"/>
  <c r="H184" i="11"/>
  <c r="I184" i="11" s="1"/>
  <c r="K184" i="11"/>
  <c r="G195" i="11"/>
  <c r="N195" i="11" s="1"/>
  <c r="O195" i="11" s="1"/>
  <c r="P195" i="11" s="1"/>
  <c r="K183" i="11"/>
  <c r="H183" i="11"/>
  <c r="I183" i="11" s="1"/>
  <c r="P169" i="11"/>
  <c r="Q169" i="11"/>
  <c r="H169" i="11"/>
  <c r="I169" i="11" s="1"/>
  <c r="G181" i="11"/>
  <c r="N181" i="11" s="1"/>
  <c r="O181" i="11" s="1"/>
  <c r="K169" i="11"/>
  <c r="O178" i="11"/>
  <c r="Q178" i="11" s="1"/>
  <c r="O188" i="11"/>
  <c r="Q188" i="11" s="1"/>
  <c r="R158" i="11"/>
  <c r="P173" i="11"/>
  <c r="Q173" i="11"/>
  <c r="H175" i="11"/>
  <c r="I175" i="11" s="1"/>
  <c r="K175" i="11"/>
  <c r="G187" i="11"/>
  <c r="N187" i="11" s="1"/>
  <c r="H178" i="11"/>
  <c r="I178" i="11" s="1"/>
  <c r="G190" i="11"/>
  <c r="N190" i="11" s="1"/>
  <c r="O190" i="11" s="1"/>
  <c r="K178" i="11"/>
  <c r="G204" i="11"/>
  <c r="N204" i="11" s="1"/>
  <c r="O204" i="11" s="1"/>
  <c r="P204" i="11" s="1"/>
  <c r="H192" i="11"/>
  <c r="I192" i="11" s="1"/>
  <c r="K192" i="11"/>
  <c r="G182" i="11"/>
  <c r="N182" i="11" s="1"/>
  <c r="K170" i="11"/>
  <c r="H170" i="11"/>
  <c r="I170" i="11" s="1"/>
  <c r="P177" i="11"/>
  <c r="R177" i="11" s="1"/>
  <c r="O170" i="11"/>
  <c r="Q170" i="11" s="1"/>
  <c r="O192" i="11"/>
  <c r="Q192" i="11" s="1"/>
  <c r="G198" i="11"/>
  <c r="N198" i="11" s="1"/>
  <c r="O198" i="11" s="1"/>
  <c r="P198" i="11" s="1"/>
  <c r="K186" i="11"/>
  <c r="H186" i="11"/>
  <c r="I186" i="11" s="1"/>
  <c r="K189" i="11"/>
  <c r="G201" i="11"/>
  <c r="N201" i="11" s="1"/>
  <c r="H189" i="11"/>
  <c r="I189" i="11" s="1"/>
  <c r="G185" i="11"/>
  <c r="N185" i="11" s="1"/>
  <c r="K173" i="11"/>
  <c r="H173" i="11"/>
  <c r="I173" i="11" s="1"/>
  <c r="O175" i="11"/>
  <c r="Q175" i="11" s="1"/>
  <c r="O189" i="11"/>
  <c r="Q189" i="11" s="1"/>
  <c r="B220" i="11"/>
  <c r="B239" i="11"/>
  <c r="B237" i="11"/>
  <c r="B236" i="11"/>
  <c r="B233" i="11"/>
  <c r="P183" i="11"/>
  <c r="B228" i="11"/>
  <c r="B219" i="11"/>
  <c r="B234" i="11"/>
  <c r="Q186" i="11"/>
  <c r="R186" i="11" s="1"/>
  <c r="B226" i="11"/>
  <c r="B241" i="11"/>
  <c r="B230" i="11"/>
  <c r="B223" i="11"/>
  <c r="Q191" i="11"/>
  <c r="R191" i="11" s="1"/>
  <c r="T27" i="11"/>
  <c r="U27" i="11" s="1"/>
  <c r="V27" i="11" s="1"/>
  <c r="X27" i="11" s="1"/>
  <c r="Y26" i="11"/>
  <c r="T38" i="11"/>
  <c r="U38" i="11" s="1"/>
  <c r="V38" i="11" s="1"/>
  <c r="X38" i="11" s="1"/>
  <c r="T37" i="11"/>
  <c r="U37" i="11" s="1"/>
  <c r="V37" i="11" s="1"/>
  <c r="X37" i="11" s="1"/>
  <c r="AC37" i="11" s="1"/>
  <c r="T28" i="11"/>
  <c r="S157" i="11" l="1"/>
  <c r="S158" i="11" s="1"/>
  <c r="S159" i="11" s="1"/>
  <c r="S160" i="11" s="1"/>
  <c r="S161" i="11" s="1"/>
  <c r="S162" i="11" s="1"/>
  <c r="S163" i="11" s="1"/>
  <c r="S164" i="11" s="1"/>
  <c r="S165" i="11" s="1"/>
  <c r="S166" i="11" s="1"/>
  <c r="S167" i="11" s="1"/>
  <c r="S168" i="11" s="1"/>
  <c r="Y27" i="11"/>
  <c r="AC27" i="11"/>
  <c r="Y38" i="11"/>
  <c r="AC38" i="11"/>
  <c r="P189" i="11"/>
  <c r="R189" i="11" s="1"/>
  <c r="R184" i="11"/>
  <c r="R173" i="11"/>
  <c r="P175" i="11"/>
  <c r="R175" i="11" s="1"/>
  <c r="P170" i="11"/>
  <c r="R170" i="11" s="1"/>
  <c r="P196" i="11"/>
  <c r="R196" i="11" s="1"/>
  <c r="W169" i="11"/>
  <c r="W191" i="11"/>
  <c r="W178" i="11"/>
  <c r="W183" i="11"/>
  <c r="W173" i="11"/>
  <c r="W175" i="11"/>
  <c r="W170" i="11"/>
  <c r="W189" i="11"/>
  <c r="W184" i="11"/>
  <c r="W192" i="11"/>
  <c r="W186" i="11"/>
  <c r="W188" i="11"/>
  <c r="K196" i="11"/>
  <c r="H196" i="11"/>
  <c r="I196" i="11" s="1"/>
  <c r="G208" i="11"/>
  <c r="N208" i="11" s="1"/>
  <c r="O208" i="11" s="1"/>
  <c r="Q208" i="11" s="1"/>
  <c r="O201" i="11"/>
  <c r="Q201" i="11" s="1"/>
  <c r="K204" i="11"/>
  <c r="G216" i="11"/>
  <c r="N216" i="11" s="1"/>
  <c r="O216" i="11" s="1"/>
  <c r="P216" i="11" s="1"/>
  <c r="H204" i="11"/>
  <c r="I204" i="11" s="1"/>
  <c r="G193" i="11"/>
  <c r="N193" i="11" s="1"/>
  <c r="K181" i="11"/>
  <c r="H181" i="11"/>
  <c r="I181" i="11" s="1"/>
  <c r="P181" i="11"/>
  <c r="Q181" i="11"/>
  <c r="R169" i="11"/>
  <c r="O185" i="11"/>
  <c r="Q185" i="11" s="1"/>
  <c r="H182" i="11"/>
  <c r="I182" i="11" s="1"/>
  <c r="G194" i="11"/>
  <c r="N194" i="11" s="1"/>
  <c r="O194" i="11" s="1"/>
  <c r="K182" i="11"/>
  <c r="H195" i="11"/>
  <c r="I195" i="11" s="1"/>
  <c r="G207" i="11"/>
  <c r="N207" i="11" s="1"/>
  <c r="O207" i="11" s="1"/>
  <c r="Q207" i="11" s="1"/>
  <c r="K195" i="11"/>
  <c r="H201" i="11"/>
  <c r="I201" i="11" s="1"/>
  <c r="G213" i="11"/>
  <c r="N213" i="11" s="1"/>
  <c r="O213" i="11" s="1"/>
  <c r="Q213" i="11" s="1"/>
  <c r="K201" i="11"/>
  <c r="P188" i="11"/>
  <c r="R188" i="11" s="1"/>
  <c r="K198" i="11"/>
  <c r="G210" i="11"/>
  <c r="N210" i="11" s="1"/>
  <c r="O210" i="11" s="1"/>
  <c r="H198" i="11"/>
  <c r="I198" i="11" s="1"/>
  <c r="K190" i="11"/>
  <c r="H190" i="11"/>
  <c r="I190" i="11" s="1"/>
  <c r="G202" i="11"/>
  <c r="N202" i="11" s="1"/>
  <c r="P178" i="11"/>
  <c r="R178" i="11" s="1"/>
  <c r="G212" i="11"/>
  <c r="N212" i="11" s="1"/>
  <c r="O212" i="11" s="1"/>
  <c r="Q212" i="11" s="1"/>
  <c r="K200" i="11"/>
  <c r="H200" i="11"/>
  <c r="I200" i="11" s="1"/>
  <c r="Q195" i="11"/>
  <c r="R195" i="11" s="1"/>
  <c r="P190" i="11"/>
  <c r="Q190" i="11"/>
  <c r="O200" i="11"/>
  <c r="Q200" i="11" s="1"/>
  <c r="O187" i="11"/>
  <c r="Q187" i="11" s="1"/>
  <c r="H187" i="11"/>
  <c r="I187" i="11" s="1"/>
  <c r="G199" i="11"/>
  <c r="N199" i="11" s="1"/>
  <c r="K187" i="11"/>
  <c r="H203" i="11"/>
  <c r="I203" i="11" s="1"/>
  <c r="K203" i="11"/>
  <c r="G215" i="11"/>
  <c r="N215" i="11" s="1"/>
  <c r="O215" i="11" s="1"/>
  <c r="P215" i="11" s="1"/>
  <c r="G197" i="11"/>
  <c r="N197" i="11" s="1"/>
  <c r="K185" i="11"/>
  <c r="H185" i="11"/>
  <c r="I185" i="11" s="1"/>
  <c r="P192" i="11"/>
  <c r="R192" i="11" s="1"/>
  <c r="O182" i="11"/>
  <c r="Q182" i="11" s="1"/>
  <c r="Q204" i="11"/>
  <c r="R204" i="11" s="1"/>
  <c r="R183" i="11"/>
  <c r="B238" i="11"/>
  <c r="Q203" i="11"/>
  <c r="R203" i="11" s="1"/>
  <c r="B249" i="11"/>
  <c r="B232" i="11"/>
  <c r="B240" i="11"/>
  <c r="B246" i="11"/>
  <c r="B253" i="11"/>
  <c r="Q198" i="11"/>
  <c r="R198" i="11" s="1"/>
  <c r="B251" i="11"/>
  <c r="B242" i="11"/>
  <c r="B231" i="11"/>
  <c r="B235" i="11"/>
  <c r="B245" i="11"/>
  <c r="B248" i="11"/>
  <c r="T39" i="11"/>
  <c r="U39" i="11" s="1"/>
  <c r="V39" i="11" s="1"/>
  <c r="X39" i="11" s="1"/>
  <c r="Y37" i="11"/>
  <c r="U28" i="11"/>
  <c r="V28" i="11" s="1"/>
  <c r="X28" i="11" s="1"/>
  <c r="T40" i="11"/>
  <c r="T29" i="11"/>
  <c r="S169" i="11" l="1"/>
  <c r="S170" i="11" s="1"/>
  <c r="S171" i="11" s="1"/>
  <c r="S172" i="11" s="1"/>
  <c r="S173" i="11" s="1"/>
  <c r="S174" i="11" s="1"/>
  <c r="S175" i="11" s="1"/>
  <c r="S176" i="11" s="1"/>
  <c r="S177" i="11" s="1"/>
  <c r="S178" i="11" s="1"/>
  <c r="S179" i="11" s="1"/>
  <c r="S180" i="11" s="1"/>
  <c r="Y28" i="11"/>
  <c r="AC28" i="11"/>
  <c r="Y39" i="11"/>
  <c r="AC39" i="11"/>
  <c r="P182" i="11"/>
  <c r="R182" i="11" s="1"/>
  <c r="P187" i="11"/>
  <c r="R187" i="11" s="1"/>
  <c r="P201" i="11"/>
  <c r="R201" i="11" s="1"/>
  <c r="P212" i="11"/>
  <c r="R212" i="11" s="1"/>
  <c r="P185" i="11"/>
  <c r="R185" i="11" s="1"/>
  <c r="P210" i="11"/>
  <c r="Q210" i="11"/>
  <c r="P208" i="11"/>
  <c r="R208" i="11" s="1"/>
  <c r="P207" i="11"/>
  <c r="R207" i="11" s="1"/>
  <c r="R181" i="11"/>
  <c r="W198" i="11"/>
  <c r="W182" i="11"/>
  <c r="W185" i="11"/>
  <c r="W196" i="11"/>
  <c r="W200" i="11"/>
  <c r="W201" i="11"/>
  <c r="W181" i="11"/>
  <c r="W203" i="11"/>
  <c r="W195" i="11"/>
  <c r="W204" i="11"/>
  <c r="W187" i="11"/>
  <c r="W190" i="11"/>
  <c r="H212" i="11"/>
  <c r="I212" i="11" s="1"/>
  <c r="G224" i="11"/>
  <c r="N224" i="11" s="1"/>
  <c r="O224" i="11" s="1"/>
  <c r="K212" i="11"/>
  <c r="G211" i="11"/>
  <c r="N211" i="11" s="1"/>
  <c r="H199" i="11"/>
  <c r="I199" i="11" s="1"/>
  <c r="K199" i="11"/>
  <c r="G205" i="11"/>
  <c r="N205" i="11" s="1"/>
  <c r="K193" i="11"/>
  <c r="H193" i="11"/>
  <c r="I193" i="11" s="1"/>
  <c r="O199" i="11"/>
  <c r="Q199" i="11" s="1"/>
  <c r="O202" i="11"/>
  <c r="Q202" i="11" s="1"/>
  <c r="G206" i="11"/>
  <c r="N206" i="11" s="1"/>
  <c r="H194" i="11"/>
  <c r="I194" i="11" s="1"/>
  <c r="K194" i="11"/>
  <c r="P194" i="11"/>
  <c r="Q194" i="11"/>
  <c r="G228" i="11"/>
  <c r="N228" i="11" s="1"/>
  <c r="O228" i="11" s="1"/>
  <c r="Q228" i="11" s="1"/>
  <c r="H216" i="11"/>
  <c r="I216" i="11" s="1"/>
  <c r="K216" i="11"/>
  <c r="P213" i="11"/>
  <c r="R213" i="11" s="1"/>
  <c r="P200" i="11"/>
  <c r="R200" i="11" s="1"/>
  <c r="K197" i="11"/>
  <c r="H197" i="11"/>
  <c r="I197" i="11" s="1"/>
  <c r="G209" i="11"/>
  <c r="N209" i="11" s="1"/>
  <c r="K215" i="11"/>
  <c r="G227" i="11"/>
  <c r="N227" i="11" s="1"/>
  <c r="O227" i="11" s="1"/>
  <c r="P227" i="11" s="1"/>
  <c r="H215" i="11"/>
  <c r="I215" i="11" s="1"/>
  <c r="G219" i="11"/>
  <c r="N219" i="11" s="1"/>
  <c r="O219" i="11" s="1"/>
  <c r="Q219" i="11" s="1"/>
  <c r="H207" i="11"/>
  <c r="I207" i="11" s="1"/>
  <c r="K207" i="11"/>
  <c r="O193" i="11"/>
  <c r="Q193" i="11" s="1"/>
  <c r="K202" i="11"/>
  <c r="H202" i="11"/>
  <c r="I202" i="11" s="1"/>
  <c r="G214" i="11"/>
  <c r="N214" i="11" s="1"/>
  <c r="O214" i="11" s="1"/>
  <c r="G222" i="11"/>
  <c r="N222" i="11" s="1"/>
  <c r="O222" i="11" s="1"/>
  <c r="P222" i="11" s="1"/>
  <c r="K210" i="11"/>
  <c r="H210" i="11"/>
  <c r="I210" i="11" s="1"/>
  <c r="O197" i="11"/>
  <c r="Q197" i="11" s="1"/>
  <c r="R190" i="11"/>
  <c r="G225" i="11"/>
  <c r="N225" i="11" s="1"/>
  <c r="H213" i="11"/>
  <c r="I213" i="11" s="1"/>
  <c r="K213" i="11"/>
  <c r="K208" i="11"/>
  <c r="G220" i="11"/>
  <c r="N220" i="11" s="1"/>
  <c r="O220" i="11" s="1"/>
  <c r="Q220" i="11" s="1"/>
  <c r="H208" i="11"/>
  <c r="I208" i="11" s="1"/>
  <c r="B263" i="11"/>
  <c r="B250" i="11"/>
  <c r="Q215" i="11"/>
  <c r="R215" i="11" s="1"/>
  <c r="B258" i="11"/>
  <c r="B243" i="11"/>
  <c r="B252" i="11"/>
  <c r="Q216" i="11"/>
  <c r="R216" i="11" s="1"/>
  <c r="B244" i="11"/>
  <c r="B261" i="11"/>
  <c r="B247" i="11"/>
  <c r="B260" i="11"/>
  <c r="B257" i="11"/>
  <c r="B254" i="11"/>
  <c r="B265" i="11"/>
  <c r="U40" i="11"/>
  <c r="V40" i="11" s="1"/>
  <c r="X40" i="11" s="1"/>
  <c r="U29" i="11"/>
  <c r="V29" i="11" s="1"/>
  <c r="X29" i="11" s="1"/>
  <c r="T41" i="11"/>
  <c r="T30" i="11"/>
  <c r="S181" i="11" l="1"/>
  <c r="S182" i="11" s="1"/>
  <c r="S183" i="11" s="1"/>
  <c r="S184" i="11" s="1"/>
  <c r="S185" i="11" s="1"/>
  <c r="S186" i="11" s="1"/>
  <c r="S187" i="11" s="1"/>
  <c r="S188" i="11" s="1"/>
  <c r="S189" i="11" s="1"/>
  <c r="S190" i="11" s="1"/>
  <c r="S191" i="11" s="1"/>
  <c r="S192" i="11" s="1"/>
  <c r="R210" i="11"/>
  <c r="Y29" i="11"/>
  <c r="AC29" i="11"/>
  <c r="Y40" i="11"/>
  <c r="AC40" i="11"/>
  <c r="R194" i="11"/>
  <c r="P197" i="11"/>
  <c r="R197" i="11" s="1"/>
  <c r="P199" i="11"/>
  <c r="R199" i="11" s="1"/>
  <c r="P228" i="11"/>
  <c r="R228" i="11" s="1"/>
  <c r="W199" i="11"/>
  <c r="W215" i="11"/>
  <c r="W210" i="11"/>
  <c r="W194" i="11"/>
  <c r="W212" i="11"/>
  <c r="W197" i="11"/>
  <c r="W208" i="11"/>
  <c r="W202" i="11"/>
  <c r="W193" i="11"/>
  <c r="W213" i="11"/>
  <c r="W216" i="11"/>
  <c r="W207" i="11"/>
  <c r="G221" i="11"/>
  <c r="N221" i="11" s="1"/>
  <c r="O221" i="11" s="1"/>
  <c r="K209" i="11"/>
  <c r="H209" i="11"/>
  <c r="I209" i="11" s="1"/>
  <c r="G232" i="11"/>
  <c r="N232" i="11" s="1"/>
  <c r="O232" i="11" s="1"/>
  <c r="Q232" i="11" s="1"/>
  <c r="K220" i="11"/>
  <c r="H220" i="11"/>
  <c r="I220" i="11" s="1"/>
  <c r="K214" i="11"/>
  <c r="G226" i="11"/>
  <c r="N226" i="11" s="1"/>
  <c r="H214" i="11"/>
  <c r="I214" i="11" s="1"/>
  <c r="G237" i="11"/>
  <c r="N237" i="11" s="1"/>
  <c r="K225" i="11"/>
  <c r="H225" i="11"/>
  <c r="I225" i="11" s="1"/>
  <c r="P193" i="11"/>
  <c r="R193" i="11" s="1"/>
  <c r="G240" i="11"/>
  <c r="N240" i="11" s="1"/>
  <c r="O240" i="11" s="1"/>
  <c r="P240" i="11" s="1"/>
  <c r="K228" i="11"/>
  <c r="H228" i="11"/>
  <c r="I228" i="11" s="1"/>
  <c r="O225" i="11"/>
  <c r="Q225" i="11" s="1"/>
  <c r="G217" i="11"/>
  <c r="N217" i="11" s="1"/>
  <c r="K205" i="11"/>
  <c r="H205" i="11"/>
  <c r="I205" i="11" s="1"/>
  <c r="P220" i="11"/>
  <c r="R220" i="11" s="1"/>
  <c r="G218" i="11"/>
  <c r="N218" i="11" s="1"/>
  <c r="K206" i="11"/>
  <c r="H206" i="11"/>
  <c r="I206" i="11" s="1"/>
  <c r="K222" i="11"/>
  <c r="G234" i="11"/>
  <c r="N234" i="11" s="1"/>
  <c r="O234" i="11" s="1"/>
  <c r="P234" i="11" s="1"/>
  <c r="H222" i="11"/>
  <c r="I222" i="11" s="1"/>
  <c r="K227" i="11"/>
  <c r="H227" i="11"/>
  <c r="I227" i="11" s="1"/>
  <c r="G239" i="11"/>
  <c r="N239" i="11" s="1"/>
  <c r="O239" i="11" s="1"/>
  <c r="P239" i="11" s="1"/>
  <c r="K224" i="11"/>
  <c r="H224" i="11"/>
  <c r="I224" i="11" s="1"/>
  <c r="G236" i="11"/>
  <c r="N236" i="11" s="1"/>
  <c r="P219" i="11"/>
  <c r="R219" i="11" s="1"/>
  <c r="O209" i="11"/>
  <c r="Q209" i="11" s="1"/>
  <c r="O206" i="11"/>
  <c r="Q206" i="11" s="1"/>
  <c r="P224" i="11"/>
  <c r="Q224" i="11"/>
  <c r="G231" i="11"/>
  <c r="N231" i="11" s="1"/>
  <c r="O231" i="11" s="1"/>
  <c r="K219" i="11"/>
  <c r="H219" i="11"/>
  <c r="I219" i="11" s="1"/>
  <c r="O205" i="11"/>
  <c r="Q205" i="11" s="1"/>
  <c r="H211" i="11"/>
  <c r="I211" i="11" s="1"/>
  <c r="G223" i="11"/>
  <c r="N223" i="11" s="1"/>
  <c r="K211" i="11"/>
  <c r="O211" i="11"/>
  <c r="Q211" i="11" s="1"/>
  <c r="P214" i="11"/>
  <c r="Q214" i="11"/>
  <c r="P202" i="11"/>
  <c r="R202" i="11" s="1"/>
  <c r="B266" i="11"/>
  <c r="B262" i="11"/>
  <c r="B273" i="11"/>
  <c r="B272" i="11"/>
  <c r="B275" i="11"/>
  <c r="B270" i="11"/>
  <c r="Q227" i="11"/>
  <c r="R227" i="11" s="1"/>
  <c r="B264" i="11"/>
  <c r="Q222" i="11"/>
  <c r="R222" i="11" s="1"/>
  <c r="B256" i="11"/>
  <c r="B255" i="11"/>
  <c r="B269" i="11"/>
  <c r="B277" i="11"/>
  <c r="B259" i="11"/>
  <c r="U30" i="11"/>
  <c r="V30" i="11" s="1"/>
  <c r="X30" i="11" s="1"/>
  <c r="U41" i="11"/>
  <c r="V41" i="11" s="1"/>
  <c r="X41" i="11" s="1"/>
  <c r="T42" i="11"/>
  <c r="T31" i="11"/>
  <c r="S193" i="11" l="1"/>
  <c r="S194" i="11" s="1"/>
  <c r="S195" i="11" s="1"/>
  <c r="S196" i="11" s="1"/>
  <c r="S197" i="11" s="1"/>
  <c r="S198" i="11" s="1"/>
  <c r="S199" i="11" s="1"/>
  <c r="S200" i="11" s="1"/>
  <c r="S201" i="11" s="1"/>
  <c r="S202" i="11" s="1"/>
  <c r="S203" i="11" s="1"/>
  <c r="S204" i="11" s="1"/>
  <c r="Y30" i="11"/>
  <c r="AC30" i="11"/>
  <c r="Y41" i="11"/>
  <c r="AC41" i="11"/>
  <c r="P225" i="11"/>
  <c r="R225" i="11" s="1"/>
  <c r="P211" i="11"/>
  <c r="R211" i="11" s="1"/>
  <c r="P206" i="11"/>
  <c r="R206" i="11" s="1"/>
  <c r="Q240" i="11"/>
  <c r="R240" i="11" s="1"/>
  <c r="W222" i="11"/>
  <c r="W228" i="11"/>
  <c r="W209" i="11"/>
  <c r="W206" i="11"/>
  <c r="W225" i="11"/>
  <c r="W211" i="11"/>
  <c r="W224" i="11"/>
  <c r="W205" i="11"/>
  <c r="W214" i="11"/>
  <c r="W219" i="11"/>
  <c r="W227" i="11"/>
  <c r="W220" i="11"/>
  <c r="P231" i="11"/>
  <c r="Q231" i="11"/>
  <c r="G249" i="11"/>
  <c r="N249" i="11" s="1"/>
  <c r="K237" i="11"/>
  <c r="H237" i="11"/>
  <c r="I237" i="11" s="1"/>
  <c r="O236" i="11"/>
  <c r="Q236" i="11" s="1"/>
  <c r="P205" i="11"/>
  <c r="R205" i="11" s="1"/>
  <c r="G229" i="11"/>
  <c r="N229" i="11" s="1"/>
  <c r="O229" i="11" s="1"/>
  <c r="K217" i="11"/>
  <c r="H217" i="11"/>
  <c r="I217" i="11" s="1"/>
  <c r="O217" i="11"/>
  <c r="Q217" i="11" s="1"/>
  <c r="R224" i="11"/>
  <c r="K240" i="11"/>
  <c r="H240" i="11"/>
  <c r="I240" i="11" s="1"/>
  <c r="G252" i="11"/>
  <c r="N252" i="11" s="1"/>
  <c r="O237" i="11"/>
  <c r="Q237" i="11" s="1"/>
  <c r="G248" i="11"/>
  <c r="N248" i="11" s="1"/>
  <c r="O248" i="11" s="1"/>
  <c r="H236" i="11"/>
  <c r="I236" i="11" s="1"/>
  <c r="K236" i="11"/>
  <c r="H231" i="11"/>
  <c r="I231" i="11" s="1"/>
  <c r="G243" i="11"/>
  <c r="N243" i="11" s="1"/>
  <c r="O243" i="11" s="1"/>
  <c r="K231" i="11"/>
  <c r="P232" i="11"/>
  <c r="R232" i="11" s="1"/>
  <c r="G246" i="11"/>
  <c r="N246" i="11" s="1"/>
  <c r="O246" i="11" s="1"/>
  <c r="P246" i="11" s="1"/>
  <c r="H234" i="11"/>
  <c r="I234" i="11" s="1"/>
  <c r="K234" i="11"/>
  <c r="G233" i="11"/>
  <c r="N233" i="11" s="1"/>
  <c r="K221" i="11"/>
  <c r="H221" i="11"/>
  <c r="I221" i="11" s="1"/>
  <c r="O223" i="11"/>
  <c r="Q223" i="11" s="1"/>
  <c r="G230" i="11"/>
  <c r="N230" i="11" s="1"/>
  <c r="H218" i="11"/>
  <c r="I218" i="11" s="1"/>
  <c r="K218" i="11"/>
  <c r="O218" i="11"/>
  <c r="Q218" i="11" s="1"/>
  <c r="O226" i="11"/>
  <c r="Q226" i="11" s="1"/>
  <c r="G238" i="11"/>
  <c r="N238" i="11" s="1"/>
  <c r="O238" i="11" s="1"/>
  <c r="H226" i="11"/>
  <c r="I226" i="11" s="1"/>
  <c r="K226" i="11"/>
  <c r="G251" i="11"/>
  <c r="N251" i="11" s="1"/>
  <c r="O251" i="11" s="1"/>
  <c r="P251" i="11" s="1"/>
  <c r="K239" i="11"/>
  <c r="H239" i="11"/>
  <c r="I239" i="11" s="1"/>
  <c r="H232" i="11"/>
  <c r="I232" i="11" s="1"/>
  <c r="K232" i="11"/>
  <c r="G244" i="11"/>
  <c r="N244" i="11" s="1"/>
  <c r="O244" i="11" s="1"/>
  <c r="P244" i="11" s="1"/>
  <c r="Q234" i="11"/>
  <c r="R234" i="11" s="1"/>
  <c r="R214" i="11"/>
  <c r="K223" i="11"/>
  <c r="H223" i="11"/>
  <c r="I223" i="11" s="1"/>
  <c r="G235" i="11"/>
  <c r="N235" i="11" s="1"/>
  <c r="P209" i="11"/>
  <c r="R209" i="11" s="1"/>
  <c r="P221" i="11"/>
  <c r="Q221" i="11"/>
  <c r="B268" i="11"/>
  <c r="B282" i="11"/>
  <c r="B281" i="11"/>
  <c r="B278" i="11"/>
  <c r="Q239" i="11"/>
  <c r="R239" i="11" s="1"/>
  <c r="B287" i="11"/>
  <c r="B284" i="11"/>
  <c r="B289" i="11"/>
  <c r="B285" i="11"/>
  <c r="B271" i="11"/>
  <c r="B276" i="11"/>
  <c r="B267" i="11"/>
  <c r="B274" i="11"/>
  <c r="U31" i="11"/>
  <c r="V31" i="11" s="1"/>
  <c r="X31" i="11" s="1"/>
  <c r="U42" i="11"/>
  <c r="V42" i="11" s="1"/>
  <c r="X42" i="11" s="1"/>
  <c r="T43" i="11"/>
  <c r="T32" i="11"/>
  <c r="S205" i="11" l="1"/>
  <c r="S206" i="11" s="1"/>
  <c r="S207" i="11" s="1"/>
  <c r="S208" i="11" s="1"/>
  <c r="S209" i="11" s="1"/>
  <c r="S210" i="11" s="1"/>
  <c r="S211" i="11" s="1"/>
  <c r="S212" i="11" s="1"/>
  <c r="S213" i="11" s="1"/>
  <c r="S214" i="11" s="1"/>
  <c r="S215" i="11" s="1"/>
  <c r="S216" i="11" s="1"/>
  <c r="P218" i="11"/>
  <c r="R218" i="11" s="1"/>
  <c r="P236" i="11"/>
  <c r="R236" i="11" s="1"/>
  <c r="Y31" i="11"/>
  <c r="AC31" i="11"/>
  <c r="Y42" i="11"/>
  <c r="AC42" i="11"/>
  <c r="P237" i="11"/>
  <c r="R237" i="11" s="1"/>
  <c r="P223" i="11"/>
  <c r="R223" i="11" s="1"/>
  <c r="Q244" i="11"/>
  <c r="R244" i="11" s="1"/>
  <c r="R231" i="11"/>
  <c r="P217" i="11"/>
  <c r="R217" i="11" s="1"/>
  <c r="O252" i="11"/>
  <c r="Q252" i="11" s="1"/>
  <c r="W223" i="11"/>
  <c r="W237" i="11"/>
  <c r="W234" i="11"/>
  <c r="W240" i="11"/>
  <c r="W218" i="11"/>
  <c r="W232" i="11"/>
  <c r="W231" i="11"/>
  <c r="W217" i="11"/>
  <c r="W239" i="11"/>
  <c r="W236" i="11"/>
  <c r="W221" i="11"/>
  <c r="W226" i="11"/>
  <c r="P243" i="11"/>
  <c r="Q243" i="11"/>
  <c r="O230" i="11"/>
  <c r="Q230" i="11" s="1"/>
  <c r="K229" i="11"/>
  <c r="H229" i="11"/>
  <c r="I229" i="11" s="1"/>
  <c r="G241" i="11"/>
  <c r="N241" i="11" s="1"/>
  <c r="G250" i="11"/>
  <c r="N250" i="11" s="1"/>
  <c r="H238" i="11"/>
  <c r="I238" i="11" s="1"/>
  <c r="K238" i="11"/>
  <c r="O235" i="11"/>
  <c r="Q235" i="11" s="1"/>
  <c r="O233" i="11"/>
  <c r="Q233" i="11" s="1"/>
  <c r="H246" i="11"/>
  <c r="I246" i="11" s="1"/>
  <c r="K246" i="11"/>
  <c r="G258" i="11"/>
  <c r="N258" i="11" s="1"/>
  <c r="O258" i="11" s="1"/>
  <c r="G261" i="11"/>
  <c r="N261" i="11" s="1"/>
  <c r="H249" i="11"/>
  <c r="I249" i="11" s="1"/>
  <c r="K249" i="11"/>
  <c r="H252" i="11"/>
  <c r="I252" i="11" s="1"/>
  <c r="K252" i="11"/>
  <c r="G264" i="11"/>
  <c r="N264" i="11" s="1"/>
  <c r="O264" i="11" s="1"/>
  <c r="H251" i="11"/>
  <c r="I251" i="11" s="1"/>
  <c r="K251" i="11"/>
  <c r="G263" i="11"/>
  <c r="N263" i="11" s="1"/>
  <c r="O263" i="11" s="1"/>
  <c r="P263" i="11" s="1"/>
  <c r="H248" i="11"/>
  <c r="I248" i="11" s="1"/>
  <c r="K248" i="11"/>
  <c r="G260" i="11"/>
  <c r="N260" i="11" s="1"/>
  <c r="R221" i="11"/>
  <c r="P229" i="11"/>
  <c r="Q229" i="11"/>
  <c r="P248" i="11"/>
  <c r="Q248" i="11"/>
  <c r="K233" i="11"/>
  <c r="G245" i="11"/>
  <c r="N245" i="11" s="1"/>
  <c r="H233" i="11"/>
  <c r="I233" i="11" s="1"/>
  <c r="P238" i="11"/>
  <c r="Q238" i="11"/>
  <c r="K235" i="11"/>
  <c r="H235" i="11"/>
  <c r="I235" i="11" s="1"/>
  <c r="G247" i="11"/>
  <c r="N247" i="11" s="1"/>
  <c r="P226" i="11"/>
  <c r="R226" i="11" s="1"/>
  <c r="O249" i="11"/>
  <c r="Q249" i="11" s="1"/>
  <c r="G256" i="11"/>
  <c r="N256" i="11" s="1"/>
  <c r="O256" i="11" s="1"/>
  <c r="Q256" i="11" s="1"/>
  <c r="K244" i="11"/>
  <c r="H244" i="11"/>
  <c r="I244" i="11" s="1"/>
  <c r="K230" i="11"/>
  <c r="G242" i="11"/>
  <c r="N242" i="11" s="1"/>
  <c r="O242" i="11" s="1"/>
  <c r="H230" i="11"/>
  <c r="I230" i="11" s="1"/>
  <c r="H243" i="11"/>
  <c r="I243" i="11" s="1"/>
  <c r="G255" i="11"/>
  <c r="N255" i="11" s="1"/>
  <c r="O255" i="11" s="1"/>
  <c r="K243" i="11"/>
  <c r="B297" i="11"/>
  <c r="B309" i="11" s="1"/>
  <c r="B294" i="11"/>
  <c r="B306" i="11" s="1"/>
  <c r="B296" i="11"/>
  <c r="B308" i="11" s="1"/>
  <c r="B280" i="11"/>
  <c r="B293" i="11"/>
  <c r="B305" i="11" s="1"/>
  <c r="Q246" i="11"/>
  <c r="R246" i="11" s="1"/>
  <c r="B279" i="11"/>
  <c r="B301" i="11"/>
  <c r="B313" i="11" s="1"/>
  <c r="Q251" i="11"/>
  <c r="R251" i="11" s="1"/>
  <c r="B299" i="11"/>
  <c r="B311" i="11" s="1"/>
  <c r="B286" i="11"/>
  <c r="B288" i="11"/>
  <c r="B283" i="11"/>
  <c r="B290" i="11"/>
  <c r="B302" i="11" s="1"/>
  <c r="U32" i="11"/>
  <c r="V32" i="11" s="1"/>
  <c r="X32" i="11" s="1"/>
  <c r="U43" i="11"/>
  <c r="V43" i="11" s="1"/>
  <c r="X43" i="11" s="1"/>
  <c r="T44" i="11"/>
  <c r="T33" i="11"/>
  <c r="S217" i="11" l="1"/>
  <c r="S218" i="11" s="1"/>
  <c r="S219" i="11" s="1"/>
  <c r="S220" i="11" s="1"/>
  <c r="S221" i="11" s="1"/>
  <c r="S222" i="11" s="1"/>
  <c r="S223" i="11" s="1"/>
  <c r="S224" i="11" s="1"/>
  <c r="S225" i="11" s="1"/>
  <c r="S226" i="11" s="1"/>
  <c r="S227" i="11" s="1"/>
  <c r="S228" i="11" s="1"/>
  <c r="R229" i="11"/>
  <c r="Y32" i="11"/>
  <c r="AC32" i="11"/>
  <c r="Y43" i="11"/>
  <c r="AC43" i="11"/>
  <c r="R243" i="11"/>
  <c r="P252" i="11"/>
  <c r="R252" i="11" s="1"/>
  <c r="P255" i="11"/>
  <c r="Q255" i="11"/>
  <c r="P235" i="11"/>
  <c r="R235" i="11" s="1"/>
  <c r="W249" i="11"/>
  <c r="W229" i="11"/>
  <c r="W235" i="11"/>
  <c r="W243" i="11"/>
  <c r="W248" i="11"/>
  <c r="W246" i="11"/>
  <c r="W230" i="11"/>
  <c r="W233" i="11"/>
  <c r="W251" i="11"/>
  <c r="W244" i="11"/>
  <c r="W238" i="11"/>
  <c r="W252" i="11"/>
  <c r="P264" i="11"/>
  <c r="Q264" i="11"/>
  <c r="P258" i="11"/>
  <c r="Q258" i="11"/>
  <c r="O245" i="11"/>
  <c r="Q245" i="11" s="1"/>
  <c r="G262" i="11"/>
  <c r="N262" i="11" s="1"/>
  <c r="H250" i="11"/>
  <c r="I250" i="11" s="1"/>
  <c r="K250" i="11"/>
  <c r="R248" i="11"/>
  <c r="P249" i="11"/>
  <c r="R249" i="11" s="1"/>
  <c r="H261" i="11"/>
  <c r="I261" i="11" s="1"/>
  <c r="K261" i="11"/>
  <c r="G273" i="11"/>
  <c r="N273" i="11" s="1"/>
  <c r="O273" i="11" s="1"/>
  <c r="Q273" i="11" s="1"/>
  <c r="O247" i="11"/>
  <c r="Q247" i="11" s="1"/>
  <c r="B325" i="11"/>
  <c r="H260" i="11"/>
  <c r="I260" i="11" s="1"/>
  <c r="K260" i="11"/>
  <c r="G272" i="11"/>
  <c r="N272" i="11" s="1"/>
  <c r="O272" i="11" s="1"/>
  <c r="P230" i="11"/>
  <c r="R230" i="11" s="1"/>
  <c r="B320" i="11"/>
  <c r="G268" i="11"/>
  <c r="N268" i="11" s="1"/>
  <c r="O268" i="11" s="1"/>
  <c r="Q268" i="11" s="1"/>
  <c r="K256" i="11"/>
  <c r="H256" i="11"/>
  <c r="I256" i="11" s="1"/>
  <c r="K245" i="11"/>
  <c r="H245" i="11"/>
  <c r="I245" i="11" s="1"/>
  <c r="G257" i="11"/>
  <c r="N257" i="11" s="1"/>
  <c r="H264" i="11"/>
  <c r="I264" i="11" s="1"/>
  <c r="G276" i="11"/>
  <c r="N276" i="11" s="1"/>
  <c r="O276" i="11" s="1"/>
  <c r="P276" i="11" s="1"/>
  <c r="K264" i="11"/>
  <c r="B321" i="11"/>
  <c r="B317" i="11"/>
  <c r="O260" i="11"/>
  <c r="Q260" i="11" s="1"/>
  <c r="P242" i="11"/>
  <c r="Q242" i="11"/>
  <c r="R238" i="11"/>
  <c r="O250" i="11"/>
  <c r="Q250" i="11" s="1"/>
  <c r="O241" i="11"/>
  <c r="Q241" i="11" s="1"/>
  <c r="H255" i="11"/>
  <c r="I255" i="11" s="1"/>
  <c r="K255" i="11"/>
  <c r="G267" i="11"/>
  <c r="N267" i="11" s="1"/>
  <c r="O267" i="11" s="1"/>
  <c r="Q267" i="11" s="1"/>
  <c r="O261" i="11"/>
  <c r="Q261" i="11" s="1"/>
  <c r="K241" i="11"/>
  <c r="H241" i="11"/>
  <c r="I241" i="11" s="1"/>
  <c r="G253" i="11"/>
  <c r="N253" i="11" s="1"/>
  <c r="O253" i="11" s="1"/>
  <c r="B318" i="11"/>
  <c r="K247" i="11"/>
  <c r="G259" i="11"/>
  <c r="N259" i="11" s="1"/>
  <c r="H247" i="11"/>
  <c r="I247" i="11" s="1"/>
  <c r="H258" i="11"/>
  <c r="I258" i="11" s="1"/>
  <c r="G270" i="11"/>
  <c r="N270" i="11" s="1"/>
  <c r="O270" i="11" s="1"/>
  <c r="P270" i="11" s="1"/>
  <c r="K258" i="11"/>
  <c r="B323" i="11"/>
  <c r="B314" i="11"/>
  <c r="G254" i="11"/>
  <c r="N254" i="11" s="1"/>
  <c r="O254" i="11" s="1"/>
  <c r="K242" i="11"/>
  <c r="H242" i="11"/>
  <c r="I242" i="11" s="1"/>
  <c r="G275" i="11"/>
  <c r="N275" i="11" s="1"/>
  <c r="O275" i="11" s="1"/>
  <c r="P275" i="11" s="1"/>
  <c r="H263" i="11"/>
  <c r="I263" i="11" s="1"/>
  <c r="K263" i="11"/>
  <c r="P233" i="11"/>
  <c r="R233" i="11" s="1"/>
  <c r="Q263" i="11"/>
  <c r="R263" i="11" s="1"/>
  <c r="B295" i="11"/>
  <c r="P256" i="11"/>
  <c r="B291" i="11"/>
  <c r="B300" i="11"/>
  <c r="B292" i="11"/>
  <c r="B298" i="11"/>
  <c r="U33" i="11"/>
  <c r="V33" i="11" s="1"/>
  <c r="X33" i="11" s="1"/>
  <c r="U44" i="11"/>
  <c r="V44" i="11" s="1"/>
  <c r="X44" i="11" s="1"/>
  <c r="T45" i="11"/>
  <c r="T34" i="11"/>
  <c r="S229" i="11" l="1"/>
  <c r="S230" i="11" s="1"/>
  <c r="S231" i="11" s="1"/>
  <c r="S232" i="11" s="1"/>
  <c r="S233" i="11" s="1"/>
  <c r="S234" i="11" s="1"/>
  <c r="S235" i="11" s="1"/>
  <c r="S236" i="11" s="1"/>
  <c r="S237" i="11" s="1"/>
  <c r="S238" i="11" s="1"/>
  <c r="S239" i="11" s="1"/>
  <c r="S240" i="11" s="1"/>
  <c r="R264" i="11"/>
  <c r="P241" i="11"/>
  <c r="R241" i="11" s="1"/>
  <c r="R255" i="11"/>
  <c r="Y33" i="11"/>
  <c r="AC33" i="11"/>
  <c r="Y44" i="11"/>
  <c r="AC44" i="11"/>
  <c r="R242" i="11"/>
  <c r="P245" i="11"/>
  <c r="R245" i="11" s="1"/>
  <c r="P247" i="11"/>
  <c r="R247" i="11" s="1"/>
  <c r="P273" i="11"/>
  <c r="R273" i="11" s="1"/>
  <c r="R258" i="11"/>
  <c r="P261" i="11"/>
  <c r="R261" i="11" s="1"/>
  <c r="P260" i="11"/>
  <c r="R260" i="11" s="1"/>
  <c r="Q276" i="11"/>
  <c r="R276" i="11" s="1"/>
  <c r="W264" i="11"/>
  <c r="W263" i="11"/>
  <c r="W245" i="11"/>
  <c r="W242" i="11"/>
  <c r="W241" i="11"/>
  <c r="W256" i="11"/>
  <c r="W261" i="11"/>
  <c r="W250" i="11"/>
  <c r="W258" i="11"/>
  <c r="W255" i="11"/>
  <c r="W247" i="11"/>
  <c r="W260" i="11"/>
  <c r="B310" i="11"/>
  <c r="O259" i="11"/>
  <c r="Q259" i="11" s="1"/>
  <c r="B332" i="11"/>
  <c r="B333" i="11"/>
  <c r="B307" i="11"/>
  <c r="P254" i="11"/>
  <c r="Q254" i="11"/>
  <c r="B330" i="11"/>
  <c r="P250" i="11"/>
  <c r="R250" i="11" s="1"/>
  <c r="K276" i="11"/>
  <c r="G288" i="11"/>
  <c r="N288" i="11" s="1"/>
  <c r="O288" i="11" s="1"/>
  <c r="Q288" i="11" s="1"/>
  <c r="H276" i="11"/>
  <c r="I276" i="11" s="1"/>
  <c r="H262" i="11"/>
  <c r="I262" i="11" s="1"/>
  <c r="G274" i="11"/>
  <c r="N274" i="11" s="1"/>
  <c r="O274" i="11" s="1"/>
  <c r="P274" i="11" s="1"/>
  <c r="K262" i="11"/>
  <c r="G284" i="11"/>
  <c r="N284" i="11" s="1"/>
  <c r="K272" i="11"/>
  <c r="H272" i="11"/>
  <c r="I272" i="11" s="1"/>
  <c r="O262" i="11"/>
  <c r="Q262" i="11" s="1"/>
  <c r="K253" i="11"/>
  <c r="G265" i="11"/>
  <c r="N265" i="11" s="1"/>
  <c r="H253" i="11"/>
  <c r="I253" i="11" s="1"/>
  <c r="B335" i="11"/>
  <c r="B303" i="11"/>
  <c r="K267" i="11"/>
  <c r="G279" i="11"/>
  <c r="N279" i="11" s="1"/>
  <c r="O279" i="11" s="1"/>
  <c r="H267" i="11"/>
  <c r="I267" i="11" s="1"/>
  <c r="K268" i="11"/>
  <c r="H268" i="11"/>
  <c r="I268" i="11" s="1"/>
  <c r="G280" i="11"/>
  <c r="N280" i="11" s="1"/>
  <c r="O280" i="11" s="1"/>
  <c r="P280" i="11" s="1"/>
  <c r="B312" i="11"/>
  <c r="B324" i="11" s="1"/>
  <c r="B329" i="11"/>
  <c r="K259" i="11"/>
  <c r="H259" i="11"/>
  <c r="I259" i="11" s="1"/>
  <c r="G271" i="11"/>
  <c r="N271" i="11" s="1"/>
  <c r="H254" i="11"/>
  <c r="I254" i="11" s="1"/>
  <c r="K254" i="11"/>
  <c r="G266" i="11"/>
  <c r="N266" i="11" s="1"/>
  <c r="P272" i="11"/>
  <c r="Q272" i="11"/>
  <c r="P253" i="11"/>
  <c r="Q253" i="11"/>
  <c r="B326" i="11"/>
  <c r="O257" i="11"/>
  <c r="Q257" i="11" s="1"/>
  <c r="B337" i="11"/>
  <c r="G282" i="11"/>
  <c r="N282" i="11" s="1"/>
  <c r="O282" i="11" s="1"/>
  <c r="P282" i="11" s="1"/>
  <c r="H270" i="11"/>
  <c r="I270" i="11" s="1"/>
  <c r="K270" i="11"/>
  <c r="G269" i="11"/>
  <c r="N269" i="11" s="1"/>
  <c r="K257" i="11"/>
  <c r="H257" i="11"/>
  <c r="I257" i="11" s="1"/>
  <c r="B304" i="11"/>
  <c r="B316" i="11" s="1"/>
  <c r="G287" i="11"/>
  <c r="N287" i="11" s="1"/>
  <c r="O287" i="11" s="1"/>
  <c r="P287" i="11" s="1"/>
  <c r="K275" i="11"/>
  <c r="H275" i="11"/>
  <c r="I275" i="11" s="1"/>
  <c r="K273" i="11"/>
  <c r="H273" i="11"/>
  <c r="I273" i="11" s="1"/>
  <c r="G285" i="11"/>
  <c r="N285" i="11" s="1"/>
  <c r="R256" i="11"/>
  <c r="Q270" i="11"/>
  <c r="R270" i="11" s="1"/>
  <c r="P268" i="11"/>
  <c r="P267" i="11"/>
  <c r="Q275" i="11"/>
  <c r="R275" i="11" s="1"/>
  <c r="U45" i="11"/>
  <c r="V45" i="11" s="1"/>
  <c r="X45" i="11" s="1"/>
  <c r="U34" i="11"/>
  <c r="V34" i="11" s="1"/>
  <c r="X34" i="11" s="1"/>
  <c r="T46" i="11"/>
  <c r="T35" i="11"/>
  <c r="S241" i="11" l="1"/>
  <c r="S242" i="11" s="1"/>
  <c r="S243" i="11" s="1"/>
  <c r="S244" i="11" s="1"/>
  <c r="S245" i="11" s="1"/>
  <c r="S246" i="11" s="1"/>
  <c r="S247" i="11" s="1"/>
  <c r="S248" i="11" s="1"/>
  <c r="S249" i="11" s="1"/>
  <c r="S250" i="11" s="1"/>
  <c r="S251" i="11" s="1"/>
  <c r="S252" i="11" s="1"/>
  <c r="Y34" i="11"/>
  <c r="AC34" i="11"/>
  <c r="Y45" i="11"/>
  <c r="AC45" i="11"/>
  <c r="P259" i="11"/>
  <c r="R259" i="11" s="1"/>
  <c r="R254" i="11"/>
  <c r="R272" i="11"/>
  <c r="Q282" i="11"/>
  <c r="R282" i="11" s="1"/>
  <c r="P257" i="11"/>
  <c r="R257" i="11" s="1"/>
  <c r="W273" i="11"/>
  <c r="W254" i="11"/>
  <c r="W275" i="11"/>
  <c r="W259" i="11"/>
  <c r="W262" i="11"/>
  <c r="W253" i="11"/>
  <c r="W276" i="11"/>
  <c r="W257" i="11"/>
  <c r="W268" i="11"/>
  <c r="W272" i="11"/>
  <c r="W270" i="11"/>
  <c r="W267" i="11"/>
  <c r="Q279" i="11"/>
  <c r="P279" i="11"/>
  <c r="B347" i="11"/>
  <c r="O266" i="11"/>
  <c r="Q266" i="11" s="1"/>
  <c r="B336" i="11"/>
  <c r="K266" i="11"/>
  <c r="G278" i="11"/>
  <c r="N278" i="11" s="1"/>
  <c r="O278" i="11" s="1"/>
  <c r="H266" i="11"/>
  <c r="I266" i="11" s="1"/>
  <c r="K265" i="11"/>
  <c r="G277" i="11"/>
  <c r="N277" i="11" s="1"/>
  <c r="O277" i="11" s="1"/>
  <c r="H265" i="11"/>
  <c r="I265" i="11" s="1"/>
  <c r="G286" i="11"/>
  <c r="N286" i="11" s="1"/>
  <c r="H274" i="11"/>
  <c r="I274" i="11" s="1"/>
  <c r="K274" i="11"/>
  <c r="P262" i="11"/>
  <c r="R262" i="11" s="1"/>
  <c r="K271" i="11"/>
  <c r="H271" i="11"/>
  <c r="I271" i="11" s="1"/>
  <c r="G283" i="11"/>
  <c r="N283" i="11" s="1"/>
  <c r="O285" i="11"/>
  <c r="Q285" i="11" s="1"/>
  <c r="B338" i="11"/>
  <c r="P288" i="11"/>
  <c r="R288" i="11" s="1"/>
  <c r="B315" i="11"/>
  <c r="R253" i="11"/>
  <c r="H284" i="11"/>
  <c r="I284" i="11" s="1"/>
  <c r="G296" i="11"/>
  <c r="N296" i="11" s="1"/>
  <c r="K284" i="11"/>
  <c r="B342" i="11"/>
  <c r="B322" i="11"/>
  <c r="B341" i="11"/>
  <c r="B328" i="11"/>
  <c r="O265" i="11"/>
  <c r="Q265" i="11" s="1"/>
  <c r="B319" i="11"/>
  <c r="K269" i="11"/>
  <c r="H269" i="11"/>
  <c r="I269" i="11" s="1"/>
  <c r="G281" i="11"/>
  <c r="N281" i="11" s="1"/>
  <c r="O271" i="11"/>
  <c r="Q271" i="11" s="1"/>
  <c r="B345" i="11"/>
  <c r="O269" i="11"/>
  <c r="Q269" i="11" s="1"/>
  <c r="G292" i="11"/>
  <c r="N292" i="11" s="1"/>
  <c r="O292" i="11" s="1"/>
  <c r="P292" i="11" s="1"/>
  <c r="K280" i="11"/>
  <c r="H280" i="11"/>
  <c r="I280" i="11" s="1"/>
  <c r="H282" i="11"/>
  <c r="I282" i="11" s="1"/>
  <c r="G294" i="11"/>
  <c r="N294" i="11" s="1"/>
  <c r="O294" i="11" s="1"/>
  <c r="P294" i="11" s="1"/>
  <c r="K282" i="11"/>
  <c r="B344" i="11"/>
  <c r="B356" i="11" s="1"/>
  <c r="B368" i="11" s="1"/>
  <c r="K279" i="11"/>
  <c r="G291" i="11"/>
  <c r="N291" i="11" s="1"/>
  <c r="O291" i="11" s="1"/>
  <c r="P291" i="11" s="1"/>
  <c r="H279" i="11"/>
  <c r="I279" i="11" s="1"/>
  <c r="G300" i="11"/>
  <c r="N300" i="11" s="1"/>
  <c r="O300" i="11" s="1"/>
  <c r="H288" i="11"/>
  <c r="I288" i="11" s="1"/>
  <c r="K288" i="11"/>
  <c r="K285" i="11"/>
  <c r="H285" i="11"/>
  <c r="I285" i="11" s="1"/>
  <c r="G297" i="11"/>
  <c r="N297" i="11" s="1"/>
  <c r="Q274" i="11"/>
  <c r="R274" i="11" s="1"/>
  <c r="B349" i="11"/>
  <c r="G299" i="11"/>
  <c r="N299" i="11" s="1"/>
  <c r="O299" i="11" s="1"/>
  <c r="P299" i="11" s="1"/>
  <c r="H287" i="11"/>
  <c r="I287" i="11" s="1"/>
  <c r="K287" i="11"/>
  <c r="O284" i="11"/>
  <c r="Q284" i="11" s="1"/>
  <c r="R268" i="11"/>
  <c r="R267" i="11"/>
  <c r="Q287" i="11"/>
  <c r="R287" i="11" s="1"/>
  <c r="Q280" i="11"/>
  <c r="R280" i="11" s="1"/>
  <c r="U35" i="11"/>
  <c r="V35" i="11" s="1"/>
  <c r="X35" i="11" s="1"/>
  <c r="U46" i="11"/>
  <c r="V46" i="11" s="1"/>
  <c r="X46" i="11" s="1"/>
  <c r="T47" i="11"/>
  <c r="T36" i="11"/>
  <c r="U36" i="11" s="1"/>
  <c r="S253" i="11" l="1"/>
  <c r="S254" i="11" s="1"/>
  <c r="S255" i="11" s="1"/>
  <c r="S256" i="11" s="1"/>
  <c r="S257" i="11" s="1"/>
  <c r="S258" i="11" s="1"/>
  <c r="S259" i="11" s="1"/>
  <c r="S260" i="11" s="1"/>
  <c r="S261" i="11" s="1"/>
  <c r="S262" i="11" s="1"/>
  <c r="S263" i="11" s="1"/>
  <c r="S264" i="11" s="1"/>
  <c r="P266" i="11"/>
  <c r="R266" i="11" s="1"/>
  <c r="Y35" i="11"/>
  <c r="AC35" i="11"/>
  <c r="Q292" i="11"/>
  <c r="R292" i="11" s="1"/>
  <c r="Y46" i="11"/>
  <c r="AC46" i="11"/>
  <c r="P271" i="11"/>
  <c r="R271" i="11" s="1"/>
  <c r="P284" i="11"/>
  <c r="R284" i="11" s="1"/>
  <c r="R279" i="11"/>
  <c r="P285" i="11"/>
  <c r="R285" i="11" s="1"/>
  <c r="W274" i="11"/>
  <c r="W288" i="11"/>
  <c r="W265" i="11"/>
  <c r="W279" i="11"/>
  <c r="W287" i="11"/>
  <c r="W266" i="11"/>
  <c r="W269" i="11"/>
  <c r="W271" i="11"/>
  <c r="W284" i="11"/>
  <c r="W285" i="11"/>
  <c r="W282" i="11"/>
  <c r="W280" i="11"/>
  <c r="P300" i="11"/>
  <c r="Q300" i="11"/>
  <c r="G303" i="11"/>
  <c r="N303" i="11" s="1"/>
  <c r="K291" i="11"/>
  <c r="H291" i="11"/>
  <c r="I291" i="11" s="1"/>
  <c r="B353" i="11"/>
  <c r="B348" i="11"/>
  <c r="Q291" i="11"/>
  <c r="R291" i="11" s="1"/>
  <c r="G309" i="11"/>
  <c r="N309" i="11" s="1"/>
  <c r="K297" i="11"/>
  <c r="H297" i="11"/>
  <c r="I297" i="11" s="1"/>
  <c r="P277" i="11"/>
  <c r="Q277" i="11"/>
  <c r="B334" i="11"/>
  <c r="O281" i="11"/>
  <c r="Q281" i="11" s="1"/>
  <c r="B350" i="11"/>
  <c r="G308" i="11"/>
  <c r="N308" i="11" s="1"/>
  <c r="H296" i="11"/>
  <c r="I296" i="11" s="1"/>
  <c r="K296" i="11"/>
  <c r="G312" i="11"/>
  <c r="N312" i="11" s="1"/>
  <c r="O312" i="11" s="1"/>
  <c r="H300" i="11"/>
  <c r="I300" i="11" s="1"/>
  <c r="K300" i="11"/>
  <c r="O296" i="11"/>
  <c r="Q296" i="11" s="1"/>
  <c r="B361" i="11"/>
  <c r="G304" i="11"/>
  <c r="N304" i="11" s="1"/>
  <c r="O304" i="11" s="1"/>
  <c r="H292" i="11"/>
  <c r="I292" i="11" s="1"/>
  <c r="K292" i="11"/>
  <c r="P278" i="11"/>
  <c r="Q278" i="11"/>
  <c r="B359" i="11"/>
  <c r="O286" i="11"/>
  <c r="Q286" i="11" s="1"/>
  <c r="B380" i="11"/>
  <c r="B357" i="11"/>
  <c r="K283" i="11"/>
  <c r="H283" i="11"/>
  <c r="I283" i="11" s="1"/>
  <c r="G295" i="11"/>
  <c r="N295" i="11" s="1"/>
  <c r="G306" i="11"/>
  <c r="N306" i="11" s="1"/>
  <c r="H294" i="11"/>
  <c r="I294" i="11" s="1"/>
  <c r="K294" i="11"/>
  <c r="B354" i="11"/>
  <c r="K281" i="11"/>
  <c r="H281" i="11"/>
  <c r="I281" i="11" s="1"/>
  <c r="G293" i="11"/>
  <c r="N293" i="11" s="1"/>
  <c r="O293" i="11" s="1"/>
  <c r="B327" i="11"/>
  <c r="G298" i="11"/>
  <c r="N298" i="11" s="1"/>
  <c r="O298" i="11" s="1"/>
  <c r="P298" i="11" s="1"/>
  <c r="K286" i="11"/>
  <c r="H286" i="11"/>
  <c r="I286" i="11" s="1"/>
  <c r="H278" i="11"/>
  <c r="I278" i="11" s="1"/>
  <c r="K278" i="11"/>
  <c r="G290" i="11"/>
  <c r="N290" i="11" s="1"/>
  <c r="O290" i="11" s="1"/>
  <c r="O297" i="11"/>
  <c r="Q297" i="11" s="1"/>
  <c r="P265" i="11"/>
  <c r="R265" i="11" s="1"/>
  <c r="O283" i="11"/>
  <c r="Q283" i="11" s="1"/>
  <c r="G289" i="11"/>
  <c r="N289" i="11" s="1"/>
  <c r="O289" i="11" s="1"/>
  <c r="K277" i="11"/>
  <c r="H277" i="11"/>
  <c r="I277" i="11" s="1"/>
  <c r="G311" i="11"/>
  <c r="N311" i="11" s="1"/>
  <c r="K299" i="11"/>
  <c r="H299" i="11"/>
  <c r="I299" i="11" s="1"/>
  <c r="B340" i="11"/>
  <c r="B352" i="11" s="1"/>
  <c r="P269" i="11"/>
  <c r="R269" i="11" s="1"/>
  <c r="B331" i="11"/>
  <c r="Q294" i="11"/>
  <c r="R294" i="11" s="1"/>
  <c r="Q299" i="11"/>
  <c r="R299" i="11" s="1"/>
  <c r="U47" i="11"/>
  <c r="V47" i="11" s="1"/>
  <c r="X47" i="11" s="1"/>
  <c r="V36" i="11"/>
  <c r="T48" i="11"/>
  <c r="S265" i="11" l="1"/>
  <c r="S266" i="11" s="1"/>
  <c r="S267" i="11" s="1"/>
  <c r="S268" i="11" s="1"/>
  <c r="S269" i="11" s="1"/>
  <c r="S270" i="11" s="1"/>
  <c r="S271" i="11" s="1"/>
  <c r="S272" i="11" s="1"/>
  <c r="S273" i="11" s="1"/>
  <c r="S274" i="11" s="1"/>
  <c r="S275" i="11" s="1"/>
  <c r="S276" i="11" s="1"/>
  <c r="P281" i="11"/>
  <c r="R281" i="11" s="1"/>
  <c r="Y47" i="11"/>
  <c r="AC47" i="11"/>
  <c r="R300" i="11"/>
  <c r="P283" i="11"/>
  <c r="R283" i="11" s="1"/>
  <c r="W291" i="11"/>
  <c r="W281" i="11"/>
  <c r="W300" i="11"/>
  <c r="W297" i="11"/>
  <c r="W299" i="11"/>
  <c r="W278" i="11"/>
  <c r="W286" i="11"/>
  <c r="W294" i="11"/>
  <c r="W296" i="11"/>
  <c r="W277" i="11"/>
  <c r="W292" i="11"/>
  <c r="W283" i="11"/>
  <c r="P290" i="11"/>
  <c r="Q290" i="11"/>
  <c r="O306" i="11"/>
  <c r="Q306" i="11" s="1"/>
  <c r="P304" i="11"/>
  <c r="Q304" i="11"/>
  <c r="O295" i="11"/>
  <c r="Q295" i="11" s="1"/>
  <c r="B373" i="11"/>
  <c r="G323" i="11"/>
  <c r="N323" i="11" s="1"/>
  <c r="H311" i="11"/>
  <c r="I311" i="11" s="1"/>
  <c r="K311" i="11"/>
  <c r="B346" i="11"/>
  <c r="O311" i="11"/>
  <c r="Q311" i="11" s="1"/>
  <c r="G307" i="11"/>
  <c r="N307" i="11" s="1"/>
  <c r="K295" i="11"/>
  <c r="H295" i="11"/>
  <c r="I295" i="11" s="1"/>
  <c r="R278" i="11"/>
  <c r="Q298" i="11"/>
  <c r="R298" i="11" s="1"/>
  <c r="B364" i="11"/>
  <c r="B362" i="11"/>
  <c r="B369" i="11"/>
  <c r="P296" i="11"/>
  <c r="R296" i="11" s="1"/>
  <c r="G318" i="11"/>
  <c r="N318" i="11" s="1"/>
  <c r="K306" i="11"/>
  <c r="H306" i="11"/>
  <c r="I306" i="11" s="1"/>
  <c r="G316" i="11"/>
  <c r="N316" i="11" s="1"/>
  <c r="H304" i="11"/>
  <c r="I304" i="11" s="1"/>
  <c r="K304" i="11"/>
  <c r="G321" i="11"/>
  <c r="N321" i="11" s="1"/>
  <c r="K309" i="11"/>
  <c r="H309" i="11"/>
  <c r="I309" i="11" s="1"/>
  <c r="G302" i="11"/>
  <c r="N302" i="11" s="1"/>
  <c r="H290" i="11"/>
  <c r="I290" i="11" s="1"/>
  <c r="K290" i="11"/>
  <c r="P286" i="11"/>
  <c r="R286" i="11" s="1"/>
  <c r="P293" i="11"/>
  <c r="Q293" i="11"/>
  <c r="B371" i="11"/>
  <c r="B360" i="11"/>
  <c r="H308" i="11"/>
  <c r="I308" i="11" s="1"/>
  <c r="G320" i="11"/>
  <c r="N320" i="11" s="1"/>
  <c r="K308" i="11"/>
  <c r="B343" i="11"/>
  <c r="G310" i="11"/>
  <c r="N310" i="11" s="1"/>
  <c r="H298" i="11"/>
  <c r="I298" i="11" s="1"/>
  <c r="K298" i="11"/>
  <c r="G305" i="11"/>
  <c r="N305" i="11" s="1"/>
  <c r="O305" i="11" s="1"/>
  <c r="K293" i="11"/>
  <c r="H293" i="11"/>
  <c r="I293" i="11" s="1"/>
  <c r="R277" i="11"/>
  <c r="H289" i="11"/>
  <c r="I289" i="11" s="1"/>
  <c r="K289" i="11"/>
  <c r="G301" i="11"/>
  <c r="N301" i="11" s="1"/>
  <c r="O308" i="11"/>
  <c r="Q308" i="11" s="1"/>
  <c r="P289" i="11"/>
  <c r="Q289" i="11"/>
  <c r="B365" i="11"/>
  <c r="B339" i="11"/>
  <c r="B366" i="11"/>
  <c r="H303" i="11"/>
  <c r="I303" i="11" s="1"/>
  <c r="G315" i="11"/>
  <c r="N315" i="11" s="1"/>
  <c r="K303" i="11"/>
  <c r="G324" i="11"/>
  <c r="N324" i="11" s="1"/>
  <c r="K312" i="11"/>
  <c r="H312" i="11"/>
  <c r="I312" i="11" s="1"/>
  <c r="O303" i="11"/>
  <c r="Q303" i="11" s="1"/>
  <c r="P297" i="11"/>
  <c r="R297" i="11" s="1"/>
  <c r="P312" i="11"/>
  <c r="Q312" i="11"/>
  <c r="O309" i="11"/>
  <c r="Q309" i="11" s="1"/>
  <c r="B10" i="11"/>
  <c r="X36" i="11"/>
  <c r="C10" i="11" s="1"/>
  <c r="U48" i="11"/>
  <c r="V48" i="11" s="1"/>
  <c r="X48" i="11" s="1"/>
  <c r="T49" i="11"/>
  <c r="S277" i="11" l="1"/>
  <c r="S278" i="11" s="1"/>
  <c r="S279" i="11" s="1"/>
  <c r="S280" i="11" s="1"/>
  <c r="S281" i="11" s="1"/>
  <c r="S282" i="11" s="1"/>
  <c r="S283" i="11" s="1"/>
  <c r="S284" i="11" s="1"/>
  <c r="S285" i="11" s="1"/>
  <c r="S286" i="11" s="1"/>
  <c r="S287" i="11" s="1"/>
  <c r="S288" i="11" s="1"/>
  <c r="Y36" i="11"/>
  <c r="AC36" i="11"/>
  <c r="R293" i="11"/>
  <c r="Y48" i="11"/>
  <c r="AC48" i="11"/>
  <c r="R289" i="11"/>
  <c r="P311" i="11"/>
  <c r="R311" i="11" s="1"/>
  <c r="P295" i="11"/>
  <c r="R295" i="11" s="1"/>
  <c r="R290" i="11"/>
  <c r="R304" i="11"/>
  <c r="W290" i="11"/>
  <c r="W308" i="11"/>
  <c r="W309" i="11"/>
  <c r="W303" i="11"/>
  <c r="W289" i="11"/>
  <c r="W311" i="11"/>
  <c r="W293" i="11"/>
  <c r="W304" i="11"/>
  <c r="W306" i="11"/>
  <c r="W298" i="11"/>
  <c r="W295" i="11"/>
  <c r="W312" i="11"/>
  <c r="O318" i="11"/>
  <c r="Q318" i="11" s="1"/>
  <c r="B351" i="11"/>
  <c r="B376" i="11"/>
  <c r="O301" i="11"/>
  <c r="Q301" i="11" s="1"/>
  <c r="O320" i="11"/>
  <c r="Q320" i="11" s="1"/>
  <c r="K321" i="11"/>
  <c r="H321" i="11"/>
  <c r="I321" i="11" s="1"/>
  <c r="G333" i="11"/>
  <c r="N333" i="11" s="1"/>
  <c r="H316" i="11"/>
  <c r="I316" i="11" s="1"/>
  <c r="G328" i="11"/>
  <c r="N328" i="11" s="1"/>
  <c r="O328" i="11" s="1"/>
  <c r="K316" i="11"/>
  <c r="B372" i="11"/>
  <c r="O316" i="11"/>
  <c r="Q316" i="11" s="1"/>
  <c r="P306" i="11"/>
  <c r="O310" i="11"/>
  <c r="Q310" i="11" s="1"/>
  <c r="O307" i="11"/>
  <c r="Q307" i="11" s="1"/>
  <c r="P303" i="11"/>
  <c r="B355" i="11"/>
  <c r="B381" i="11"/>
  <c r="G336" i="11"/>
  <c r="N336" i="11" s="1"/>
  <c r="H324" i="11"/>
  <c r="I324" i="11" s="1"/>
  <c r="K324" i="11"/>
  <c r="B377" i="11"/>
  <c r="K315" i="11"/>
  <c r="G327" i="11"/>
  <c r="N327" i="11" s="1"/>
  <c r="H315" i="11"/>
  <c r="I315" i="11" s="1"/>
  <c r="O321" i="11"/>
  <c r="Q321" i="11" s="1"/>
  <c r="K323" i="11"/>
  <c r="G335" i="11"/>
  <c r="N335" i="11" s="1"/>
  <c r="H323" i="11"/>
  <c r="I323" i="11" s="1"/>
  <c r="P309" i="11"/>
  <c r="O302" i="11"/>
  <c r="Q302" i="11" s="1"/>
  <c r="H320" i="11"/>
  <c r="I320" i="11" s="1"/>
  <c r="K320" i="11"/>
  <c r="G332" i="11"/>
  <c r="N332" i="11" s="1"/>
  <c r="B358" i="11"/>
  <c r="O324" i="11"/>
  <c r="Q324" i="11" s="1"/>
  <c r="G313" i="11"/>
  <c r="N313" i="11" s="1"/>
  <c r="K301" i="11"/>
  <c r="H301" i="11"/>
  <c r="I301" i="11" s="1"/>
  <c r="O315" i="11"/>
  <c r="Q315" i="11" s="1"/>
  <c r="O323" i="11"/>
  <c r="Q323" i="11" s="1"/>
  <c r="H305" i="11"/>
  <c r="I305" i="11" s="1"/>
  <c r="K305" i="11"/>
  <c r="G317" i="11"/>
  <c r="N317" i="11" s="1"/>
  <c r="B383" i="11"/>
  <c r="G314" i="11"/>
  <c r="N314" i="11" s="1"/>
  <c r="K302" i="11"/>
  <c r="H302" i="11"/>
  <c r="I302" i="11" s="1"/>
  <c r="B374" i="11"/>
  <c r="P305" i="11"/>
  <c r="Q305" i="11"/>
  <c r="R312" i="11"/>
  <c r="G322" i="11"/>
  <c r="N322" i="11" s="1"/>
  <c r="O322" i="11" s="1"/>
  <c r="H310" i="11"/>
  <c r="I310" i="11" s="1"/>
  <c r="K310" i="11"/>
  <c r="B378" i="11"/>
  <c r="P308" i="11"/>
  <c r="G330" i="11"/>
  <c r="N330" i="11" s="1"/>
  <c r="O330" i="11" s="1"/>
  <c r="K318" i="11"/>
  <c r="H318" i="11"/>
  <c r="I318" i="11" s="1"/>
  <c r="G319" i="11"/>
  <c r="N319" i="11" s="1"/>
  <c r="K307" i="11"/>
  <c r="H307" i="11"/>
  <c r="I307" i="11" s="1"/>
  <c r="U49" i="11"/>
  <c r="V49" i="11" s="1"/>
  <c r="X49" i="11" s="1"/>
  <c r="T50" i="11"/>
  <c r="S289" i="11" l="1"/>
  <c r="S290" i="11" s="1"/>
  <c r="S291" i="11" s="1"/>
  <c r="S292" i="11" s="1"/>
  <c r="S293" i="11" s="1"/>
  <c r="S294" i="11" s="1"/>
  <c r="S295" i="11" s="1"/>
  <c r="S296" i="11" s="1"/>
  <c r="S297" i="11" s="1"/>
  <c r="S298" i="11" s="1"/>
  <c r="S299" i="11" s="1"/>
  <c r="S300" i="11" s="1"/>
  <c r="P310" i="11"/>
  <c r="R310" i="11" s="1"/>
  <c r="Y49" i="11"/>
  <c r="AC49" i="11"/>
  <c r="P315" i="11"/>
  <c r="R315" i="11" s="1"/>
  <c r="W324" i="11"/>
  <c r="W318" i="11"/>
  <c r="W302" i="11"/>
  <c r="W301" i="11"/>
  <c r="W323" i="11"/>
  <c r="W316" i="11"/>
  <c r="W310" i="11"/>
  <c r="W305" i="11"/>
  <c r="W315" i="11"/>
  <c r="W321" i="11"/>
  <c r="W307" i="11"/>
  <c r="W320" i="11"/>
  <c r="R306" i="11"/>
  <c r="P320" i="11"/>
  <c r="K319" i="11"/>
  <c r="G331" i="11"/>
  <c r="N331" i="11" s="1"/>
  <c r="H319" i="11"/>
  <c r="I319" i="11" s="1"/>
  <c r="P322" i="11"/>
  <c r="Q322" i="11"/>
  <c r="O327" i="11"/>
  <c r="Q327" i="11" s="1"/>
  <c r="B367" i="11"/>
  <c r="K328" i="11"/>
  <c r="H328" i="11"/>
  <c r="I328" i="11" s="1"/>
  <c r="G340" i="11"/>
  <c r="N340" i="11" s="1"/>
  <c r="O340" i="11" s="1"/>
  <c r="O332" i="11"/>
  <c r="Q332" i="11" s="1"/>
  <c r="G339" i="11"/>
  <c r="N339" i="11" s="1"/>
  <c r="K327" i="11"/>
  <c r="H327" i="11"/>
  <c r="I327" i="11" s="1"/>
  <c r="P302" i="11"/>
  <c r="R309" i="11"/>
  <c r="P307" i="11"/>
  <c r="P323" i="11"/>
  <c r="R323" i="11" s="1"/>
  <c r="H336" i="11"/>
  <c r="I336" i="11" s="1"/>
  <c r="G348" i="11"/>
  <c r="N348" i="11" s="1"/>
  <c r="K336" i="11"/>
  <c r="B363" i="11"/>
  <c r="R308" i="11"/>
  <c r="G326" i="11"/>
  <c r="N326" i="11" s="1"/>
  <c r="K314" i="11"/>
  <c r="H314" i="11"/>
  <c r="I314" i="11" s="1"/>
  <c r="G334" i="11"/>
  <c r="N334" i="11" s="1"/>
  <c r="O334" i="11" s="1"/>
  <c r="H322" i="11"/>
  <c r="I322" i="11" s="1"/>
  <c r="K322" i="11"/>
  <c r="P321" i="11"/>
  <c r="R321" i="11" s="1"/>
  <c r="O317" i="11"/>
  <c r="Q317" i="11" s="1"/>
  <c r="B370" i="11"/>
  <c r="P316" i="11"/>
  <c r="P328" i="11"/>
  <c r="Q328" i="11"/>
  <c r="R305" i="11"/>
  <c r="K330" i="11"/>
  <c r="H330" i="11"/>
  <c r="I330" i="11" s="1"/>
  <c r="G342" i="11"/>
  <c r="N342" i="11" s="1"/>
  <c r="O335" i="11"/>
  <c r="Q335" i="11" s="1"/>
  <c r="H313" i="11"/>
  <c r="I313" i="11" s="1"/>
  <c r="G325" i="11"/>
  <c r="N325" i="11" s="1"/>
  <c r="K313" i="11"/>
  <c r="O313" i="11"/>
  <c r="Q313" i="11" s="1"/>
  <c r="H333" i="11"/>
  <c r="I333" i="11" s="1"/>
  <c r="G345" i="11"/>
  <c r="N345" i="11" s="1"/>
  <c r="O345" i="11" s="1"/>
  <c r="K333" i="11"/>
  <c r="O314" i="11"/>
  <c r="Q314" i="11" s="1"/>
  <c r="P324" i="11"/>
  <c r="R324" i="11" s="1"/>
  <c r="B384" i="11"/>
  <c r="O319" i="11"/>
  <c r="Q319" i="11" s="1"/>
  <c r="P301" i="11"/>
  <c r="R301" i="11" s="1"/>
  <c r="G329" i="11"/>
  <c r="N329" i="11" s="1"/>
  <c r="O329" i="11" s="1"/>
  <c r="H317" i="11"/>
  <c r="I317" i="11" s="1"/>
  <c r="K317" i="11"/>
  <c r="R303" i="11"/>
  <c r="K332" i="11"/>
  <c r="H332" i="11"/>
  <c r="I332" i="11" s="1"/>
  <c r="G344" i="11"/>
  <c r="N344" i="11" s="1"/>
  <c r="P330" i="11"/>
  <c r="Q330" i="11"/>
  <c r="K335" i="11"/>
  <c r="H335" i="11"/>
  <c r="I335" i="11" s="1"/>
  <c r="G347" i="11"/>
  <c r="N347" i="11" s="1"/>
  <c r="O336" i="11"/>
  <c r="Q336" i="11" s="1"/>
  <c r="O333" i="11"/>
  <c r="Q333" i="11" s="1"/>
  <c r="P318" i="11"/>
  <c r="U50" i="11"/>
  <c r="V50" i="11" s="1"/>
  <c r="X50" i="11" s="1"/>
  <c r="T51" i="11"/>
  <c r="S301" i="11" l="1"/>
  <c r="Y50" i="11"/>
  <c r="AC50" i="11"/>
  <c r="P327" i="11"/>
  <c r="R327" i="11" s="1"/>
  <c r="R330" i="11"/>
  <c r="W313" i="11"/>
  <c r="W328" i="11"/>
  <c r="W336" i="11"/>
  <c r="W332" i="11"/>
  <c r="W322" i="11"/>
  <c r="W330" i="11"/>
  <c r="W314" i="11"/>
  <c r="W333" i="11"/>
  <c r="W327" i="11"/>
  <c r="W319" i="11"/>
  <c r="W317" i="11"/>
  <c r="W335" i="11"/>
  <c r="B375" i="11"/>
  <c r="P335" i="11"/>
  <c r="R335" i="11" s="1"/>
  <c r="R302" i="11"/>
  <c r="K329" i="11"/>
  <c r="G341" i="11"/>
  <c r="N341" i="11" s="1"/>
  <c r="O341" i="11" s="1"/>
  <c r="H329" i="11"/>
  <c r="I329" i="11" s="1"/>
  <c r="R328" i="11"/>
  <c r="P329" i="11"/>
  <c r="Q329" i="11"/>
  <c r="R322" i="11"/>
  <c r="K325" i="11"/>
  <c r="G337" i="11"/>
  <c r="N337" i="11" s="1"/>
  <c r="H325" i="11"/>
  <c r="I325" i="11" s="1"/>
  <c r="B382" i="11"/>
  <c r="O339" i="11"/>
  <c r="Q339" i="11" s="1"/>
  <c r="P333" i="11"/>
  <c r="R333" i="11" s="1"/>
  <c r="O331" i="11"/>
  <c r="Q331" i="11" s="1"/>
  <c r="O344" i="11"/>
  <c r="Q344" i="11" s="1"/>
  <c r="P332" i="11"/>
  <c r="R332" i="11" s="1"/>
  <c r="P336" i="11"/>
  <c r="R336" i="11" s="1"/>
  <c r="P314" i="11"/>
  <c r="P317" i="11"/>
  <c r="R320" i="11"/>
  <c r="G356" i="11"/>
  <c r="N356" i="11" s="1"/>
  <c r="K344" i="11"/>
  <c r="H344" i="11"/>
  <c r="I344" i="11" s="1"/>
  <c r="P345" i="11"/>
  <c r="Q345" i="11"/>
  <c r="H340" i="11"/>
  <c r="I340" i="11" s="1"/>
  <c r="K340" i="11"/>
  <c r="G352" i="11"/>
  <c r="N352" i="11" s="1"/>
  <c r="O352" i="11" s="1"/>
  <c r="P334" i="11"/>
  <c r="Q334" i="11"/>
  <c r="R318" i="11"/>
  <c r="P313" i="11"/>
  <c r="R316" i="11"/>
  <c r="G351" i="11"/>
  <c r="N351" i="11" s="1"/>
  <c r="H339" i="11"/>
  <c r="I339" i="11" s="1"/>
  <c r="K339" i="11"/>
  <c r="O342" i="11"/>
  <c r="Q342" i="11" s="1"/>
  <c r="G338" i="11"/>
  <c r="N338" i="11" s="1"/>
  <c r="H326" i="11"/>
  <c r="I326" i="11" s="1"/>
  <c r="K326" i="11"/>
  <c r="O325" i="11"/>
  <c r="Q325" i="11" s="1"/>
  <c r="O326" i="11"/>
  <c r="Q326" i="11" s="1"/>
  <c r="K348" i="11"/>
  <c r="H348" i="11"/>
  <c r="I348" i="11" s="1"/>
  <c r="G360" i="11"/>
  <c r="N360" i="11" s="1"/>
  <c r="O360" i="11" s="1"/>
  <c r="H342" i="11"/>
  <c r="I342" i="11" s="1"/>
  <c r="G354" i="11"/>
  <c r="N354" i="11" s="1"/>
  <c r="O354" i="11" s="1"/>
  <c r="K342" i="11"/>
  <c r="O348" i="11"/>
  <c r="Q348" i="11" s="1"/>
  <c r="K331" i="11"/>
  <c r="H331" i="11"/>
  <c r="I331" i="11" s="1"/>
  <c r="G343" i="11"/>
  <c r="N343" i="11" s="1"/>
  <c r="P340" i="11"/>
  <c r="Q340" i="11"/>
  <c r="O347" i="11"/>
  <c r="Q347" i="11" s="1"/>
  <c r="H345" i="11"/>
  <c r="I345" i="11" s="1"/>
  <c r="K345" i="11"/>
  <c r="G357" i="11"/>
  <c r="N357" i="11" s="1"/>
  <c r="O357" i="11" s="1"/>
  <c r="R307" i="11"/>
  <c r="H347" i="11"/>
  <c r="I347" i="11" s="1"/>
  <c r="K347" i="11"/>
  <c r="G359" i="11"/>
  <c r="N359" i="11" s="1"/>
  <c r="O359" i="11" s="1"/>
  <c r="P319" i="11"/>
  <c r="K334" i="11"/>
  <c r="G346" i="11"/>
  <c r="N346" i="11" s="1"/>
  <c r="O346" i="11" s="1"/>
  <c r="H334" i="11"/>
  <c r="I334" i="11" s="1"/>
  <c r="B379" i="11"/>
  <c r="U51" i="11"/>
  <c r="V51" i="11" s="1"/>
  <c r="X51" i="11" s="1"/>
  <c r="T52" i="11"/>
  <c r="S302" i="11" l="1"/>
  <c r="S303" i="11" s="1"/>
  <c r="S304" i="11" s="1"/>
  <c r="S305" i="11" s="1"/>
  <c r="S306" i="11" s="1"/>
  <c r="S307" i="11" s="1"/>
  <c r="S308" i="11" s="1"/>
  <c r="S309" i="11" s="1"/>
  <c r="S310" i="11" s="1"/>
  <c r="S311" i="11" s="1"/>
  <c r="S312" i="11" s="1"/>
  <c r="R345" i="11"/>
  <c r="R329" i="11"/>
  <c r="Y51" i="11"/>
  <c r="AC51" i="11"/>
  <c r="P326" i="11"/>
  <c r="R326" i="11" s="1"/>
  <c r="R340" i="11"/>
  <c r="W342" i="11"/>
  <c r="W339" i="11"/>
  <c r="W345" i="11"/>
  <c r="W334" i="11"/>
  <c r="W348" i="11"/>
  <c r="W344" i="11"/>
  <c r="W325" i="11"/>
  <c r="W331" i="11"/>
  <c r="W326" i="11"/>
  <c r="W347" i="11"/>
  <c r="W340" i="11"/>
  <c r="W329" i="11"/>
  <c r="G358" i="11"/>
  <c r="N358" i="11" s="1"/>
  <c r="O358" i="11" s="1"/>
  <c r="K346" i="11"/>
  <c r="H346" i="11"/>
  <c r="I346" i="11" s="1"/>
  <c r="P348" i="11"/>
  <c r="R348" i="11" s="1"/>
  <c r="R313" i="11"/>
  <c r="R317" i="11"/>
  <c r="G366" i="11"/>
  <c r="N366" i="11" s="1"/>
  <c r="H354" i="11"/>
  <c r="I354" i="11" s="1"/>
  <c r="K354" i="11"/>
  <c r="P325" i="11"/>
  <c r="R325" i="11" s="1"/>
  <c r="R314" i="11"/>
  <c r="P354" i="11"/>
  <c r="Q354" i="11"/>
  <c r="G350" i="11"/>
  <c r="N350" i="11" s="1"/>
  <c r="K338" i="11"/>
  <c r="H338" i="11"/>
  <c r="I338" i="11" s="1"/>
  <c r="P352" i="11"/>
  <c r="Q352" i="11"/>
  <c r="O337" i="11"/>
  <c r="Q337" i="11" s="1"/>
  <c r="G364" i="11"/>
  <c r="N364" i="11" s="1"/>
  <c r="H352" i="11"/>
  <c r="I352" i="11" s="1"/>
  <c r="K352" i="11"/>
  <c r="K337" i="11"/>
  <c r="H337" i="11"/>
  <c r="I337" i="11" s="1"/>
  <c r="G349" i="11"/>
  <c r="N349" i="11" s="1"/>
  <c r="O349" i="11" s="1"/>
  <c r="R319" i="11"/>
  <c r="O338" i="11"/>
  <c r="Q338" i="11" s="1"/>
  <c r="P341" i="11"/>
  <c r="Q341" i="11"/>
  <c r="P359" i="11"/>
  <c r="Q359" i="11"/>
  <c r="P347" i="11"/>
  <c r="R347" i="11" s="1"/>
  <c r="P344" i="11"/>
  <c r="R344" i="11" s="1"/>
  <c r="K341" i="11"/>
  <c r="H341" i="11"/>
  <c r="I341" i="11" s="1"/>
  <c r="G353" i="11"/>
  <c r="N353" i="11" s="1"/>
  <c r="O353" i="11" s="1"/>
  <c r="G371" i="11"/>
  <c r="N371" i="11" s="1"/>
  <c r="K359" i="11"/>
  <c r="H359" i="11"/>
  <c r="I359" i="11" s="1"/>
  <c r="P342" i="11"/>
  <c r="R342" i="11" s="1"/>
  <c r="P360" i="11"/>
  <c r="Q360" i="11"/>
  <c r="G363" i="11"/>
  <c r="N363" i="11" s="1"/>
  <c r="K351" i="11"/>
  <c r="H351" i="11"/>
  <c r="I351" i="11" s="1"/>
  <c r="P331" i="11"/>
  <c r="R331" i="11" s="1"/>
  <c r="O343" i="11"/>
  <c r="Q343" i="11" s="1"/>
  <c r="G368" i="11"/>
  <c r="N368" i="11" s="1"/>
  <c r="H356" i="11"/>
  <c r="I356" i="11" s="1"/>
  <c r="K356" i="11"/>
  <c r="G372" i="11"/>
  <c r="N372" i="11" s="1"/>
  <c r="H360" i="11"/>
  <c r="I360" i="11" s="1"/>
  <c r="K360" i="11"/>
  <c r="O351" i="11"/>
  <c r="Q351" i="11" s="1"/>
  <c r="O356" i="11"/>
  <c r="Q356" i="11" s="1"/>
  <c r="P346" i="11"/>
  <c r="Q346" i="11"/>
  <c r="P357" i="11"/>
  <c r="Q357" i="11"/>
  <c r="H343" i="11"/>
  <c r="I343" i="11" s="1"/>
  <c r="G355" i="11"/>
  <c r="N355" i="11" s="1"/>
  <c r="O355" i="11" s="1"/>
  <c r="K343" i="11"/>
  <c r="R334" i="11"/>
  <c r="P339" i="11"/>
  <c r="R339" i="11" s="1"/>
  <c r="G369" i="11"/>
  <c r="N369" i="11" s="1"/>
  <c r="O369" i="11" s="1"/>
  <c r="H357" i="11"/>
  <c r="I357" i="11" s="1"/>
  <c r="K357" i="11"/>
  <c r="U52" i="11"/>
  <c r="V52" i="11" s="1"/>
  <c r="X52" i="11" s="1"/>
  <c r="T53" i="11"/>
  <c r="S313" i="11" l="1"/>
  <c r="S314" i="11" s="1"/>
  <c r="S315" i="11" s="1"/>
  <c r="S316" i="11" s="1"/>
  <c r="S317" i="11" s="1"/>
  <c r="S318" i="11" s="1"/>
  <c r="S319" i="11" s="1"/>
  <c r="S320" i="11" s="1"/>
  <c r="S321" i="11" s="1"/>
  <c r="S322" i="11" s="1"/>
  <c r="S323" i="11" s="1"/>
  <c r="S324" i="11" s="1"/>
  <c r="S325" i="11" s="1"/>
  <c r="S326" i="11" s="1"/>
  <c r="S327" i="11" s="1"/>
  <c r="S328" i="11" s="1"/>
  <c r="S329" i="11" s="1"/>
  <c r="S330" i="11" s="1"/>
  <c r="S331" i="11" s="1"/>
  <c r="S332" i="11" s="1"/>
  <c r="S333" i="11" s="1"/>
  <c r="S334" i="11" s="1"/>
  <c r="S335" i="11" s="1"/>
  <c r="S336" i="11" s="1"/>
  <c r="Y52" i="11"/>
  <c r="AC52" i="11"/>
  <c r="R346" i="11"/>
  <c r="R360" i="11"/>
  <c r="R359" i="11"/>
  <c r="W360" i="11"/>
  <c r="W338" i="11"/>
  <c r="W359" i="11"/>
  <c r="W346" i="11"/>
  <c r="W356" i="11"/>
  <c r="W343" i="11"/>
  <c r="W337" i="11"/>
  <c r="W341" i="11"/>
  <c r="W351" i="11"/>
  <c r="W352" i="11"/>
  <c r="W354" i="11"/>
  <c r="W357" i="11"/>
  <c r="O366" i="11"/>
  <c r="Q366" i="11" s="1"/>
  <c r="K369" i="11"/>
  <c r="G381" i="11"/>
  <c r="N381" i="11" s="1"/>
  <c r="O381" i="11" s="1"/>
  <c r="H369" i="11"/>
  <c r="I369" i="11" s="1"/>
  <c r="O368" i="11"/>
  <c r="Q368" i="11" s="1"/>
  <c r="K349" i="11"/>
  <c r="G361" i="11"/>
  <c r="N361" i="11" s="1"/>
  <c r="O361" i="11" s="1"/>
  <c r="H349" i="11"/>
  <c r="I349" i="11" s="1"/>
  <c r="O350" i="11"/>
  <c r="Q350" i="11" s="1"/>
  <c r="R357" i="11"/>
  <c r="R354" i="11"/>
  <c r="O371" i="11"/>
  <c r="Q371" i="11" s="1"/>
  <c r="P353" i="11"/>
  <c r="Q353" i="11"/>
  <c r="P356" i="11"/>
  <c r="R356" i="11" s="1"/>
  <c r="P338" i="11"/>
  <c r="R338" i="11" s="1"/>
  <c r="P351" i="11"/>
  <c r="R351" i="11" s="1"/>
  <c r="P349" i="11"/>
  <c r="Q349" i="11"/>
  <c r="R352" i="11"/>
  <c r="G378" i="11"/>
  <c r="N378" i="11" s="1"/>
  <c r="K366" i="11"/>
  <c r="H366" i="11"/>
  <c r="I366" i="11" s="1"/>
  <c r="G370" i="11"/>
  <c r="N370" i="11" s="1"/>
  <c r="H358" i="11"/>
  <c r="I358" i="11" s="1"/>
  <c r="K358" i="11"/>
  <c r="O372" i="11"/>
  <c r="Q372" i="11" s="1"/>
  <c r="G362" i="11"/>
  <c r="N362" i="11" s="1"/>
  <c r="H350" i="11"/>
  <c r="I350" i="11" s="1"/>
  <c r="K350" i="11"/>
  <c r="G380" i="11"/>
  <c r="N380" i="11" s="1"/>
  <c r="O380" i="11" s="1"/>
  <c r="H368" i="11"/>
  <c r="I368" i="11" s="1"/>
  <c r="K368" i="11"/>
  <c r="G376" i="11"/>
  <c r="N376" i="11" s="1"/>
  <c r="H364" i="11"/>
  <c r="I364" i="11" s="1"/>
  <c r="K364" i="11"/>
  <c r="O364" i="11"/>
  <c r="Q364" i="11" s="1"/>
  <c r="P369" i="11"/>
  <c r="Q369" i="11"/>
  <c r="H371" i="11"/>
  <c r="I371" i="11" s="1"/>
  <c r="K371" i="11"/>
  <c r="G383" i="11"/>
  <c r="N383" i="11" s="1"/>
  <c r="O383" i="11" s="1"/>
  <c r="P343" i="11"/>
  <c r="R343" i="11" s="1"/>
  <c r="R341" i="11"/>
  <c r="G365" i="11"/>
  <c r="N365" i="11" s="1"/>
  <c r="K353" i="11"/>
  <c r="H353" i="11"/>
  <c r="I353" i="11" s="1"/>
  <c r="P337" i="11"/>
  <c r="R337" i="11" s="1"/>
  <c r="G367" i="11"/>
  <c r="N367" i="11" s="1"/>
  <c r="O367" i="11" s="1"/>
  <c r="H355" i="11"/>
  <c r="I355" i="11" s="1"/>
  <c r="K355" i="11"/>
  <c r="H372" i="11"/>
  <c r="I372" i="11" s="1"/>
  <c r="G384" i="11"/>
  <c r="N384" i="11" s="1"/>
  <c r="O384" i="11" s="1"/>
  <c r="K372" i="11"/>
  <c r="G375" i="11"/>
  <c r="N375" i="11" s="1"/>
  <c r="K363" i="11"/>
  <c r="H363" i="11"/>
  <c r="I363" i="11" s="1"/>
  <c r="P355" i="11"/>
  <c r="Q355" i="11"/>
  <c r="O363" i="11"/>
  <c r="Q363" i="11" s="1"/>
  <c r="P358" i="11"/>
  <c r="Q358" i="11"/>
  <c r="U53" i="11"/>
  <c r="V53" i="11" s="1"/>
  <c r="X53" i="11" s="1"/>
  <c r="T54" i="11"/>
  <c r="S337" i="11" l="1"/>
  <c r="S338" i="11" s="1"/>
  <c r="S339" i="11" s="1"/>
  <c r="S340" i="11" s="1"/>
  <c r="S341" i="11" s="1"/>
  <c r="S342" i="11" s="1"/>
  <c r="S343" i="11" s="1"/>
  <c r="S344" i="11" s="1"/>
  <c r="S345" i="11" s="1"/>
  <c r="S346" i="11" s="1"/>
  <c r="S347" i="11" s="1"/>
  <c r="S348" i="11" s="1"/>
  <c r="Y53" i="11"/>
  <c r="AC53" i="11"/>
  <c r="R355" i="11"/>
  <c r="R353" i="11"/>
  <c r="W350" i="11"/>
  <c r="W372" i="11"/>
  <c r="W371" i="11"/>
  <c r="W369" i="11"/>
  <c r="W355" i="11"/>
  <c r="W358" i="11"/>
  <c r="W353" i="11"/>
  <c r="W364" i="11"/>
  <c r="W366" i="11"/>
  <c r="W363" i="11"/>
  <c r="W368" i="11"/>
  <c r="W349" i="11"/>
  <c r="H384" i="11"/>
  <c r="I384" i="11" s="1"/>
  <c r="K384" i="11"/>
  <c r="P383" i="11"/>
  <c r="Q383" i="11"/>
  <c r="P380" i="11"/>
  <c r="Q380" i="11"/>
  <c r="P384" i="11"/>
  <c r="Q384" i="11"/>
  <c r="K383" i="11"/>
  <c r="H383" i="11"/>
  <c r="I383" i="11" s="1"/>
  <c r="G374" i="11"/>
  <c r="N374" i="11" s="1"/>
  <c r="O374" i="11" s="1"/>
  <c r="K362" i="11"/>
  <c r="H362" i="11"/>
  <c r="I362" i="11" s="1"/>
  <c r="P350" i="11"/>
  <c r="R350" i="11" s="1"/>
  <c r="R349" i="11"/>
  <c r="G379" i="11"/>
  <c r="N379" i="11" s="1"/>
  <c r="O379" i="11" s="1"/>
  <c r="K367" i="11"/>
  <c r="H367" i="11"/>
  <c r="I367" i="11" s="1"/>
  <c r="O362" i="11"/>
  <c r="Q362" i="11" s="1"/>
  <c r="P361" i="11"/>
  <c r="Q361" i="11"/>
  <c r="R358" i="11"/>
  <c r="R369" i="11"/>
  <c r="K361" i="11"/>
  <c r="G373" i="11"/>
  <c r="N373" i="11" s="1"/>
  <c r="H361" i="11"/>
  <c r="I361" i="11" s="1"/>
  <c r="P367" i="11"/>
  <c r="Q367" i="11"/>
  <c r="P372" i="11"/>
  <c r="P363" i="11"/>
  <c r="P364" i="11"/>
  <c r="K370" i="11"/>
  <c r="H370" i="11"/>
  <c r="I370" i="11" s="1"/>
  <c r="G382" i="11"/>
  <c r="N382" i="11" s="1"/>
  <c r="O382" i="11" s="1"/>
  <c r="P368" i="11"/>
  <c r="K376" i="11"/>
  <c r="H376" i="11"/>
  <c r="I376" i="11" s="1"/>
  <c r="K365" i="11"/>
  <c r="H365" i="11"/>
  <c r="I365" i="11" s="1"/>
  <c r="G377" i="11"/>
  <c r="N377" i="11" s="1"/>
  <c r="O377" i="11" s="1"/>
  <c r="O370" i="11"/>
  <c r="Q370" i="11" s="1"/>
  <c r="P381" i="11"/>
  <c r="Q381" i="11"/>
  <c r="O365" i="11"/>
  <c r="Q365" i="11" s="1"/>
  <c r="O376" i="11"/>
  <c r="Q376" i="11" s="1"/>
  <c r="P371" i="11"/>
  <c r="H381" i="11"/>
  <c r="I381" i="11" s="1"/>
  <c r="K381" i="11"/>
  <c r="K375" i="11"/>
  <c r="H375" i="11"/>
  <c r="I375" i="11" s="1"/>
  <c r="H380" i="11"/>
  <c r="I380" i="11" s="1"/>
  <c r="K380" i="11"/>
  <c r="K378" i="11"/>
  <c r="H378" i="11"/>
  <c r="I378" i="11" s="1"/>
  <c r="O375" i="11"/>
  <c r="Q375" i="11" s="1"/>
  <c r="O378" i="11"/>
  <c r="Q378" i="11" s="1"/>
  <c r="P366" i="11"/>
  <c r="U54" i="11"/>
  <c r="V54" i="11" s="1"/>
  <c r="X54" i="11" s="1"/>
  <c r="T55" i="11"/>
  <c r="S349" i="11" l="1"/>
  <c r="S350" i="11" s="1"/>
  <c r="S351" i="11" s="1"/>
  <c r="S352" i="11" s="1"/>
  <c r="S353" i="11" s="1"/>
  <c r="S354" i="11" s="1"/>
  <c r="S355" i="11" s="1"/>
  <c r="S356" i="11" s="1"/>
  <c r="S357" i="11" s="1"/>
  <c r="S358" i="11" s="1"/>
  <c r="S359" i="11" s="1"/>
  <c r="S360" i="11" s="1"/>
  <c r="P362" i="11"/>
  <c r="R362" i="11" s="1"/>
  <c r="R381" i="11"/>
  <c r="R384" i="11"/>
  <c r="R361" i="11"/>
  <c r="Y54" i="11"/>
  <c r="AC54" i="11"/>
  <c r="R367" i="11"/>
  <c r="P375" i="11"/>
  <c r="R375" i="11" s="1"/>
  <c r="R380" i="11"/>
  <c r="W380" i="11"/>
  <c r="W365" i="11"/>
  <c r="W375" i="11"/>
  <c r="W361" i="11"/>
  <c r="W376" i="11"/>
  <c r="W362" i="11"/>
  <c r="W384" i="11"/>
  <c r="W381" i="11"/>
  <c r="W370" i="11"/>
  <c r="W383" i="11"/>
  <c r="W378" i="11"/>
  <c r="W367" i="11"/>
  <c r="P374" i="11"/>
  <c r="Q374" i="11"/>
  <c r="K382" i="11"/>
  <c r="H382" i="11"/>
  <c r="I382" i="11" s="1"/>
  <c r="R364" i="11"/>
  <c r="R363" i="11"/>
  <c r="P370" i="11"/>
  <c r="P377" i="11"/>
  <c r="Q377" i="11"/>
  <c r="K377" i="11"/>
  <c r="H377" i="11"/>
  <c r="I377" i="11" s="1"/>
  <c r="R371" i="11"/>
  <c r="P382" i="11"/>
  <c r="Q382" i="11"/>
  <c r="K374" i="11"/>
  <c r="H374" i="11"/>
  <c r="I374" i="11" s="1"/>
  <c r="P365" i="11"/>
  <c r="R372" i="11"/>
  <c r="K379" i="11"/>
  <c r="H379" i="11"/>
  <c r="I379" i="11" s="1"/>
  <c r="R366" i="11"/>
  <c r="P379" i="11"/>
  <c r="Q379" i="11"/>
  <c r="O373" i="11"/>
  <c r="Q373" i="11" s="1"/>
  <c r="R383" i="11"/>
  <c r="P378" i="11"/>
  <c r="K373" i="11"/>
  <c r="H373" i="11"/>
  <c r="I373" i="11" s="1"/>
  <c r="P376" i="11"/>
  <c r="R368" i="11"/>
  <c r="U55" i="11"/>
  <c r="V55" i="11" s="1"/>
  <c r="X55" i="11" s="1"/>
  <c r="T56" i="11"/>
  <c r="S361" i="11" l="1"/>
  <c r="S362" i="11" s="1"/>
  <c r="S363" i="11" s="1"/>
  <c r="S364" i="11" s="1"/>
  <c r="Y55" i="11"/>
  <c r="AC55" i="11"/>
  <c r="W377" i="11"/>
  <c r="W379" i="11"/>
  <c r="W373" i="11"/>
  <c r="W374" i="11"/>
  <c r="W382" i="11"/>
  <c r="R376" i="11"/>
  <c r="R378" i="11"/>
  <c r="R379" i="11"/>
  <c r="R365" i="11"/>
  <c r="R370" i="11"/>
  <c r="R382" i="11"/>
  <c r="R374" i="11"/>
  <c r="P373" i="11"/>
  <c r="R377" i="11"/>
  <c r="U56" i="11"/>
  <c r="V56" i="11" s="1"/>
  <c r="X56" i="11" s="1"/>
  <c r="T57" i="11"/>
  <c r="S365" i="11" l="1"/>
  <c r="S366" i="11" s="1"/>
  <c r="S367" i="11" s="1"/>
  <c r="S368" i="11" s="1"/>
  <c r="S369" i="11" s="1"/>
  <c r="S370" i="11" s="1"/>
  <c r="S371" i="11" s="1"/>
  <c r="S372" i="11" s="1"/>
  <c r="Y56" i="11"/>
  <c r="AC56" i="11"/>
  <c r="R373" i="11"/>
  <c r="U57" i="11"/>
  <c r="V57" i="11" s="1"/>
  <c r="X57" i="11" s="1"/>
  <c r="T58" i="11"/>
  <c r="S373" i="11" l="1"/>
  <c r="S374" i="11" s="1"/>
  <c r="S375" i="11" s="1"/>
  <c r="S376" i="11" s="1"/>
  <c r="S377" i="11" s="1"/>
  <c r="S378" i="11" s="1"/>
  <c r="S379" i="11" s="1"/>
  <c r="S380" i="11" s="1"/>
  <c r="S381" i="11" s="1"/>
  <c r="S382" i="11" s="1"/>
  <c r="S383" i="11" s="1"/>
  <c r="S384" i="11" s="1"/>
  <c r="Y57" i="11"/>
  <c r="AC57" i="11"/>
  <c r="U58" i="11"/>
  <c r="V58" i="11" s="1"/>
  <c r="X58" i="11" s="1"/>
  <c r="T59" i="11"/>
  <c r="Y58" i="11" l="1"/>
  <c r="AC58" i="11"/>
  <c r="U59" i="11"/>
  <c r="V59" i="11" s="1"/>
  <c r="X59" i="11" s="1"/>
  <c r="T60" i="11"/>
  <c r="Y59" i="11" l="1"/>
  <c r="AC59" i="11"/>
  <c r="T61" i="11"/>
  <c r="U61" i="11" s="1"/>
  <c r="V61" i="11" s="1"/>
  <c r="X61" i="11" s="1"/>
  <c r="U60" i="11"/>
  <c r="V60" i="11" s="1"/>
  <c r="X60" i="11" s="1"/>
  <c r="Y60" i="11" l="1"/>
  <c r="AC60" i="11"/>
  <c r="Y61" i="11"/>
  <c r="AC61" i="11"/>
  <c r="T62" i="11"/>
  <c r="U62" i="11" s="1"/>
  <c r="V62" i="11" s="1"/>
  <c r="X62" i="11" s="1"/>
  <c r="Y62" i="11" l="1"/>
  <c r="AC62" i="11"/>
  <c r="T63" i="11"/>
  <c r="U63" i="11" s="1"/>
  <c r="V63" i="11" s="1"/>
  <c r="X63" i="11" s="1"/>
  <c r="Y63" i="11" l="1"/>
  <c r="AC63" i="11"/>
  <c r="T64" i="11"/>
  <c r="U64" i="11" s="1"/>
  <c r="V64" i="11" s="1"/>
  <c r="X64" i="11" s="1"/>
  <c r="Y64" i="11" l="1"/>
  <c r="AC64" i="11"/>
  <c r="T65" i="11"/>
  <c r="U65" i="11" s="1"/>
  <c r="V65" i="11" s="1"/>
  <c r="X65" i="11" s="1"/>
  <c r="Y65" i="11" l="1"/>
  <c r="AC65" i="11"/>
  <c r="T66" i="11"/>
  <c r="U66" i="11" s="1"/>
  <c r="V66" i="11" s="1"/>
  <c r="X66" i="11" s="1"/>
  <c r="AC24" i="11" l="1"/>
  <c r="Y66" i="11"/>
  <c r="AC66" i="11"/>
  <c r="Z25" i="11"/>
  <c r="T67" i="11"/>
  <c r="U67" i="11" s="1"/>
  <c r="V67" i="11" s="1"/>
  <c r="X67" i="11" s="1"/>
  <c r="Y67" i="11" l="1"/>
  <c r="AC67" i="11"/>
  <c r="AA25" i="11"/>
  <c r="Z26" i="11"/>
  <c r="AA26" i="11" s="1"/>
  <c r="T68" i="11"/>
  <c r="U68" i="11" s="1"/>
  <c r="V68" i="11" s="1"/>
  <c r="X68" i="11" s="1"/>
  <c r="Y68" i="11" l="1"/>
  <c r="AC68" i="11"/>
  <c r="Z27" i="11"/>
  <c r="T69" i="11"/>
  <c r="U69" i="11" s="1"/>
  <c r="V69" i="11" s="1"/>
  <c r="X69" i="11" s="1"/>
  <c r="Y69" i="11" l="1"/>
  <c r="AC69" i="11"/>
  <c r="AA27" i="11"/>
  <c r="Z28" i="11"/>
  <c r="AA28" i="11" s="1"/>
  <c r="T70" i="11"/>
  <c r="U70" i="11" s="1"/>
  <c r="V70" i="11" s="1"/>
  <c r="X70" i="11" s="1"/>
  <c r="Y70" i="11" l="1"/>
  <c r="AC70" i="11"/>
  <c r="Z29" i="11"/>
  <c r="T71" i="11"/>
  <c r="U71" i="11" s="1"/>
  <c r="V71" i="11" s="1"/>
  <c r="X71" i="11" s="1"/>
  <c r="Y71" i="11" l="1"/>
  <c r="AC71" i="11"/>
  <c r="AA29" i="11"/>
  <c r="Z30" i="11"/>
  <c r="AA30" i="11" s="1"/>
  <c r="T72" i="11"/>
  <c r="U72" i="11" s="1"/>
  <c r="V72" i="11" s="1"/>
  <c r="X72" i="11" s="1"/>
  <c r="Y72" i="11" l="1"/>
  <c r="AC72" i="11"/>
  <c r="Z31" i="11"/>
  <c r="T73" i="11"/>
  <c r="U73" i="11" s="1"/>
  <c r="V73" i="11" s="1"/>
  <c r="X73" i="11" s="1"/>
  <c r="Y73" i="11" l="1"/>
  <c r="AC73" i="11"/>
  <c r="AA31" i="11"/>
  <c r="Z32" i="11"/>
  <c r="AA32" i="11" s="1"/>
  <c r="T74" i="11"/>
  <c r="U74" i="11" s="1"/>
  <c r="V74" i="11" s="1"/>
  <c r="X74" i="11" s="1"/>
  <c r="Y74" i="11" l="1"/>
  <c r="AC74" i="11"/>
  <c r="Z33" i="11"/>
  <c r="AA33" i="11" s="1"/>
  <c r="T75" i="11"/>
  <c r="U75" i="11" s="1"/>
  <c r="V75" i="11" s="1"/>
  <c r="X75" i="11" s="1"/>
  <c r="Y75" i="11" l="1"/>
  <c r="AC75" i="11"/>
  <c r="Z34" i="11"/>
  <c r="AA34" i="11" s="1"/>
  <c r="T76" i="11"/>
  <c r="U76" i="11" s="1"/>
  <c r="V76" i="11" s="1"/>
  <c r="X76" i="11" s="1"/>
  <c r="Y76" i="11" l="1"/>
  <c r="AC76" i="11"/>
  <c r="Z35" i="11"/>
  <c r="AA35" i="11" s="1"/>
  <c r="T77" i="11"/>
  <c r="U77" i="11" s="1"/>
  <c r="V77" i="11" s="1"/>
  <c r="X77" i="11" s="1"/>
  <c r="Y77" i="11" l="1"/>
  <c r="AC77" i="11"/>
  <c r="Z36" i="11"/>
  <c r="AA36" i="11" s="1"/>
  <c r="T78" i="11"/>
  <c r="U78" i="11" s="1"/>
  <c r="V78" i="11" s="1"/>
  <c r="X78" i="11" s="1"/>
  <c r="Y78" i="11" l="1"/>
  <c r="AC78" i="11"/>
  <c r="Z37" i="11"/>
  <c r="AA37" i="11" s="1"/>
  <c r="T79" i="11"/>
  <c r="U79" i="11" s="1"/>
  <c r="V79" i="11" s="1"/>
  <c r="X79" i="11" s="1"/>
  <c r="Y79" i="11" l="1"/>
  <c r="AC79" i="11"/>
  <c r="Z38" i="11"/>
  <c r="AA38" i="11" s="1"/>
  <c r="T80" i="11"/>
  <c r="U80" i="11" s="1"/>
  <c r="V80" i="11" s="1"/>
  <c r="X80" i="11" s="1"/>
  <c r="Y80" i="11" l="1"/>
  <c r="AC80" i="11"/>
  <c r="Z39" i="11"/>
  <c r="AA39" i="11" s="1"/>
  <c r="T81" i="11"/>
  <c r="U81" i="11" s="1"/>
  <c r="V81" i="11" s="1"/>
  <c r="X81" i="11" s="1"/>
  <c r="Y81" i="11" l="1"/>
  <c r="AC81" i="11"/>
  <c r="Z40" i="11"/>
  <c r="AA40" i="11" s="1"/>
  <c r="T82" i="11"/>
  <c r="U82" i="11" s="1"/>
  <c r="V82" i="11" s="1"/>
  <c r="X82" i="11" s="1"/>
  <c r="Y82" i="11" l="1"/>
  <c r="AC82" i="11"/>
  <c r="Z41" i="11"/>
  <c r="AA41" i="11" s="1"/>
  <c r="T83" i="11"/>
  <c r="U83" i="11" s="1"/>
  <c r="V83" i="11" s="1"/>
  <c r="X83" i="11" s="1"/>
  <c r="Y83" i="11" l="1"/>
  <c r="AC83" i="11"/>
  <c r="Z42" i="11"/>
  <c r="AA42" i="11" s="1"/>
  <c r="T84" i="11"/>
  <c r="U84" i="11" s="1"/>
  <c r="V84" i="11" s="1"/>
  <c r="X84" i="11" s="1"/>
  <c r="Y84" i="11" l="1"/>
  <c r="AC84" i="11"/>
  <c r="Z43" i="11"/>
  <c r="AA43" i="11" s="1"/>
  <c r="T85" i="11"/>
  <c r="U85" i="11" s="1"/>
  <c r="V85" i="11" s="1"/>
  <c r="X85" i="11" s="1"/>
  <c r="Y85" i="11" l="1"/>
  <c r="AC85" i="11"/>
  <c r="Z44" i="11"/>
  <c r="AA44" i="11" s="1"/>
  <c r="T86" i="11"/>
  <c r="U86" i="11" s="1"/>
  <c r="V86" i="11" s="1"/>
  <c r="X86" i="11" s="1"/>
  <c r="Y86" i="11" l="1"/>
  <c r="AC86" i="11"/>
  <c r="Z45" i="11"/>
  <c r="AA45" i="11" s="1"/>
  <c r="T87" i="11"/>
  <c r="U87" i="11" s="1"/>
  <c r="V87" i="11" s="1"/>
  <c r="X87" i="11" s="1"/>
  <c r="Y87" i="11" l="1"/>
  <c r="AC87" i="11"/>
  <c r="Z46" i="11"/>
  <c r="AA46" i="11" s="1"/>
  <c r="T88" i="11"/>
  <c r="U88" i="11" s="1"/>
  <c r="V88" i="11" s="1"/>
  <c r="X88" i="11" s="1"/>
  <c r="Y88" i="11" l="1"/>
  <c r="AC88" i="11"/>
  <c r="Z47" i="11"/>
  <c r="AA47" i="11" s="1"/>
  <c r="T89" i="11"/>
  <c r="U89" i="11" s="1"/>
  <c r="V89" i="11" s="1"/>
  <c r="X89" i="11" s="1"/>
  <c r="Y89" i="11" l="1"/>
  <c r="AC89" i="11"/>
  <c r="Z48" i="11"/>
  <c r="AA48" i="11" s="1"/>
  <c r="T90" i="11"/>
  <c r="U90" i="11" s="1"/>
  <c r="V90" i="11" s="1"/>
  <c r="X90" i="11" s="1"/>
  <c r="Y90" i="11" l="1"/>
  <c r="AC90" i="11"/>
  <c r="Z49" i="11"/>
  <c r="AA49" i="11" s="1"/>
  <c r="T91" i="11"/>
  <c r="U91" i="11" s="1"/>
  <c r="V91" i="11" s="1"/>
  <c r="X91" i="11" s="1"/>
  <c r="Y91" i="11" l="1"/>
  <c r="AC91" i="11"/>
  <c r="Z50" i="11"/>
  <c r="AA50" i="11" s="1"/>
  <c r="T92" i="11"/>
  <c r="U92" i="11" s="1"/>
  <c r="V92" i="11" s="1"/>
  <c r="X92" i="11" s="1"/>
  <c r="Y92" i="11" l="1"/>
  <c r="AC92" i="11"/>
  <c r="Z51" i="11"/>
  <c r="AA51" i="11" s="1"/>
  <c r="T93" i="11"/>
  <c r="U93" i="11" s="1"/>
  <c r="V93" i="11" s="1"/>
  <c r="X93" i="11" s="1"/>
  <c r="Y93" i="11" l="1"/>
  <c r="AC93" i="11"/>
  <c r="Z52" i="11"/>
  <c r="AA52" i="11" s="1"/>
  <c r="T94" i="11"/>
  <c r="U94" i="11" s="1"/>
  <c r="V94" i="11" s="1"/>
  <c r="X94" i="11" s="1"/>
  <c r="Y94" i="11" l="1"/>
  <c r="AC94" i="11"/>
  <c r="Z53" i="11"/>
  <c r="AA53" i="11" s="1"/>
  <c r="T95" i="11"/>
  <c r="U95" i="11" s="1"/>
  <c r="V95" i="11" s="1"/>
  <c r="X95" i="11" s="1"/>
  <c r="Y95" i="11" l="1"/>
  <c r="AC95" i="11"/>
  <c r="Z54" i="11"/>
  <c r="AA54" i="11" s="1"/>
  <c r="T96" i="11"/>
  <c r="U96" i="11" s="1"/>
  <c r="V96" i="11" s="1"/>
  <c r="X96" i="11" s="1"/>
  <c r="Y96" i="11" l="1"/>
  <c r="AC96" i="11"/>
  <c r="T97" i="11"/>
  <c r="U97" i="11" s="1"/>
  <c r="V97" i="11" s="1"/>
  <c r="X97" i="11" s="1"/>
  <c r="Z55" i="11"/>
  <c r="AA55" i="11" s="1"/>
  <c r="Y97" i="11" l="1"/>
  <c r="AC97" i="11"/>
  <c r="T98" i="11"/>
  <c r="U98" i="11" s="1"/>
  <c r="V98" i="11" s="1"/>
  <c r="X98" i="11" s="1"/>
  <c r="Z56" i="11"/>
  <c r="AA56" i="11" s="1"/>
  <c r="Y98" i="11" l="1"/>
  <c r="AC98" i="11"/>
  <c r="T99" i="11"/>
  <c r="U99" i="11" s="1"/>
  <c r="V99" i="11" s="1"/>
  <c r="X99" i="11" s="1"/>
  <c r="Z57" i="11"/>
  <c r="AA57" i="11" s="1"/>
  <c r="Y99" i="11" l="1"/>
  <c r="AC99" i="11"/>
  <c r="T100" i="11"/>
  <c r="U100" i="11" s="1"/>
  <c r="V100" i="11" s="1"/>
  <c r="X100" i="11" s="1"/>
  <c r="Z58" i="11"/>
  <c r="AA58" i="11" s="1"/>
  <c r="Y100" i="11" l="1"/>
  <c r="AC100" i="11"/>
  <c r="T101" i="11"/>
  <c r="U101" i="11" s="1"/>
  <c r="V101" i="11" s="1"/>
  <c r="X101" i="11" s="1"/>
  <c r="Z59" i="11"/>
  <c r="AA59" i="11" s="1"/>
  <c r="Y101" i="11" l="1"/>
  <c r="AC101" i="11"/>
  <c r="T102" i="11"/>
  <c r="U102" i="11" s="1"/>
  <c r="V102" i="11" s="1"/>
  <c r="X102" i="11" s="1"/>
  <c r="Z60" i="11"/>
  <c r="AA60" i="11" s="1"/>
  <c r="Y102" i="11" l="1"/>
  <c r="AC102" i="11"/>
  <c r="T103" i="11"/>
  <c r="U103" i="11" s="1"/>
  <c r="V103" i="11" s="1"/>
  <c r="X103" i="11" s="1"/>
  <c r="Z61" i="11"/>
  <c r="AA61" i="11" s="1"/>
  <c r="Y103" i="11" l="1"/>
  <c r="AC103" i="11"/>
  <c r="T104" i="11"/>
  <c r="U104" i="11" s="1"/>
  <c r="V104" i="11" s="1"/>
  <c r="X104" i="11" s="1"/>
  <c r="Z62" i="11"/>
  <c r="AA62" i="11" s="1"/>
  <c r="Y104" i="11" l="1"/>
  <c r="AC104" i="11"/>
  <c r="T105" i="11"/>
  <c r="U105" i="11" s="1"/>
  <c r="V105" i="11" s="1"/>
  <c r="X105" i="11" s="1"/>
  <c r="Z63" i="11"/>
  <c r="AA63" i="11" s="1"/>
  <c r="Y105" i="11" l="1"/>
  <c r="AC105" i="11"/>
  <c r="T106" i="11"/>
  <c r="U106" i="11" s="1"/>
  <c r="V106" i="11" s="1"/>
  <c r="X106" i="11" s="1"/>
  <c r="Z64" i="11"/>
  <c r="AA64" i="11" s="1"/>
  <c r="Y106" i="11" l="1"/>
  <c r="AC106" i="11"/>
  <c r="T107" i="11"/>
  <c r="U107" i="11" s="1"/>
  <c r="V107" i="11" s="1"/>
  <c r="X107" i="11" s="1"/>
  <c r="Z65" i="11"/>
  <c r="AA65" i="11" s="1"/>
  <c r="Y107" i="11" l="1"/>
  <c r="AC107" i="11"/>
  <c r="T108" i="11"/>
  <c r="U108" i="11" s="1"/>
  <c r="V108" i="11" s="1"/>
  <c r="X108" i="11" s="1"/>
  <c r="Z66" i="11"/>
  <c r="AA66" i="11" s="1"/>
  <c r="Y108" i="11" l="1"/>
  <c r="AC108" i="11"/>
  <c r="T109" i="11"/>
  <c r="U109" i="11" s="1"/>
  <c r="V109" i="11" s="1"/>
  <c r="X109" i="11" s="1"/>
  <c r="Z67" i="11"/>
  <c r="AA67" i="11" s="1"/>
  <c r="Y109" i="11" l="1"/>
  <c r="AC109" i="11"/>
  <c r="T110" i="11"/>
  <c r="U110" i="11" s="1"/>
  <c r="V110" i="11" s="1"/>
  <c r="X110" i="11" s="1"/>
  <c r="Z68" i="11"/>
  <c r="AA68" i="11" s="1"/>
  <c r="Y110" i="11" l="1"/>
  <c r="AC110" i="11"/>
  <c r="T111" i="11"/>
  <c r="U111" i="11" s="1"/>
  <c r="V111" i="11" s="1"/>
  <c r="X111" i="11" s="1"/>
  <c r="Z69" i="11"/>
  <c r="AA69" i="11" s="1"/>
  <c r="Y111" i="11" l="1"/>
  <c r="AC111" i="11"/>
  <c r="T112" i="11"/>
  <c r="U112" i="11" s="1"/>
  <c r="V112" i="11" s="1"/>
  <c r="X112" i="11" s="1"/>
  <c r="Z70" i="11"/>
  <c r="AA70" i="11" s="1"/>
  <c r="Y112" i="11" l="1"/>
  <c r="AC112" i="11"/>
  <c r="T113" i="11"/>
  <c r="U113" i="11" s="1"/>
  <c r="V113" i="11" s="1"/>
  <c r="X113" i="11" s="1"/>
  <c r="Z71" i="11"/>
  <c r="AA71" i="11" s="1"/>
  <c r="Y113" i="11" l="1"/>
  <c r="AC113" i="11"/>
  <c r="T114" i="11"/>
  <c r="U114" i="11" s="1"/>
  <c r="V114" i="11" s="1"/>
  <c r="X114" i="11" s="1"/>
  <c r="Z72" i="11"/>
  <c r="AA72" i="11" s="1"/>
  <c r="Y114" i="11" l="1"/>
  <c r="AC114" i="11"/>
  <c r="T115" i="11"/>
  <c r="U115" i="11" s="1"/>
  <c r="V115" i="11" s="1"/>
  <c r="X115" i="11" s="1"/>
  <c r="Z73" i="11"/>
  <c r="AA73" i="11" s="1"/>
  <c r="Y115" i="11" l="1"/>
  <c r="AC115" i="11"/>
  <c r="T116" i="11"/>
  <c r="U116" i="11" s="1"/>
  <c r="V116" i="11" s="1"/>
  <c r="X116" i="11" s="1"/>
  <c r="Z74" i="11"/>
  <c r="AA74" i="11" s="1"/>
  <c r="Y116" i="11" l="1"/>
  <c r="AC116" i="11"/>
  <c r="T117" i="11"/>
  <c r="U117" i="11" s="1"/>
  <c r="V117" i="11" s="1"/>
  <c r="X117" i="11" s="1"/>
  <c r="Z75" i="11"/>
  <c r="AA75" i="11" s="1"/>
  <c r="Y117" i="11" l="1"/>
  <c r="AC117" i="11"/>
  <c r="T118" i="11"/>
  <c r="U118" i="11" s="1"/>
  <c r="V118" i="11" s="1"/>
  <c r="X118" i="11" s="1"/>
  <c r="Z76" i="11"/>
  <c r="AA76" i="11" s="1"/>
  <c r="Y118" i="11" l="1"/>
  <c r="AC118" i="11"/>
  <c r="T119" i="11"/>
  <c r="U119" i="11" s="1"/>
  <c r="V119" i="11" s="1"/>
  <c r="X119" i="11" s="1"/>
  <c r="Z77" i="11"/>
  <c r="AA77" i="11" s="1"/>
  <c r="Y119" i="11" l="1"/>
  <c r="AC119" i="11"/>
  <c r="T120" i="11"/>
  <c r="U120" i="11" s="1"/>
  <c r="V120" i="11" s="1"/>
  <c r="X120" i="11" s="1"/>
  <c r="Z78" i="11"/>
  <c r="AA78" i="11" s="1"/>
  <c r="Y120" i="11" l="1"/>
  <c r="AC120" i="11"/>
  <c r="T121" i="11"/>
  <c r="U121" i="11" s="1"/>
  <c r="V121" i="11" s="1"/>
  <c r="X121" i="11" s="1"/>
  <c r="Z79" i="11"/>
  <c r="AA79" i="11" s="1"/>
  <c r="Y121" i="11" l="1"/>
  <c r="AC121" i="11"/>
  <c r="T122" i="11"/>
  <c r="U122" i="11" s="1"/>
  <c r="V122" i="11" s="1"/>
  <c r="X122" i="11" s="1"/>
  <c r="Z80" i="11"/>
  <c r="AA80" i="11" s="1"/>
  <c r="Y122" i="11" l="1"/>
  <c r="AC122" i="11"/>
  <c r="T123" i="11"/>
  <c r="U123" i="11" s="1"/>
  <c r="V123" i="11" s="1"/>
  <c r="X123" i="11" s="1"/>
  <c r="Z81" i="11"/>
  <c r="AA81" i="11" s="1"/>
  <c r="Y123" i="11" l="1"/>
  <c r="AC123" i="11"/>
  <c r="T124" i="11"/>
  <c r="U124" i="11" s="1"/>
  <c r="V124" i="11" s="1"/>
  <c r="X124" i="11" s="1"/>
  <c r="Z82" i="11"/>
  <c r="AA82" i="11" s="1"/>
  <c r="Y124" i="11" l="1"/>
  <c r="AC124" i="11"/>
  <c r="T125" i="11"/>
  <c r="U125" i="11" s="1"/>
  <c r="V125" i="11" s="1"/>
  <c r="X125" i="11" s="1"/>
  <c r="Z83" i="11"/>
  <c r="AA83" i="11" s="1"/>
  <c r="Y125" i="11" l="1"/>
  <c r="AC125" i="11"/>
  <c r="T126" i="11"/>
  <c r="U126" i="11" s="1"/>
  <c r="V126" i="11" s="1"/>
  <c r="X126" i="11" s="1"/>
  <c r="Z84" i="11"/>
  <c r="AA84" i="11" s="1"/>
  <c r="Y126" i="11" l="1"/>
  <c r="AC126" i="11"/>
  <c r="T127" i="11"/>
  <c r="U127" i="11" s="1"/>
  <c r="V127" i="11" s="1"/>
  <c r="X127" i="11" s="1"/>
  <c r="Z85" i="11"/>
  <c r="AA85" i="11" s="1"/>
  <c r="Y127" i="11" l="1"/>
  <c r="AC127" i="11"/>
  <c r="T128" i="11"/>
  <c r="U128" i="11" s="1"/>
  <c r="V128" i="11" s="1"/>
  <c r="X128" i="11" s="1"/>
  <c r="Z86" i="11"/>
  <c r="AA86" i="11" s="1"/>
  <c r="Y128" i="11" l="1"/>
  <c r="AC128" i="11"/>
  <c r="T129" i="11"/>
  <c r="U129" i="11" s="1"/>
  <c r="V129" i="11" s="1"/>
  <c r="X129" i="11" s="1"/>
  <c r="Z87" i="11"/>
  <c r="AA87" i="11" s="1"/>
  <c r="Y129" i="11" l="1"/>
  <c r="AC129" i="11"/>
  <c r="T130" i="11"/>
  <c r="U130" i="11" s="1"/>
  <c r="V130" i="11" s="1"/>
  <c r="X130" i="11" s="1"/>
  <c r="Z88" i="11"/>
  <c r="AA88" i="11" s="1"/>
  <c r="Y130" i="11" l="1"/>
  <c r="AC130" i="11"/>
  <c r="T131" i="11"/>
  <c r="U131" i="11" s="1"/>
  <c r="V131" i="11" s="1"/>
  <c r="X131" i="11" s="1"/>
  <c r="Z89" i="11"/>
  <c r="AA89" i="11" s="1"/>
  <c r="Y131" i="11" l="1"/>
  <c r="AC131" i="11"/>
  <c r="T132" i="11"/>
  <c r="U132" i="11" s="1"/>
  <c r="V132" i="11" s="1"/>
  <c r="X132" i="11" s="1"/>
  <c r="Z90" i="11"/>
  <c r="AA90" i="11" s="1"/>
  <c r="Y132" i="11" l="1"/>
  <c r="AC132" i="11"/>
  <c r="T133" i="11"/>
  <c r="U133" i="11" s="1"/>
  <c r="V133" i="11" s="1"/>
  <c r="X133" i="11" s="1"/>
  <c r="Z91" i="11"/>
  <c r="AA91" i="11" s="1"/>
  <c r="Y133" i="11" l="1"/>
  <c r="AC133" i="11"/>
  <c r="T134" i="11"/>
  <c r="U134" i="11" s="1"/>
  <c r="V134" i="11" s="1"/>
  <c r="X134" i="11" s="1"/>
  <c r="Z92" i="11"/>
  <c r="AA92" i="11" s="1"/>
  <c r="Y134" i="11" l="1"/>
  <c r="AC134" i="11"/>
  <c r="T135" i="11"/>
  <c r="U135" i="11" s="1"/>
  <c r="V135" i="11" s="1"/>
  <c r="X135" i="11" s="1"/>
  <c r="Z93" i="11"/>
  <c r="AA93" i="11" s="1"/>
  <c r="Y135" i="11" l="1"/>
  <c r="AC135" i="11"/>
  <c r="T136" i="11"/>
  <c r="U136" i="11" s="1"/>
  <c r="V136" i="11" s="1"/>
  <c r="X136" i="11" s="1"/>
  <c r="Z94" i="11"/>
  <c r="AA94" i="11" s="1"/>
  <c r="Y136" i="11" l="1"/>
  <c r="AC136" i="11"/>
  <c r="T137" i="11"/>
  <c r="U137" i="11" s="1"/>
  <c r="V137" i="11" s="1"/>
  <c r="X137" i="11" s="1"/>
  <c r="Z95" i="11"/>
  <c r="AA95" i="11" s="1"/>
  <c r="Y137" i="11" l="1"/>
  <c r="AC137" i="11"/>
  <c r="T138" i="11"/>
  <c r="U138" i="11" s="1"/>
  <c r="V138" i="11" s="1"/>
  <c r="X138" i="11" s="1"/>
  <c r="Z96" i="11"/>
  <c r="Y138" i="11" l="1"/>
  <c r="AC138" i="11"/>
  <c r="AA96" i="11"/>
  <c r="Z97" i="11"/>
  <c r="T139" i="11"/>
  <c r="U139" i="11" s="1"/>
  <c r="V139" i="11" s="1"/>
  <c r="X139" i="11" s="1"/>
  <c r="Y139" i="11" l="1"/>
  <c r="AC139" i="11"/>
  <c r="T140" i="11"/>
  <c r="U140" i="11" s="1"/>
  <c r="V140" i="11" s="1"/>
  <c r="X140" i="11" s="1"/>
  <c r="Z98" i="11"/>
  <c r="AA97" i="11"/>
  <c r="Y140" i="11" l="1"/>
  <c r="AC140" i="11"/>
  <c r="Z99" i="11"/>
  <c r="AA98" i="11"/>
  <c r="T141" i="11"/>
  <c r="U141" i="11" s="1"/>
  <c r="V141" i="11" s="1"/>
  <c r="X141" i="11" s="1"/>
  <c r="Y141" i="11" l="1"/>
  <c r="AC141" i="11"/>
  <c r="T142" i="11"/>
  <c r="U142" i="11" s="1"/>
  <c r="V142" i="11" s="1"/>
  <c r="X142" i="11" s="1"/>
  <c r="AA99" i="11"/>
  <c r="Z100" i="11"/>
  <c r="Y142" i="11" l="1"/>
  <c r="AC142" i="11"/>
  <c r="AA100" i="11"/>
  <c r="Z101" i="11"/>
  <c r="T143" i="11"/>
  <c r="U143" i="11" s="1"/>
  <c r="V143" i="11" s="1"/>
  <c r="X143" i="11" s="1"/>
  <c r="Y143" i="11" l="1"/>
  <c r="AC143" i="11"/>
  <c r="T144" i="11"/>
  <c r="U144" i="11" s="1"/>
  <c r="V144" i="11" s="1"/>
  <c r="X144" i="11" s="1"/>
  <c r="AA101" i="11"/>
  <c r="Z102" i="11"/>
  <c r="Y144" i="11" l="1"/>
  <c r="AC144" i="11"/>
  <c r="Z103" i="11"/>
  <c r="AA102" i="11"/>
  <c r="T145" i="11"/>
  <c r="U145" i="11" s="1"/>
  <c r="V145" i="11" s="1"/>
  <c r="X145" i="11" s="1"/>
  <c r="Y145" i="11" l="1"/>
  <c r="AC145" i="11"/>
  <c r="T146" i="11"/>
  <c r="U146" i="11" s="1"/>
  <c r="V146" i="11" s="1"/>
  <c r="X146" i="11" s="1"/>
  <c r="Z104" i="11"/>
  <c r="AA103" i="11"/>
  <c r="Y146" i="11" l="1"/>
  <c r="AC146" i="11"/>
  <c r="Z105" i="11"/>
  <c r="AA104" i="11"/>
  <c r="T147" i="11"/>
  <c r="U147" i="11" s="1"/>
  <c r="V147" i="11" s="1"/>
  <c r="X147" i="11" s="1"/>
  <c r="Y147" i="11" l="1"/>
  <c r="AC147" i="11"/>
  <c r="T148" i="11"/>
  <c r="U148" i="11" s="1"/>
  <c r="V148" i="11" s="1"/>
  <c r="X148" i="11" s="1"/>
  <c r="AA105" i="11"/>
  <c r="Z106" i="11"/>
  <c r="Y148" i="11" l="1"/>
  <c r="AC148" i="11"/>
  <c r="AA106" i="11"/>
  <c r="Z107" i="11"/>
  <c r="T149" i="11"/>
  <c r="U149" i="11" s="1"/>
  <c r="V149" i="11" s="1"/>
  <c r="X149" i="11" s="1"/>
  <c r="Y149" i="11" l="1"/>
  <c r="AC149" i="11"/>
  <c r="T150" i="11"/>
  <c r="U150" i="11" s="1"/>
  <c r="V150" i="11" s="1"/>
  <c r="X150" i="11" s="1"/>
  <c r="Z108" i="11"/>
  <c r="AA107" i="11"/>
  <c r="Y150" i="11" l="1"/>
  <c r="AC150" i="11"/>
  <c r="AA108" i="11"/>
  <c r="Z109" i="11"/>
  <c r="T151" i="11"/>
  <c r="U151" i="11" s="1"/>
  <c r="V151" i="11" s="1"/>
  <c r="X151" i="11" s="1"/>
  <c r="Y151" i="11" l="1"/>
  <c r="AC151" i="11"/>
  <c r="T152" i="11"/>
  <c r="U152" i="11" s="1"/>
  <c r="V152" i="11" s="1"/>
  <c r="X152" i="11" s="1"/>
  <c r="Z110" i="11"/>
  <c r="AA109" i="11"/>
  <c r="Y152" i="11" l="1"/>
  <c r="AC152" i="11"/>
  <c r="Z111" i="11"/>
  <c r="AA110" i="11"/>
  <c r="T153" i="11"/>
  <c r="U153" i="11" s="1"/>
  <c r="V153" i="11" s="1"/>
  <c r="X153" i="11" s="1"/>
  <c r="Y153" i="11" l="1"/>
  <c r="AC153" i="11"/>
  <c r="T154" i="11"/>
  <c r="U154" i="11" s="1"/>
  <c r="V154" i="11" s="1"/>
  <c r="X154" i="11" s="1"/>
  <c r="Z112" i="11"/>
  <c r="AA111" i="11"/>
  <c r="Y154" i="11" l="1"/>
  <c r="AC154" i="11"/>
  <c r="AA112" i="11"/>
  <c r="Z113" i="11"/>
  <c r="T155" i="11"/>
  <c r="U155" i="11" s="1"/>
  <c r="V155" i="11" s="1"/>
  <c r="X155" i="11" s="1"/>
  <c r="Y155" i="11" l="1"/>
  <c r="AC155" i="11"/>
  <c r="T156" i="11"/>
  <c r="U156" i="11" s="1"/>
  <c r="V156" i="11" s="1"/>
  <c r="X156" i="11" s="1"/>
  <c r="Z114" i="11"/>
  <c r="AA113" i="11"/>
  <c r="Y156" i="11" l="1"/>
  <c r="AC156" i="11"/>
  <c r="AA114" i="11"/>
  <c r="Z115" i="11"/>
  <c r="T157" i="11"/>
  <c r="U157" i="11" s="1"/>
  <c r="V157" i="11" s="1"/>
  <c r="X157" i="11" s="1"/>
  <c r="Y157" i="11" l="1"/>
  <c r="AC157" i="11"/>
  <c r="T158" i="11"/>
  <c r="U158" i="11" s="1"/>
  <c r="V158" i="11" s="1"/>
  <c r="X158" i="11" s="1"/>
  <c r="Z116" i="11"/>
  <c r="AA115" i="11"/>
  <c r="Y158" i="11" l="1"/>
  <c r="AC158" i="11"/>
  <c r="AA116" i="11"/>
  <c r="Z117" i="11"/>
  <c r="T159" i="11"/>
  <c r="U159" i="11" s="1"/>
  <c r="V159" i="11" s="1"/>
  <c r="X159" i="11" s="1"/>
  <c r="Y159" i="11" l="1"/>
  <c r="AC159" i="11"/>
  <c r="T160" i="11"/>
  <c r="U160" i="11" s="1"/>
  <c r="V160" i="11" s="1"/>
  <c r="X160" i="11" s="1"/>
  <c r="Z118" i="11"/>
  <c r="AA117" i="11"/>
  <c r="Y160" i="11" l="1"/>
  <c r="AC160" i="11"/>
  <c r="AA118" i="11"/>
  <c r="Z119" i="11"/>
  <c r="T161" i="11"/>
  <c r="U161" i="11" s="1"/>
  <c r="V161" i="11" s="1"/>
  <c r="X161" i="11" s="1"/>
  <c r="Y161" i="11" l="1"/>
  <c r="AC161" i="11"/>
  <c r="T162" i="11"/>
  <c r="U162" i="11" s="1"/>
  <c r="V162" i="11" s="1"/>
  <c r="X162" i="11" s="1"/>
  <c r="AA119" i="11"/>
  <c r="Z120" i="11"/>
  <c r="Y162" i="11" l="1"/>
  <c r="AC162" i="11"/>
  <c r="AA120" i="11"/>
  <c r="Z121" i="11"/>
  <c r="T163" i="11"/>
  <c r="U163" i="11" s="1"/>
  <c r="V163" i="11" s="1"/>
  <c r="X163" i="11" s="1"/>
  <c r="Y163" i="11" l="1"/>
  <c r="AC163" i="11"/>
  <c r="T164" i="11"/>
  <c r="U164" i="11" s="1"/>
  <c r="V164" i="11" s="1"/>
  <c r="X164" i="11" s="1"/>
  <c r="AA121" i="11"/>
  <c r="Z122" i="11"/>
  <c r="Y164" i="11" l="1"/>
  <c r="AC164" i="11"/>
  <c r="AA122" i="11"/>
  <c r="Z123" i="11"/>
  <c r="T165" i="11"/>
  <c r="U165" i="11" s="1"/>
  <c r="V165" i="11" s="1"/>
  <c r="X165" i="11" s="1"/>
  <c r="Y165" i="11" l="1"/>
  <c r="AC165" i="11"/>
  <c r="T166" i="11"/>
  <c r="U166" i="11" s="1"/>
  <c r="V166" i="11" s="1"/>
  <c r="X166" i="11" s="1"/>
  <c r="Z124" i="11"/>
  <c r="AA123" i="11"/>
  <c r="Y166" i="11" l="1"/>
  <c r="AC166" i="11"/>
  <c r="AA124" i="11"/>
  <c r="Z125" i="11"/>
  <c r="T167" i="11"/>
  <c r="U167" i="11" s="1"/>
  <c r="V167" i="11" s="1"/>
  <c r="X167" i="11" s="1"/>
  <c r="Y167" i="11" l="1"/>
  <c r="AC167" i="11"/>
  <c r="T168" i="11"/>
  <c r="U168" i="11" s="1"/>
  <c r="V168" i="11" s="1"/>
  <c r="X168" i="11" s="1"/>
  <c r="AA125" i="11"/>
  <c r="Z126" i="11"/>
  <c r="Y168" i="11" l="1"/>
  <c r="AC168" i="11"/>
  <c r="AA126" i="11"/>
  <c r="Z127" i="11"/>
  <c r="T169" i="11"/>
  <c r="U169" i="11" s="1"/>
  <c r="V169" i="11" s="1"/>
  <c r="X169" i="11" s="1"/>
  <c r="Y169" i="11" l="1"/>
  <c r="AC169" i="11"/>
  <c r="T170" i="11"/>
  <c r="U170" i="11" s="1"/>
  <c r="V170" i="11" s="1"/>
  <c r="X170" i="11" s="1"/>
  <c r="Z128" i="11"/>
  <c r="AA127" i="11"/>
  <c r="Y170" i="11" l="1"/>
  <c r="AC170" i="11"/>
  <c r="AA128" i="11"/>
  <c r="Z129" i="11"/>
  <c r="T171" i="11"/>
  <c r="U171" i="11" s="1"/>
  <c r="V171" i="11" s="1"/>
  <c r="X171" i="11" s="1"/>
  <c r="Y171" i="11" l="1"/>
  <c r="AC171" i="11"/>
  <c r="T172" i="11"/>
  <c r="U172" i="11" s="1"/>
  <c r="V172" i="11" s="1"/>
  <c r="X172" i="11" s="1"/>
  <c r="AA129" i="11"/>
  <c r="Z130" i="11"/>
  <c r="Y172" i="11" l="1"/>
  <c r="AC172" i="11"/>
  <c r="AA130" i="11"/>
  <c r="Z131" i="11"/>
  <c r="T173" i="11"/>
  <c r="U173" i="11" s="1"/>
  <c r="V173" i="11" s="1"/>
  <c r="X173" i="11" s="1"/>
  <c r="Y173" i="11" l="1"/>
  <c r="AC173" i="11"/>
  <c r="T174" i="11"/>
  <c r="U174" i="11" s="1"/>
  <c r="V174" i="11" s="1"/>
  <c r="X174" i="11" s="1"/>
  <c r="Z132" i="11"/>
  <c r="AA131" i="11"/>
  <c r="Y174" i="11" l="1"/>
  <c r="AC174" i="11"/>
  <c r="AA132" i="11"/>
  <c r="Z133" i="11"/>
  <c r="T175" i="11"/>
  <c r="U175" i="11" s="1"/>
  <c r="V175" i="11" s="1"/>
  <c r="X175" i="11" s="1"/>
  <c r="Y175" i="11" l="1"/>
  <c r="AC175" i="11"/>
  <c r="T176" i="11"/>
  <c r="U176" i="11" s="1"/>
  <c r="V176" i="11" s="1"/>
  <c r="X176" i="11" s="1"/>
  <c r="Z134" i="11"/>
  <c r="AA133" i="11"/>
  <c r="Y176" i="11" l="1"/>
  <c r="AC176" i="11"/>
  <c r="T177" i="11"/>
  <c r="U177" i="11" s="1"/>
  <c r="V177" i="11" s="1"/>
  <c r="X177" i="11" s="1"/>
  <c r="AA134" i="11"/>
  <c r="Z135" i="11"/>
  <c r="Y177" i="11" l="1"/>
  <c r="AC177" i="11"/>
  <c r="Z136" i="11"/>
  <c r="AA135" i="11"/>
  <c r="T178" i="11"/>
  <c r="U178" i="11" s="1"/>
  <c r="V178" i="11" s="1"/>
  <c r="X178" i="11" s="1"/>
  <c r="Y178" i="11" l="1"/>
  <c r="AC178" i="11"/>
  <c r="T179" i="11"/>
  <c r="U179" i="11" s="1"/>
  <c r="V179" i="11" s="1"/>
  <c r="X179" i="11" s="1"/>
  <c r="Z137" i="11"/>
  <c r="AA136" i="11"/>
  <c r="Y179" i="11" l="1"/>
  <c r="AC179" i="11"/>
  <c r="AA137" i="11"/>
  <c r="Z138" i="11"/>
  <c r="T180" i="11"/>
  <c r="U180" i="11" s="1"/>
  <c r="V180" i="11" s="1"/>
  <c r="X180" i="11" s="1"/>
  <c r="Y180" i="11" l="1"/>
  <c r="AC180" i="11"/>
  <c r="T181" i="11"/>
  <c r="U181" i="11" s="1"/>
  <c r="V181" i="11" s="1"/>
  <c r="X181" i="11" s="1"/>
  <c r="Z139" i="11"/>
  <c r="AA138" i="11"/>
  <c r="Y181" i="11" l="1"/>
  <c r="AC181" i="11"/>
  <c r="AA139" i="11"/>
  <c r="Z140" i="11"/>
  <c r="T182" i="11"/>
  <c r="U182" i="11" s="1"/>
  <c r="V182" i="11" s="1"/>
  <c r="X182" i="11" s="1"/>
  <c r="Y182" i="11" l="1"/>
  <c r="AC182" i="11"/>
  <c r="AA140" i="11"/>
  <c r="Z141" i="11"/>
  <c r="T183" i="11"/>
  <c r="U183" i="11" s="1"/>
  <c r="V183" i="11" s="1"/>
  <c r="X183" i="11" s="1"/>
  <c r="Y183" i="11" l="1"/>
  <c r="AC183" i="11"/>
  <c r="AA141" i="11"/>
  <c r="Z142" i="11"/>
  <c r="T184" i="11"/>
  <c r="U184" i="11" s="1"/>
  <c r="V184" i="11" s="1"/>
  <c r="X184" i="11" s="1"/>
  <c r="Y184" i="11" l="1"/>
  <c r="AC184" i="11"/>
  <c r="Z143" i="11"/>
  <c r="AA142" i="11"/>
  <c r="T185" i="11"/>
  <c r="U185" i="11" s="1"/>
  <c r="V185" i="11" s="1"/>
  <c r="X185" i="11" s="1"/>
  <c r="Y185" i="11" l="1"/>
  <c r="AC185" i="11"/>
  <c r="Z144" i="11"/>
  <c r="AA143" i="11"/>
  <c r="T186" i="11"/>
  <c r="U186" i="11" s="1"/>
  <c r="V186" i="11" s="1"/>
  <c r="X186" i="11" s="1"/>
  <c r="Y186" i="11" l="1"/>
  <c r="AC186" i="11"/>
  <c r="Z145" i="11"/>
  <c r="AA144" i="11"/>
  <c r="T187" i="11"/>
  <c r="U187" i="11" s="1"/>
  <c r="V187" i="11" s="1"/>
  <c r="X187" i="11" s="1"/>
  <c r="Y187" i="11" l="1"/>
  <c r="AC187" i="11"/>
  <c r="Z146" i="11"/>
  <c r="AA145" i="11"/>
  <c r="T188" i="11"/>
  <c r="U188" i="11" s="1"/>
  <c r="V188" i="11" s="1"/>
  <c r="X188" i="11" s="1"/>
  <c r="Y188" i="11" l="1"/>
  <c r="AC188" i="11"/>
  <c r="Z147" i="11"/>
  <c r="AA146" i="11"/>
  <c r="T189" i="11"/>
  <c r="U189" i="11" s="1"/>
  <c r="V189" i="11" s="1"/>
  <c r="X189" i="11" s="1"/>
  <c r="Y189" i="11" l="1"/>
  <c r="AC189" i="11"/>
  <c r="Z148" i="11"/>
  <c r="AA147" i="11"/>
  <c r="T190" i="11"/>
  <c r="U190" i="11" s="1"/>
  <c r="V190" i="11" s="1"/>
  <c r="X190" i="11" s="1"/>
  <c r="Y190" i="11" l="1"/>
  <c r="AC190" i="11"/>
  <c r="Z149" i="11"/>
  <c r="AA148" i="11"/>
  <c r="T191" i="11"/>
  <c r="U191" i="11" s="1"/>
  <c r="V191" i="11" s="1"/>
  <c r="X191" i="11" s="1"/>
  <c r="Y191" i="11" l="1"/>
  <c r="AC191" i="11"/>
  <c r="Z150" i="11"/>
  <c r="AA149" i="11"/>
  <c r="T192" i="11"/>
  <c r="U192" i="11" s="1"/>
  <c r="V192" i="11" s="1"/>
  <c r="X192" i="11" s="1"/>
  <c r="Y192" i="11" l="1"/>
  <c r="AC192" i="11"/>
  <c r="AA150" i="11"/>
  <c r="Z151" i="11"/>
  <c r="T193" i="11"/>
  <c r="U193" i="11" s="1"/>
  <c r="V193" i="11" s="1"/>
  <c r="X193" i="11" s="1"/>
  <c r="Y193" i="11" l="1"/>
  <c r="AC193" i="11"/>
  <c r="T194" i="11"/>
  <c r="U194" i="11" s="1"/>
  <c r="V194" i="11" s="1"/>
  <c r="X194" i="11" s="1"/>
  <c r="Z152" i="11"/>
  <c r="AA151" i="11"/>
  <c r="Y194" i="11" l="1"/>
  <c r="AC194" i="11"/>
  <c r="Z153" i="11"/>
  <c r="AA152" i="11"/>
  <c r="T195" i="11"/>
  <c r="U195" i="11" s="1"/>
  <c r="V195" i="11" s="1"/>
  <c r="X195" i="11" s="1"/>
  <c r="Y195" i="11" l="1"/>
  <c r="AC195" i="11"/>
  <c r="T196" i="11"/>
  <c r="U196" i="11" s="1"/>
  <c r="V196" i="11" s="1"/>
  <c r="X196" i="11" s="1"/>
  <c r="AA153" i="11"/>
  <c r="Z154" i="11"/>
  <c r="Y196" i="11" l="1"/>
  <c r="AC196" i="11"/>
  <c r="AA154" i="11"/>
  <c r="Z155" i="11"/>
  <c r="T197" i="11"/>
  <c r="U197" i="11" s="1"/>
  <c r="V197" i="11" s="1"/>
  <c r="X197" i="11" s="1"/>
  <c r="Y197" i="11" l="1"/>
  <c r="AC197" i="11"/>
  <c r="T198" i="11"/>
  <c r="U198" i="11" s="1"/>
  <c r="V198" i="11" s="1"/>
  <c r="X198" i="11" s="1"/>
  <c r="AA155" i="11"/>
  <c r="Z156" i="11"/>
  <c r="Y198" i="11" l="1"/>
  <c r="AC198" i="11"/>
  <c r="Z157" i="11"/>
  <c r="AA156" i="11"/>
  <c r="T199" i="11"/>
  <c r="U199" i="11" s="1"/>
  <c r="V199" i="11" s="1"/>
  <c r="X199" i="11" s="1"/>
  <c r="Y199" i="11" l="1"/>
  <c r="AC199" i="11"/>
  <c r="T200" i="11"/>
  <c r="U200" i="11" s="1"/>
  <c r="V200" i="11" s="1"/>
  <c r="X200" i="11" s="1"/>
  <c r="AA157" i="11"/>
  <c r="Z158" i="11"/>
  <c r="Y200" i="11" l="1"/>
  <c r="AC200" i="11"/>
  <c r="AA158" i="11"/>
  <c r="Z159" i="11"/>
  <c r="T201" i="11"/>
  <c r="U201" i="11" s="1"/>
  <c r="V201" i="11" s="1"/>
  <c r="X201" i="11" s="1"/>
  <c r="Y201" i="11" l="1"/>
  <c r="AC201" i="11"/>
  <c r="T202" i="11"/>
  <c r="U202" i="11" s="1"/>
  <c r="V202" i="11" s="1"/>
  <c r="X202" i="11" s="1"/>
  <c r="Z160" i="11"/>
  <c r="AA159" i="11"/>
  <c r="Y202" i="11" l="1"/>
  <c r="AC202" i="11"/>
  <c r="Z161" i="11"/>
  <c r="AA160" i="11"/>
  <c r="T203" i="11"/>
  <c r="U203" i="11" s="1"/>
  <c r="V203" i="11" s="1"/>
  <c r="X203" i="11" s="1"/>
  <c r="Y203" i="11" l="1"/>
  <c r="AC203" i="11"/>
  <c r="T204" i="11"/>
  <c r="U204" i="11" s="1"/>
  <c r="V204" i="11" s="1"/>
  <c r="X204" i="11" s="1"/>
  <c r="AA161" i="11"/>
  <c r="Z162" i="11"/>
  <c r="Y204" i="11" l="1"/>
  <c r="AC204" i="11"/>
  <c r="AA162" i="11"/>
  <c r="Z163" i="11"/>
  <c r="T205" i="11"/>
  <c r="U205" i="11" s="1"/>
  <c r="V205" i="11" s="1"/>
  <c r="X205" i="11" s="1"/>
  <c r="Y205" i="11" l="1"/>
  <c r="AC205" i="11"/>
  <c r="T206" i="11"/>
  <c r="U206" i="11" s="1"/>
  <c r="V206" i="11" s="1"/>
  <c r="X206" i="11" s="1"/>
  <c r="Z164" i="11"/>
  <c r="AA163" i="11"/>
  <c r="Y206" i="11" l="1"/>
  <c r="AC206" i="11"/>
  <c r="Z165" i="11"/>
  <c r="AA164" i="11"/>
  <c r="T207" i="11"/>
  <c r="U207" i="11" s="1"/>
  <c r="V207" i="11" s="1"/>
  <c r="X207" i="11" s="1"/>
  <c r="Y207" i="11" l="1"/>
  <c r="AC207" i="11"/>
  <c r="T208" i="11"/>
  <c r="U208" i="11" s="1"/>
  <c r="V208" i="11" s="1"/>
  <c r="X208" i="11" s="1"/>
  <c r="Z166" i="11"/>
  <c r="AA165" i="11"/>
  <c r="Y208" i="11" l="1"/>
  <c r="AC208" i="11"/>
  <c r="Z167" i="11"/>
  <c r="AA166" i="11"/>
  <c r="T209" i="11"/>
  <c r="U209" i="11" s="1"/>
  <c r="V209" i="11" s="1"/>
  <c r="X209" i="11" s="1"/>
  <c r="Y209" i="11" l="1"/>
  <c r="AC209" i="11"/>
  <c r="T210" i="11"/>
  <c r="U210" i="11" s="1"/>
  <c r="V210" i="11" s="1"/>
  <c r="X210" i="11" s="1"/>
  <c r="Z168" i="11"/>
  <c r="AA167" i="11"/>
  <c r="Y210" i="11" l="1"/>
  <c r="AC210" i="11"/>
  <c r="Z169" i="11"/>
  <c r="AA168" i="11"/>
  <c r="T211" i="11"/>
  <c r="U211" i="11" s="1"/>
  <c r="V211" i="11" s="1"/>
  <c r="X211" i="11" s="1"/>
  <c r="Y211" i="11" l="1"/>
  <c r="AC211" i="11"/>
  <c r="T212" i="11"/>
  <c r="U212" i="11" s="1"/>
  <c r="V212" i="11" s="1"/>
  <c r="X212" i="11" s="1"/>
  <c r="Z170" i="11"/>
  <c r="AA169" i="11"/>
  <c r="Y212" i="11" l="1"/>
  <c r="AC212" i="11"/>
  <c r="Z171" i="11"/>
  <c r="AA170" i="11"/>
  <c r="T213" i="11"/>
  <c r="U213" i="11" s="1"/>
  <c r="V213" i="11" s="1"/>
  <c r="X213" i="11" s="1"/>
  <c r="Y213" i="11" l="1"/>
  <c r="AC213" i="11"/>
  <c r="AA171" i="11"/>
  <c r="Z172" i="11"/>
  <c r="T214" i="11"/>
  <c r="U214" i="11" s="1"/>
  <c r="V214" i="11" s="1"/>
  <c r="X214" i="11" s="1"/>
  <c r="Y214" i="11" l="1"/>
  <c r="AC214" i="11"/>
  <c r="T215" i="11"/>
  <c r="U215" i="11" s="1"/>
  <c r="V215" i="11" s="1"/>
  <c r="X215" i="11" s="1"/>
  <c r="Z173" i="11"/>
  <c r="AA172" i="11"/>
  <c r="Y215" i="11" l="1"/>
  <c r="AC215" i="11"/>
  <c r="AA173" i="11"/>
  <c r="Z174" i="11"/>
  <c r="T216" i="11"/>
  <c r="U216" i="11" s="1"/>
  <c r="V216" i="11" s="1"/>
  <c r="X216" i="11" s="1"/>
  <c r="Y216" i="11" l="1"/>
  <c r="AC216" i="11"/>
  <c r="T217" i="11"/>
  <c r="U217" i="11" s="1"/>
  <c r="V217" i="11" s="1"/>
  <c r="X217" i="11" s="1"/>
  <c r="AA174" i="11"/>
  <c r="Z175" i="11"/>
  <c r="Y217" i="11" l="1"/>
  <c r="AC217" i="11"/>
  <c r="T218" i="11"/>
  <c r="U218" i="11" s="1"/>
  <c r="V218" i="11" s="1"/>
  <c r="X218" i="11" s="1"/>
  <c r="Z176" i="11"/>
  <c r="AA175" i="11"/>
  <c r="Y218" i="11" l="1"/>
  <c r="AC218" i="11"/>
  <c r="Z177" i="11"/>
  <c r="AA176" i="11"/>
  <c r="T219" i="11"/>
  <c r="U219" i="11" s="1"/>
  <c r="V219" i="11" s="1"/>
  <c r="X219" i="11" s="1"/>
  <c r="Y219" i="11" l="1"/>
  <c r="AC219" i="11"/>
  <c r="T220" i="11"/>
  <c r="U220" i="11" s="1"/>
  <c r="V220" i="11" s="1"/>
  <c r="X220" i="11" s="1"/>
  <c r="AA177" i="11"/>
  <c r="Z178" i="11"/>
  <c r="Y220" i="11" l="1"/>
  <c r="AC220" i="11"/>
  <c r="T221" i="11"/>
  <c r="U221" i="11" s="1"/>
  <c r="V221" i="11" s="1"/>
  <c r="X221" i="11" s="1"/>
  <c r="AA178" i="11"/>
  <c r="Z179" i="11"/>
  <c r="Y221" i="11" l="1"/>
  <c r="AC221" i="11"/>
  <c r="T222" i="11"/>
  <c r="U222" i="11" s="1"/>
  <c r="V222" i="11" s="1"/>
  <c r="X222" i="11" s="1"/>
  <c r="Z180" i="11"/>
  <c r="AA179" i="11"/>
  <c r="Y222" i="11" l="1"/>
  <c r="AC222" i="11"/>
  <c r="Z181" i="11"/>
  <c r="AA180" i="11"/>
  <c r="T223" i="11"/>
  <c r="U223" i="11" s="1"/>
  <c r="V223" i="11" s="1"/>
  <c r="X223" i="11" s="1"/>
  <c r="Y223" i="11" l="1"/>
  <c r="AC223" i="11"/>
  <c r="T224" i="11"/>
  <c r="U224" i="11" s="1"/>
  <c r="V224" i="11" s="1"/>
  <c r="X224" i="11" s="1"/>
  <c r="AA181" i="11"/>
  <c r="Z182" i="11"/>
  <c r="Y224" i="11" l="1"/>
  <c r="AC224" i="11"/>
  <c r="AA182" i="11"/>
  <c r="Z183" i="11"/>
  <c r="T225" i="11"/>
  <c r="U225" i="11" s="1"/>
  <c r="V225" i="11" s="1"/>
  <c r="X225" i="11" s="1"/>
  <c r="Y225" i="11" l="1"/>
  <c r="AC225" i="11"/>
  <c r="T226" i="11"/>
  <c r="U226" i="11" s="1"/>
  <c r="V226" i="11" s="1"/>
  <c r="X226" i="11" s="1"/>
  <c r="AA183" i="11"/>
  <c r="Z184" i="11"/>
  <c r="Y226" i="11" l="1"/>
  <c r="AC226" i="11"/>
  <c r="Z185" i="11"/>
  <c r="AA184" i="11"/>
  <c r="T227" i="11"/>
  <c r="U227" i="11" s="1"/>
  <c r="V227" i="11" s="1"/>
  <c r="X227" i="11" s="1"/>
  <c r="Y227" i="11" l="1"/>
  <c r="AC227" i="11"/>
  <c r="T228" i="11"/>
  <c r="U228" i="11" s="1"/>
  <c r="V228" i="11" s="1"/>
  <c r="X228" i="11" s="1"/>
  <c r="Z186" i="11"/>
  <c r="AA185" i="11"/>
  <c r="Y228" i="11" l="1"/>
  <c r="AC228" i="11"/>
  <c r="T229" i="11"/>
  <c r="U229" i="11" s="1"/>
  <c r="V229" i="11" s="1"/>
  <c r="X229" i="11" s="1"/>
  <c r="AA186" i="11"/>
  <c r="Z187" i="11"/>
  <c r="Y229" i="11" l="1"/>
  <c r="AC229" i="11"/>
  <c r="Z188" i="11"/>
  <c r="AA187" i="11"/>
  <c r="T230" i="11"/>
  <c r="U230" i="11" s="1"/>
  <c r="V230" i="11" s="1"/>
  <c r="X230" i="11" s="1"/>
  <c r="Y230" i="11" l="1"/>
  <c r="AC230" i="11"/>
  <c r="Z189" i="11"/>
  <c r="AA188" i="11"/>
  <c r="T231" i="11"/>
  <c r="U231" i="11" s="1"/>
  <c r="V231" i="11" s="1"/>
  <c r="X231" i="11" s="1"/>
  <c r="Y231" i="11" l="1"/>
  <c r="AC231" i="11"/>
  <c r="AA189" i="11"/>
  <c r="Z190" i="11"/>
  <c r="T232" i="11"/>
  <c r="U232" i="11" s="1"/>
  <c r="V232" i="11" s="1"/>
  <c r="X232" i="11" s="1"/>
  <c r="Y232" i="11" l="1"/>
  <c r="AC232" i="11"/>
  <c r="T233" i="11"/>
  <c r="U233" i="11" s="1"/>
  <c r="V233" i="11" s="1"/>
  <c r="X233" i="11" s="1"/>
  <c r="AA190" i="11"/>
  <c r="Z191" i="11"/>
  <c r="Y233" i="11" l="1"/>
  <c r="AC233" i="11"/>
  <c r="T234" i="11"/>
  <c r="U234" i="11" s="1"/>
  <c r="V234" i="11" s="1"/>
  <c r="X234" i="11" s="1"/>
  <c r="AA191" i="11"/>
  <c r="Z192" i="11"/>
  <c r="Y234" i="11" l="1"/>
  <c r="AC234" i="11"/>
  <c r="T235" i="11"/>
  <c r="U235" i="11" s="1"/>
  <c r="V235" i="11" s="1"/>
  <c r="X235" i="11" s="1"/>
  <c r="Z193" i="11"/>
  <c r="AA192" i="11"/>
  <c r="Y235" i="11" l="1"/>
  <c r="AC235" i="11"/>
  <c r="T236" i="11"/>
  <c r="U236" i="11" s="1"/>
  <c r="V236" i="11" s="1"/>
  <c r="X236" i="11" s="1"/>
  <c r="Z194" i="11"/>
  <c r="AA193" i="11"/>
  <c r="Y236" i="11" l="1"/>
  <c r="AC236" i="11"/>
  <c r="T237" i="11"/>
  <c r="U237" i="11" s="1"/>
  <c r="V237" i="11" s="1"/>
  <c r="X237" i="11" s="1"/>
  <c r="Z195" i="11"/>
  <c r="AA194" i="11"/>
  <c r="Y237" i="11" l="1"/>
  <c r="AC237" i="11"/>
  <c r="T238" i="11"/>
  <c r="U238" i="11" s="1"/>
  <c r="V238" i="11" s="1"/>
  <c r="X238" i="11" s="1"/>
  <c r="Z196" i="11"/>
  <c r="AA195" i="11"/>
  <c r="Y238" i="11" l="1"/>
  <c r="AC238" i="11"/>
  <c r="T239" i="11"/>
  <c r="U239" i="11" s="1"/>
  <c r="V239" i="11" s="1"/>
  <c r="X239" i="11" s="1"/>
  <c r="AA196" i="11"/>
  <c r="Z197" i="11"/>
  <c r="Y239" i="11" l="1"/>
  <c r="AC239" i="11"/>
  <c r="T240" i="11"/>
  <c r="U240" i="11" s="1"/>
  <c r="V240" i="11" s="1"/>
  <c r="X240" i="11" s="1"/>
  <c r="AA197" i="11"/>
  <c r="Z198" i="11"/>
  <c r="Y240" i="11" l="1"/>
  <c r="AC240" i="11"/>
  <c r="T241" i="11"/>
  <c r="U241" i="11" s="1"/>
  <c r="V241" i="11" s="1"/>
  <c r="X241" i="11" s="1"/>
  <c r="Z199" i="11"/>
  <c r="AA198" i="11"/>
  <c r="Y241" i="11" l="1"/>
  <c r="AC241" i="11"/>
  <c r="Z200" i="11"/>
  <c r="AA199" i="11"/>
  <c r="T242" i="11"/>
  <c r="U242" i="11" s="1"/>
  <c r="V242" i="11" s="1"/>
  <c r="X242" i="11" s="1"/>
  <c r="Y242" i="11" l="1"/>
  <c r="AC242" i="11"/>
  <c r="Z201" i="11"/>
  <c r="AA200" i="11"/>
  <c r="T243" i="11"/>
  <c r="U243" i="11" s="1"/>
  <c r="V243" i="11" s="1"/>
  <c r="X243" i="11" s="1"/>
  <c r="Y243" i="11" l="1"/>
  <c r="AC243" i="11"/>
  <c r="Z202" i="11"/>
  <c r="AA201" i="11"/>
  <c r="T244" i="11"/>
  <c r="U244" i="11" s="1"/>
  <c r="V244" i="11" s="1"/>
  <c r="X244" i="11" s="1"/>
  <c r="Y244" i="11" l="1"/>
  <c r="AC244" i="11"/>
  <c r="Z203" i="11"/>
  <c r="AA202" i="11"/>
  <c r="T245" i="11"/>
  <c r="U245" i="11" s="1"/>
  <c r="V245" i="11" s="1"/>
  <c r="X245" i="11" s="1"/>
  <c r="Y245" i="11" l="1"/>
  <c r="AC245" i="11"/>
  <c r="AA203" i="11"/>
  <c r="Z204" i="11"/>
  <c r="T246" i="11"/>
  <c r="U246" i="11" s="1"/>
  <c r="V246" i="11" s="1"/>
  <c r="X246" i="11" s="1"/>
  <c r="Y246" i="11" l="1"/>
  <c r="AC246" i="11"/>
  <c r="Z205" i="11"/>
  <c r="AA204" i="11"/>
  <c r="T247" i="11"/>
  <c r="U247" i="11" s="1"/>
  <c r="V247" i="11" s="1"/>
  <c r="X247" i="11" s="1"/>
  <c r="Y247" i="11" l="1"/>
  <c r="AC247" i="11"/>
  <c r="T248" i="11"/>
  <c r="U248" i="11" s="1"/>
  <c r="V248" i="11" s="1"/>
  <c r="X248" i="11" s="1"/>
  <c r="AA205" i="11"/>
  <c r="Z206" i="11"/>
  <c r="Y248" i="11" l="1"/>
  <c r="AC248" i="11"/>
  <c r="AA206" i="11"/>
  <c r="Z207" i="11"/>
  <c r="T249" i="11"/>
  <c r="U249" i="11" s="1"/>
  <c r="V249" i="11" s="1"/>
  <c r="X249" i="11" s="1"/>
  <c r="Y249" i="11" l="1"/>
  <c r="AC249" i="11"/>
  <c r="T250" i="11"/>
  <c r="U250" i="11" s="1"/>
  <c r="V250" i="11" s="1"/>
  <c r="X250" i="11" s="1"/>
  <c r="Z208" i="11"/>
  <c r="AA207" i="11"/>
  <c r="Y250" i="11" l="1"/>
  <c r="AC250" i="11"/>
  <c r="AA208" i="11"/>
  <c r="Z209" i="11"/>
  <c r="T251" i="11"/>
  <c r="U251" i="11" s="1"/>
  <c r="V251" i="11" s="1"/>
  <c r="X251" i="11" s="1"/>
  <c r="Y251" i="11" l="1"/>
  <c r="AC251" i="11"/>
  <c r="T252" i="11"/>
  <c r="U252" i="11" s="1"/>
  <c r="V252" i="11" s="1"/>
  <c r="X252" i="11" s="1"/>
  <c r="AA209" i="11"/>
  <c r="Z210" i="11"/>
  <c r="Y252" i="11" l="1"/>
  <c r="AC252" i="11"/>
  <c r="T253" i="11"/>
  <c r="U253" i="11" s="1"/>
  <c r="V253" i="11" s="1"/>
  <c r="X253" i="11" s="1"/>
  <c r="AA210" i="11"/>
  <c r="Z211" i="11"/>
  <c r="Y253" i="11" l="1"/>
  <c r="AC253" i="11"/>
  <c r="Z212" i="11"/>
  <c r="AA211" i="11"/>
  <c r="T254" i="11"/>
  <c r="U254" i="11" s="1"/>
  <c r="V254" i="11" s="1"/>
  <c r="X254" i="11" s="1"/>
  <c r="Y254" i="11" l="1"/>
  <c r="AC254" i="11"/>
  <c r="T255" i="11"/>
  <c r="U255" i="11" s="1"/>
  <c r="V255" i="11" s="1"/>
  <c r="X255" i="11" s="1"/>
  <c r="Z213" i="11"/>
  <c r="AA212" i="11"/>
  <c r="Y255" i="11" l="1"/>
  <c r="AC255" i="11"/>
  <c r="Z214" i="11"/>
  <c r="AA213" i="11"/>
  <c r="T256" i="11"/>
  <c r="U256" i="11" s="1"/>
  <c r="V256" i="11" s="1"/>
  <c r="X256" i="11" s="1"/>
  <c r="Y256" i="11" l="1"/>
  <c r="AC256" i="11"/>
  <c r="AA214" i="11"/>
  <c r="Z215" i="11"/>
  <c r="T257" i="11"/>
  <c r="U257" i="11" s="1"/>
  <c r="V257" i="11" s="1"/>
  <c r="X257" i="11" s="1"/>
  <c r="Y257" i="11" l="1"/>
  <c r="AC257" i="11"/>
  <c r="T258" i="11"/>
  <c r="U258" i="11" s="1"/>
  <c r="V258" i="11" s="1"/>
  <c r="X258" i="11" s="1"/>
  <c r="AA215" i="11"/>
  <c r="Z216" i="11"/>
  <c r="Y258" i="11" l="1"/>
  <c r="AC258" i="11"/>
  <c r="T259" i="11"/>
  <c r="U259" i="11" s="1"/>
  <c r="V259" i="11" s="1"/>
  <c r="X259" i="11" s="1"/>
  <c r="Z217" i="11"/>
  <c r="AA216" i="11"/>
  <c r="Y259" i="11" l="1"/>
  <c r="AC259" i="11"/>
  <c r="T260" i="11"/>
  <c r="U260" i="11" s="1"/>
  <c r="V260" i="11" s="1"/>
  <c r="X260" i="11" s="1"/>
  <c r="Z218" i="11"/>
  <c r="AA217" i="11"/>
  <c r="Y260" i="11" l="1"/>
  <c r="AC260" i="11"/>
  <c r="Z219" i="11"/>
  <c r="AA218" i="11"/>
  <c r="T261" i="11"/>
  <c r="U261" i="11" s="1"/>
  <c r="V261" i="11" s="1"/>
  <c r="X261" i="11" s="1"/>
  <c r="Y261" i="11" l="1"/>
  <c r="AC261" i="11"/>
  <c r="AA219" i="11"/>
  <c r="Z220" i="11"/>
  <c r="T262" i="11"/>
  <c r="U262" i="11" s="1"/>
  <c r="V262" i="11" s="1"/>
  <c r="X262" i="11" s="1"/>
  <c r="Y262" i="11" l="1"/>
  <c r="AC262" i="11"/>
  <c r="T263" i="11"/>
  <c r="U263" i="11" s="1"/>
  <c r="V263" i="11" s="1"/>
  <c r="X263" i="11" s="1"/>
  <c r="Z221" i="11"/>
  <c r="AA220" i="11"/>
  <c r="Y263" i="11" l="1"/>
  <c r="AC263" i="11"/>
  <c r="T264" i="11"/>
  <c r="U264" i="11" s="1"/>
  <c r="V264" i="11" s="1"/>
  <c r="X264" i="11" s="1"/>
  <c r="Z222" i="11"/>
  <c r="AA221" i="11"/>
  <c r="Y264" i="11" l="1"/>
  <c r="AC264" i="11"/>
  <c r="T265" i="11"/>
  <c r="U265" i="11" s="1"/>
  <c r="V265" i="11" s="1"/>
  <c r="X265" i="11" s="1"/>
  <c r="Z223" i="11"/>
  <c r="AA222" i="11"/>
  <c r="Y265" i="11" l="1"/>
  <c r="AC265" i="11"/>
  <c r="T266" i="11"/>
  <c r="U266" i="11" s="1"/>
  <c r="V266" i="11" s="1"/>
  <c r="X266" i="11" s="1"/>
  <c r="Z224" i="11"/>
  <c r="AA223" i="11"/>
  <c r="Y266" i="11" l="1"/>
  <c r="AC266" i="11"/>
  <c r="Z225" i="11"/>
  <c r="AA224" i="11"/>
  <c r="T267" i="11"/>
  <c r="U267" i="11" s="1"/>
  <c r="V267" i="11" s="1"/>
  <c r="X267" i="11" s="1"/>
  <c r="Y267" i="11" l="1"/>
  <c r="AC267" i="11"/>
  <c r="Z226" i="11"/>
  <c r="AA225" i="11"/>
  <c r="T268" i="11"/>
  <c r="U268" i="11" s="1"/>
  <c r="V268" i="11" s="1"/>
  <c r="X268" i="11" s="1"/>
  <c r="Y268" i="11" l="1"/>
  <c r="AC268" i="11"/>
  <c r="Z227" i="11"/>
  <c r="AA226" i="11"/>
  <c r="T269" i="11"/>
  <c r="U269" i="11" s="1"/>
  <c r="V269" i="11" s="1"/>
  <c r="X269" i="11" s="1"/>
  <c r="Y269" i="11" l="1"/>
  <c r="AC269" i="11"/>
  <c r="Z228" i="11"/>
  <c r="AA227" i="11"/>
  <c r="T270" i="11"/>
  <c r="U270" i="11" s="1"/>
  <c r="V270" i="11" s="1"/>
  <c r="X270" i="11" s="1"/>
  <c r="Y270" i="11" l="1"/>
  <c r="AC270" i="11"/>
  <c r="T271" i="11"/>
  <c r="U271" i="11" s="1"/>
  <c r="V271" i="11" s="1"/>
  <c r="X271" i="11" s="1"/>
  <c r="AA228" i="11"/>
  <c r="Z229" i="11"/>
  <c r="Y271" i="11" l="1"/>
  <c r="AC271" i="11"/>
  <c r="T272" i="11"/>
  <c r="U272" i="11" s="1"/>
  <c r="V272" i="11" s="1"/>
  <c r="X272" i="11" s="1"/>
  <c r="AA229" i="11"/>
  <c r="Z230" i="11"/>
  <c r="Y272" i="11" l="1"/>
  <c r="AC272" i="11"/>
  <c r="T273" i="11"/>
  <c r="U273" i="11" s="1"/>
  <c r="V273" i="11" s="1"/>
  <c r="X273" i="11" s="1"/>
  <c r="AA230" i="11"/>
  <c r="Z231" i="11"/>
  <c r="Y273" i="11" l="1"/>
  <c r="AC273" i="11"/>
  <c r="T274" i="11"/>
  <c r="U274" i="11" s="1"/>
  <c r="V274" i="11" s="1"/>
  <c r="X274" i="11" s="1"/>
  <c r="Z232" i="11"/>
  <c r="AA231" i="11"/>
  <c r="Y274" i="11" l="1"/>
  <c r="AC274" i="11"/>
  <c r="T275" i="11"/>
  <c r="U275" i="11" s="1"/>
  <c r="V275" i="11" s="1"/>
  <c r="X275" i="11" s="1"/>
  <c r="Z233" i="11"/>
  <c r="AA232" i="11"/>
  <c r="Y275" i="11" l="1"/>
  <c r="AC275" i="11"/>
  <c r="Z234" i="11"/>
  <c r="AA233" i="11"/>
  <c r="T276" i="11"/>
  <c r="U276" i="11" s="1"/>
  <c r="V276" i="11" s="1"/>
  <c r="X276" i="11" s="1"/>
  <c r="Y276" i="11" l="1"/>
  <c r="AC276" i="11"/>
  <c r="Z235" i="11"/>
  <c r="AA234" i="11"/>
  <c r="T277" i="11"/>
  <c r="U277" i="11" s="1"/>
  <c r="V277" i="11" s="1"/>
  <c r="X277" i="11" s="1"/>
  <c r="Y277" i="11" l="1"/>
  <c r="AC277" i="11"/>
  <c r="AA235" i="11"/>
  <c r="Z236" i="11"/>
  <c r="T278" i="11"/>
  <c r="U278" i="11" s="1"/>
  <c r="V278" i="11" s="1"/>
  <c r="X278" i="11" s="1"/>
  <c r="Y278" i="11" l="1"/>
  <c r="AC278" i="11"/>
  <c r="AA236" i="11"/>
  <c r="Z237" i="11"/>
  <c r="T279" i="11"/>
  <c r="U279" i="11" s="1"/>
  <c r="V279" i="11" s="1"/>
  <c r="X279" i="11" s="1"/>
  <c r="Y279" i="11" l="1"/>
  <c r="AC279" i="11"/>
  <c r="Z238" i="11"/>
  <c r="AA237" i="11"/>
  <c r="T280" i="11"/>
  <c r="U280" i="11" s="1"/>
  <c r="V280" i="11" s="1"/>
  <c r="X280" i="11" s="1"/>
  <c r="Y280" i="11" l="1"/>
  <c r="AC280" i="11"/>
  <c r="AA238" i="11"/>
  <c r="Z239" i="11"/>
  <c r="T281" i="11"/>
  <c r="U281" i="11" s="1"/>
  <c r="V281" i="11" s="1"/>
  <c r="X281" i="11" s="1"/>
  <c r="Y281" i="11" l="1"/>
  <c r="AC281" i="11"/>
  <c r="Z240" i="11"/>
  <c r="AA239" i="11"/>
  <c r="T282" i="11"/>
  <c r="U282" i="11" s="1"/>
  <c r="V282" i="11" s="1"/>
  <c r="X282" i="11" s="1"/>
  <c r="Y282" i="11" l="1"/>
  <c r="AC282" i="11"/>
  <c r="Z241" i="11"/>
  <c r="AA240" i="11"/>
  <c r="T283" i="11"/>
  <c r="U283" i="11" s="1"/>
  <c r="V283" i="11" s="1"/>
  <c r="X283" i="11" s="1"/>
  <c r="Y283" i="11" l="1"/>
  <c r="AC283" i="11"/>
  <c r="AA241" i="11"/>
  <c r="Z242" i="11"/>
  <c r="T284" i="11"/>
  <c r="U284" i="11" s="1"/>
  <c r="V284" i="11" s="1"/>
  <c r="X284" i="11" s="1"/>
  <c r="Y284" i="11" l="1"/>
  <c r="AC284" i="11"/>
  <c r="AA242" i="11"/>
  <c r="Z243" i="11"/>
  <c r="T285" i="11"/>
  <c r="U285" i="11" s="1"/>
  <c r="V285" i="11" s="1"/>
  <c r="X285" i="11" s="1"/>
  <c r="Y285" i="11" l="1"/>
  <c r="AC285" i="11"/>
  <c r="AA243" i="11"/>
  <c r="Z244" i="11"/>
  <c r="T286" i="11"/>
  <c r="U286" i="11" s="1"/>
  <c r="V286" i="11" s="1"/>
  <c r="X286" i="11" s="1"/>
  <c r="Y286" i="11" l="1"/>
  <c r="AC286" i="11"/>
  <c r="AA244" i="11"/>
  <c r="Z245" i="11"/>
  <c r="T287" i="11"/>
  <c r="U287" i="11" s="1"/>
  <c r="V287" i="11" s="1"/>
  <c r="X287" i="11" s="1"/>
  <c r="Y287" i="11" l="1"/>
  <c r="AC287" i="11"/>
  <c r="Z246" i="11"/>
  <c r="AA245" i="11"/>
  <c r="T288" i="11"/>
  <c r="U288" i="11" s="1"/>
  <c r="V288" i="11" s="1"/>
  <c r="X288" i="11" s="1"/>
  <c r="Y288" i="11" l="1"/>
  <c r="AC288" i="11"/>
  <c r="Z247" i="11"/>
  <c r="AA246" i="11"/>
  <c r="T289" i="11"/>
  <c r="U289" i="11" s="1"/>
  <c r="V289" i="11" s="1"/>
  <c r="X289" i="11" s="1"/>
  <c r="Y289" i="11" l="1"/>
  <c r="AC289" i="11"/>
  <c r="Z248" i="11"/>
  <c r="AA247" i="11"/>
  <c r="T290" i="11"/>
  <c r="U290" i="11" s="1"/>
  <c r="V290" i="11" s="1"/>
  <c r="X290" i="11" s="1"/>
  <c r="Y290" i="11" l="1"/>
  <c r="AC290" i="11"/>
  <c r="AA248" i="11"/>
  <c r="Z249" i="11"/>
  <c r="T291" i="11"/>
  <c r="U291" i="11" s="1"/>
  <c r="V291" i="11" s="1"/>
  <c r="X291" i="11" s="1"/>
  <c r="Y291" i="11" l="1"/>
  <c r="AC291" i="11"/>
  <c r="Z250" i="11"/>
  <c r="AA249" i="11"/>
  <c r="T292" i="11"/>
  <c r="U292" i="11" s="1"/>
  <c r="V292" i="11" s="1"/>
  <c r="X292" i="11" s="1"/>
  <c r="Y292" i="11" l="1"/>
  <c r="AC292" i="11"/>
  <c r="AA250" i="11"/>
  <c r="Z251" i="11"/>
  <c r="T293" i="11"/>
  <c r="U293" i="11" s="1"/>
  <c r="V293" i="11" s="1"/>
  <c r="X293" i="11" s="1"/>
  <c r="Y293" i="11" l="1"/>
  <c r="AC293" i="11"/>
  <c r="T294" i="11"/>
  <c r="U294" i="11" s="1"/>
  <c r="V294" i="11" s="1"/>
  <c r="X294" i="11" s="1"/>
  <c r="Z252" i="11"/>
  <c r="AA251" i="11"/>
  <c r="Y294" i="11" l="1"/>
  <c r="AC294" i="11"/>
  <c r="T295" i="11"/>
  <c r="U295" i="11" s="1"/>
  <c r="V295" i="11" s="1"/>
  <c r="X295" i="11" s="1"/>
  <c r="AA252" i="11"/>
  <c r="Z253" i="11"/>
  <c r="Y295" i="11" l="1"/>
  <c r="AC295" i="11"/>
  <c r="T296" i="11"/>
  <c r="U296" i="11" s="1"/>
  <c r="V296" i="11" s="1"/>
  <c r="X296" i="11" s="1"/>
  <c r="Z254" i="11"/>
  <c r="AA253" i="11"/>
  <c r="Y296" i="11" l="1"/>
  <c r="AC296" i="11"/>
  <c r="T297" i="11"/>
  <c r="U297" i="11" s="1"/>
  <c r="V297" i="11" s="1"/>
  <c r="X297" i="11" s="1"/>
  <c r="AA254" i="11"/>
  <c r="Z255" i="11"/>
  <c r="Y297" i="11" l="1"/>
  <c r="AC297" i="11"/>
  <c r="T298" i="11"/>
  <c r="U298" i="11" s="1"/>
  <c r="V298" i="11" s="1"/>
  <c r="X298" i="11" s="1"/>
  <c r="AA255" i="11"/>
  <c r="Z256" i="11"/>
  <c r="Y298" i="11" l="1"/>
  <c r="AC298" i="11"/>
  <c r="T299" i="11"/>
  <c r="U299" i="11" s="1"/>
  <c r="V299" i="11" s="1"/>
  <c r="X299" i="11" s="1"/>
  <c r="Z257" i="11"/>
  <c r="AA256" i="11"/>
  <c r="Y299" i="11" l="1"/>
  <c r="AC299" i="11"/>
  <c r="T300" i="11"/>
  <c r="U300" i="11" s="1"/>
  <c r="V300" i="11" s="1"/>
  <c r="X300" i="11" s="1"/>
  <c r="AA257" i="11"/>
  <c r="Z258" i="11"/>
  <c r="Y300" i="11" l="1"/>
  <c r="AC300" i="11"/>
  <c r="T301" i="11"/>
  <c r="U301" i="11" s="1"/>
  <c r="V301" i="11" s="1"/>
  <c r="X301" i="11" s="1"/>
  <c r="AA258" i="11"/>
  <c r="Z259" i="11"/>
  <c r="Y301" i="11" l="1"/>
  <c r="AC301" i="11"/>
  <c r="AA259" i="11"/>
  <c r="Z260" i="11"/>
  <c r="T302" i="11"/>
  <c r="U302" i="11" s="1"/>
  <c r="V302" i="11" s="1"/>
  <c r="X302" i="11" s="1"/>
  <c r="Y302" i="11" l="1"/>
  <c r="AC302" i="11"/>
  <c r="T303" i="11"/>
  <c r="U303" i="11" s="1"/>
  <c r="V303" i="11" s="1"/>
  <c r="X303" i="11" s="1"/>
  <c r="Z261" i="11"/>
  <c r="AA260" i="11"/>
  <c r="Y303" i="11" l="1"/>
  <c r="AC303" i="11"/>
  <c r="Z262" i="11"/>
  <c r="AA261" i="11"/>
  <c r="T304" i="11"/>
  <c r="U304" i="11" s="1"/>
  <c r="V304" i="11" s="1"/>
  <c r="X304" i="11" s="1"/>
  <c r="Y304" i="11" l="1"/>
  <c r="AC304" i="11"/>
  <c r="T305" i="11"/>
  <c r="U305" i="11" s="1"/>
  <c r="V305" i="11" s="1"/>
  <c r="X305" i="11" s="1"/>
  <c r="AA262" i="11"/>
  <c r="Z263" i="11"/>
  <c r="Y305" i="11" l="1"/>
  <c r="AC305" i="11"/>
  <c r="Z264" i="11"/>
  <c r="AA263" i="11"/>
  <c r="T306" i="11"/>
  <c r="U306" i="11" s="1"/>
  <c r="V306" i="11" s="1"/>
  <c r="X306" i="11" s="1"/>
  <c r="Y306" i="11" l="1"/>
  <c r="AC306" i="11"/>
  <c r="T307" i="11"/>
  <c r="U307" i="11" s="1"/>
  <c r="V307" i="11" s="1"/>
  <c r="X307" i="11" s="1"/>
  <c r="AA264" i="11"/>
  <c r="Z265" i="11"/>
  <c r="Y307" i="11" l="1"/>
  <c r="AC307" i="11"/>
  <c r="Z266" i="11"/>
  <c r="AA265" i="11"/>
  <c r="T308" i="11"/>
  <c r="U308" i="11" s="1"/>
  <c r="V308" i="11" s="1"/>
  <c r="X308" i="11" s="1"/>
  <c r="Y308" i="11" l="1"/>
  <c r="AC308" i="11"/>
  <c r="T309" i="11"/>
  <c r="U309" i="11" s="1"/>
  <c r="V309" i="11" s="1"/>
  <c r="X309" i="11" s="1"/>
  <c r="AA266" i="11"/>
  <c r="Z267" i="11"/>
  <c r="Y309" i="11" l="1"/>
  <c r="AC309" i="11"/>
  <c r="Z268" i="11"/>
  <c r="AA267" i="11"/>
  <c r="T310" i="11"/>
  <c r="U310" i="11" s="1"/>
  <c r="V310" i="11" s="1"/>
  <c r="X310" i="11" s="1"/>
  <c r="Y310" i="11" l="1"/>
  <c r="AC310" i="11"/>
  <c r="T311" i="11"/>
  <c r="U311" i="11" s="1"/>
  <c r="V311" i="11" s="1"/>
  <c r="X311" i="11" s="1"/>
  <c r="AA268" i="11"/>
  <c r="Z269" i="11"/>
  <c r="Y311" i="11" l="1"/>
  <c r="AC311" i="11"/>
  <c r="Z270" i="11"/>
  <c r="AA269" i="11"/>
  <c r="T312" i="11"/>
  <c r="U312" i="11" s="1"/>
  <c r="V312" i="11" s="1"/>
  <c r="X312" i="11" s="1"/>
  <c r="Y312" i="11" l="1"/>
  <c r="AC312" i="11"/>
  <c r="T313" i="11"/>
  <c r="U313" i="11" s="1"/>
  <c r="V313" i="11" s="1"/>
  <c r="X313" i="11" s="1"/>
  <c r="Z271" i="11"/>
  <c r="AA270" i="11"/>
  <c r="Y313" i="11" l="1"/>
  <c r="AC313" i="11"/>
  <c r="Z272" i="11"/>
  <c r="AA271" i="11"/>
  <c r="T314" i="11"/>
  <c r="U314" i="11" s="1"/>
  <c r="V314" i="11" s="1"/>
  <c r="X314" i="11" s="1"/>
  <c r="Y314" i="11" l="1"/>
  <c r="AC314" i="11"/>
  <c r="T315" i="11"/>
  <c r="U315" i="11" s="1"/>
  <c r="V315" i="11" s="1"/>
  <c r="X315" i="11" s="1"/>
  <c r="AA272" i="11"/>
  <c r="Z273" i="11"/>
  <c r="Y315" i="11" l="1"/>
  <c r="AC315" i="11"/>
  <c r="Z274" i="11"/>
  <c r="AA273" i="11"/>
  <c r="T316" i="11"/>
  <c r="U316" i="11" s="1"/>
  <c r="V316" i="11" s="1"/>
  <c r="X316" i="11" s="1"/>
  <c r="Y316" i="11" l="1"/>
  <c r="AC316" i="11"/>
  <c r="T317" i="11"/>
  <c r="U317" i="11" s="1"/>
  <c r="V317" i="11" s="1"/>
  <c r="X317" i="11" s="1"/>
  <c r="AA274" i="11"/>
  <c r="Z275" i="11"/>
  <c r="Y317" i="11" l="1"/>
  <c r="AC317" i="11"/>
  <c r="Z276" i="11"/>
  <c r="AA275" i="11"/>
  <c r="T318" i="11"/>
  <c r="U318" i="11" s="1"/>
  <c r="V318" i="11" s="1"/>
  <c r="X318" i="11" s="1"/>
  <c r="Y318" i="11" l="1"/>
  <c r="AC318" i="11"/>
  <c r="T319" i="11"/>
  <c r="U319" i="11" s="1"/>
  <c r="V319" i="11" s="1"/>
  <c r="X319" i="11" s="1"/>
  <c r="AA276" i="11"/>
  <c r="Z277" i="11"/>
  <c r="Y319" i="11" l="1"/>
  <c r="AC319" i="11"/>
  <c r="AA277" i="11"/>
  <c r="Z278" i="11"/>
  <c r="T320" i="11"/>
  <c r="U320" i="11" s="1"/>
  <c r="V320" i="11" s="1"/>
  <c r="X320" i="11" s="1"/>
  <c r="Y320" i="11" l="1"/>
  <c r="AC320" i="11"/>
  <c r="T321" i="11"/>
  <c r="U321" i="11" s="1"/>
  <c r="V321" i="11" s="1"/>
  <c r="X321" i="11" s="1"/>
  <c r="AA278" i="11"/>
  <c r="Z279" i="11"/>
  <c r="Y321" i="11" l="1"/>
  <c r="AC321" i="11"/>
  <c r="Z280" i="11"/>
  <c r="AA279" i="11"/>
  <c r="T322" i="11"/>
  <c r="U322" i="11" s="1"/>
  <c r="V322" i="11" s="1"/>
  <c r="X322" i="11" s="1"/>
  <c r="Y322" i="11" l="1"/>
  <c r="AC322" i="11"/>
  <c r="T323" i="11"/>
  <c r="U323" i="11" s="1"/>
  <c r="V323" i="11" s="1"/>
  <c r="X323" i="11" s="1"/>
  <c r="Z281" i="11"/>
  <c r="AA280" i="11"/>
  <c r="Y323" i="11" l="1"/>
  <c r="AC323" i="11"/>
  <c r="AA281" i="11"/>
  <c r="Z282" i="11"/>
  <c r="T324" i="11"/>
  <c r="U324" i="11" s="1"/>
  <c r="V324" i="11" s="1"/>
  <c r="X324" i="11" s="1"/>
  <c r="Y324" i="11" l="1"/>
  <c r="AC324" i="11"/>
  <c r="T325" i="11"/>
  <c r="U325" i="11" s="1"/>
  <c r="V325" i="11" s="1"/>
  <c r="X325" i="11" s="1"/>
  <c r="AA282" i="11"/>
  <c r="Z283" i="11"/>
  <c r="Y325" i="11" l="1"/>
  <c r="AC325" i="11"/>
  <c r="Z284" i="11"/>
  <c r="AA283" i="11"/>
  <c r="T326" i="11"/>
  <c r="U326" i="11" s="1"/>
  <c r="V326" i="11" s="1"/>
  <c r="X326" i="11" s="1"/>
  <c r="Y326" i="11" l="1"/>
  <c r="AC326" i="11"/>
  <c r="T327" i="11"/>
  <c r="U327" i="11" s="1"/>
  <c r="V327" i="11" s="1"/>
  <c r="X327" i="11" s="1"/>
  <c r="Z285" i="11"/>
  <c r="AA284" i="11"/>
  <c r="Y327" i="11" l="1"/>
  <c r="AC327" i="11"/>
  <c r="Z286" i="11"/>
  <c r="AA285" i="11"/>
  <c r="T328" i="11"/>
  <c r="U328" i="11" s="1"/>
  <c r="V328" i="11" s="1"/>
  <c r="X328" i="11" s="1"/>
  <c r="Y328" i="11" l="1"/>
  <c r="AC328" i="11"/>
  <c r="T329" i="11"/>
  <c r="U329" i="11" s="1"/>
  <c r="V329" i="11" s="1"/>
  <c r="X329" i="11" s="1"/>
  <c r="Z287" i="11"/>
  <c r="AA286" i="11"/>
  <c r="Y329" i="11" l="1"/>
  <c r="AC329" i="11"/>
  <c r="Z288" i="11"/>
  <c r="AA287" i="11"/>
  <c r="T330" i="11"/>
  <c r="U330" i="11" s="1"/>
  <c r="V330" i="11" s="1"/>
  <c r="X330" i="11" s="1"/>
  <c r="Y330" i="11" l="1"/>
  <c r="AC330" i="11"/>
  <c r="T331" i="11"/>
  <c r="U331" i="11" s="1"/>
  <c r="V331" i="11" s="1"/>
  <c r="X331" i="11" s="1"/>
  <c r="AA288" i="11"/>
  <c r="Z289" i="11"/>
  <c r="Y331" i="11" l="1"/>
  <c r="AC331" i="11"/>
  <c r="Z290" i="11"/>
  <c r="AA289" i="11"/>
  <c r="T332" i="11"/>
  <c r="U332" i="11" s="1"/>
  <c r="V332" i="11" s="1"/>
  <c r="X332" i="11" s="1"/>
  <c r="Y332" i="11" l="1"/>
  <c r="AC332" i="11"/>
  <c r="T333" i="11"/>
  <c r="U333" i="11" s="1"/>
  <c r="V333" i="11" s="1"/>
  <c r="X333" i="11" s="1"/>
  <c r="Z291" i="11"/>
  <c r="AA290" i="11"/>
  <c r="Y333" i="11" l="1"/>
  <c r="AC333" i="11"/>
  <c r="AA291" i="11"/>
  <c r="Z292" i="11"/>
  <c r="T334" i="11"/>
  <c r="U334" i="11" s="1"/>
  <c r="V334" i="11" s="1"/>
  <c r="X334" i="11" s="1"/>
  <c r="Y334" i="11" l="1"/>
  <c r="AC334" i="11"/>
  <c r="T335" i="11"/>
  <c r="U335" i="11" s="1"/>
  <c r="V335" i="11" s="1"/>
  <c r="X335" i="11" s="1"/>
  <c r="AA292" i="11"/>
  <c r="Z293" i="11"/>
  <c r="Y335" i="11" l="1"/>
  <c r="AC335" i="11"/>
  <c r="AA293" i="11"/>
  <c r="Z294" i="11"/>
  <c r="T336" i="11"/>
  <c r="U336" i="11" s="1"/>
  <c r="V336" i="11" s="1"/>
  <c r="X336" i="11" s="1"/>
  <c r="Y336" i="11" l="1"/>
  <c r="AC336" i="11"/>
  <c r="T337" i="11"/>
  <c r="U337" i="11" s="1"/>
  <c r="V337" i="11" s="1"/>
  <c r="X337" i="11" s="1"/>
  <c r="Z295" i="11"/>
  <c r="AA294" i="11"/>
  <c r="Y337" i="11" l="1"/>
  <c r="AC337" i="11"/>
  <c r="Z296" i="11"/>
  <c r="AA295" i="11"/>
  <c r="T338" i="11"/>
  <c r="U338" i="11" s="1"/>
  <c r="V338" i="11" s="1"/>
  <c r="X338" i="11" s="1"/>
  <c r="Y338" i="11" l="1"/>
  <c r="AC338" i="11"/>
  <c r="AA296" i="11"/>
  <c r="Z297" i="11"/>
  <c r="T339" i="11"/>
  <c r="U339" i="11" s="1"/>
  <c r="V339" i="11" s="1"/>
  <c r="X339" i="11" s="1"/>
  <c r="Y339" i="11" l="1"/>
  <c r="AC339" i="11"/>
  <c r="T340" i="11"/>
  <c r="U340" i="11" s="1"/>
  <c r="V340" i="11" s="1"/>
  <c r="X340" i="11" s="1"/>
  <c r="Z298" i="11"/>
  <c r="AA297" i="11"/>
  <c r="Y340" i="11" l="1"/>
  <c r="AC340" i="11"/>
  <c r="AA298" i="11"/>
  <c r="Z299" i="11"/>
  <c r="T341" i="11"/>
  <c r="U341" i="11" s="1"/>
  <c r="V341" i="11" s="1"/>
  <c r="X341" i="11" s="1"/>
  <c r="Y341" i="11" l="1"/>
  <c r="AC341" i="11"/>
  <c r="T342" i="11"/>
  <c r="U342" i="11" s="1"/>
  <c r="V342" i="11" s="1"/>
  <c r="X342" i="11" s="1"/>
  <c r="Z300" i="11"/>
  <c r="AA299" i="11"/>
  <c r="Y342" i="11" l="1"/>
  <c r="AC342" i="11"/>
  <c r="AA300" i="11"/>
  <c r="Z301" i="11"/>
  <c r="T343" i="11"/>
  <c r="U343" i="11" s="1"/>
  <c r="V343" i="11" s="1"/>
  <c r="X343" i="11" s="1"/>
  <c r="Y343" i="11" l="1"/>
  <c r="AC343" i="11"/>
  <c r="T344" i="11"/>
  <c r="U344" i="11" s="1"/>
  <c r="V344" i="11" s="1"/>
  <c r="X344" i="11" s="1"/>
  <c r="AA301" i="11"/>
  <c r="Z302" i="11"/>
  <c r="Y344" i="11" l="1"/>
  <c r="AC344" i="11"/>
  <c r="Z303" i="11"/>
  <c r="AA302" i="11"/>
  <c r="T345" i="11"/>
  <c r="U345" i="11" s="1"/>
  <c r="V345" i="11" s="1"/>
  <c r="X345" i="11" s="1"/>
  <c r="Y345" i="11" l="1"/>
  <c r="AC345" i="11"/>
  <c r="T346" i="11"/>
  <c r="U346" i="11" s="1"/>
  <c r="V346" i="11" s="1"/>
  <c r="X346" i="11" s="1"/>
  <c r="Z304" i="11"/>
  <c r="AA303" i="11"/>
  <c r="Y346" i="11" l="1"/>
  <c r="AC346" i="11"/>
  <c r="Z305" i="11"/>
  <c r="AA304" i="11"/>
  <c r="T347" i="11"/>
  <c r="U347" i="11" s="1"/>
  <c r="V347" i="11" s="1"/>
  <c r="X347" i="11" s="1"/>
  <c r="Y347" i="11" l="1"/>
  <c r="AC347" i="11"/>
  <c r="T348" i="11"/>
  <c r="U348" i="11" s="1"/>
  <c r="V348" i="11" s="1"/>
  <c r="X348" i="11" s="1"/>
  <c r="AA305" i="11"/>
  <c r="Z306" i="11"/>
  <c r="Y348" i="11" l="1"/>
  <c r="AC348" i="11"/>
  <c r="AA306" i="11"/>
  <c r="Z307" i="11"/>
  <c r="T349" i="11"/>
  <c r="U349" i="11" s="1"/>
  <c r="V349" i="11" s="1"/>
  <c r="X349" i="11" s="1"/>
  <c r="Y349" i="11" l="1"/>
  <c r="AC349" i="11"/>
  <c r="T350" i="11"/>
  <c r="U350" i="11" s="1"/>
  <c r="V350" i="11" s="1"/>
  <c r="X350" i="11" s="1"/>
  <c r="AA307" i="11"/>
  <c r="Z308" i="11"/>
  <c r="Y350" i="11" l="1"/>
  <c r="AC350" i="11"/>
  <c r="Z309" i="11"/>
  <c r="AA308" i="11"/>
  <c r="T351" i="11"/>
  <c r="U351" i="11" s="1"/>
  <c r="V351" i="11" s="1"/>
  <c r="X351" i="11" s="1"/>
  <c r="Y351" i="11" l="1"/>
  <c r="AC351" i="11"/>
  <c r="T352" i="11"/>
  <c r="U352" i="11" s="1"/>
  <c r="V352" i="11" s="1"/>
  <c r="X352" i="11" s="1"/>
  <c r="Z310" i="11"/>
  <c r="AA309" i="11"/>
  <c r="Y352" i="11" l="1"/>
  <c r="AC352" i="11"/>
  <c r="Z311" i="11"/>
  <c r="AA310" i="11"/>
  <c r="T353" i="11"/>
  <c r="U353" i="11" s="1"/>
  <c r="V353" i="11" s="1"/>
  <c r="X353" i="11" s="1"/>
  <c r="Y353" i="11" l="1"/>
  <c r="AC353" i="11"/>
  <c r="T354" i="11"/>
  <c r="U354" i="11" s="1"/>
  <c r="V354" i="11" s="1"/>
  <c r="X354" i="11" s="1"/>
  <c r="Z312" i="11"/>
  <c r="AA311" i="11"/>
  <c r="Y354" i="11" l="1"/>
  <c r="AC354" i="11"/>
  <c r="AA312" i="11"/>
  <c r="Z313" i="11"/>
  <c r="T355" i="11"/>
  <c r="U355" i="11" s="1"/>
  <c r="V355" i="11" s="1"/>
  <c r="X355" i="11" s="1"/>
  <c r="Y355" i="11" l="1"/>
  <c r="AC355" i="11"/>
  <c r="T356" i="11"/>
  <c r="U356" i="11" s="1"/>
  <c r="V356" i="11" s="1"/>
  <c r="X356" i="11" s="1"/>
  <c r="Z314" i="11"/>
  <c r="AA313" i="11"/>
  <c r="Y356" i="11" l="1"/>
  <c r="AC356" i="11"/>
  <c r="Z315" i="11"/>
  <c r="AA314" i="11"/>
  <c r="T357" i="11"/>
  <c r="U357" i="11" s="1"/>
  <c r="V357" i="11" s="1"/>
  <c r="X357" i="11" s="1"/>
  <c r="Y357" i="11" l="1"/>
  <c r="AC357" i="11"/>
  <c r="T358" i="11"/>
  <c r="U358" i="11" s="1"/>
  <c r="V358" i="11" s="1"/>
  <c r="X358" i="11" s="1"/>
  <c r="Z316" i="11"/>
  <c r="AA315" i="11"/>
  <c r="Y358" i="11" l="1"/>
  <c r="AC358" i="11"/>
  <c r="T359" i="11"/>
  <c r="U359" i="11" s="1"/>
  <c r="V359" i="11" s="1"/>
  <c r="X359" i="11" s="1"/>
  <c r="AA316" i="11"/>
  <c r="Z317" i="11"/>
  <c r="Y359" i="11" l="1"/>
  <c r="AC359" i="11"/>
  <c r="AA317" i="11"/>
  <c r="Z318" i="11"/>
  <c r="T360" i="11"/>
  <c r="U360" i="11" s="1"/>
  <c r="V360" i="11" s="1"/>
  <c r="X360" i="11" s="1"/>
  <c r="Y360" i="11" l="1"/>
  <c r="AC360" i="11"/>
  <c r="T361" i="11"/>
  <c r="U361" i="11" s="1"/>
  <c r="V361" i="11" s="1"/>
  <c r="X361" i="11" s="1"/>
  <c r="Z319" i="11"/>
  <c r="AA318" i="11"/>
  <c r="Y361" i="11" l="1"/>
  <c r="AC361" i="11"/>
  <c r="Z320" i="11"/>
  <c r="AA319" i="11"/>
  <c r="T362" i="11"/>
  <c r="U362" i="11" s="1"/>
  <c r="V362" i="11" s="1"/>
  <c r="X362" i="11" s="1"/>
  <c r="Y362" i="11" l="1"/>
  <c r="AC362" i="11"/>
  <c r="T363" i="11"/>
  <c r="U363" i="11" s="1"/>
  <c r="V363" i="11" s="1"/>
  <c r="X363" i="11" s="1"/>
  <c r="AA320" i="11"/>
  <c r="Z321" i="11"/>
  <c r="Y363" i="11" l="1"/>
  <c r="AC363" i="11"/>
  <c r="Z322" i="11"/>
  <c r="AA321" i="11"/>
  <c r="T364" i="11"/>
  <c r="U364" i="11" s="1"/>
  <c r="V364" i="11" s="1"/>
  <c r="X364" i="11" s="1"/>
  <c r="Y364" i="11" l="1"/>
  <c r="AC364" i="11"/>
  <c r="T365" i="11"/>
  <c r="U365" i="11" s="1"/>
  <c r="V365" i="11" s="1"/>
  <c r="X365" i="11" s="1"/>
  <c r="Z323" i="11"/>
  <c r="AA322" i="11"/>
  <c r="Y365" i="11" l="1"/>
  <c r="AC365" i="11"/>
  <c r="T366" i="11"/>
  <c r="U366" i="11" s="1"/>
  <c r="V366" i="11" s="1"/>
  <c r="X366" i="11" s="1"/>
  <c r="Z324" i="11"/>
  <c r="AA323" i="11"/>
  <c r="Y366" i="11" l="1"/>
  <c r="AC366" i="11"/>
  <c r="AA324" i="11"/>
  <c r="Z325" i="11"/>
  <c r="T367" i="11"/>
  <c r="U367" i="11" s="1"/>
  <c r="V367" i="11" s="1"/>
  <c r="X367" i="11" s="1"/>
  <c r="Y367" i="11" l="1"/>
  <c r="AC367" i="11"/>
  <c r="T368" i="11"/>
  <c r="U368" i="11" s="1"/>
  <c r="V368" i="11" s="1"/>
  <c r="X368" i="11" s="1"/>
  <c r="Z326" i="11"/>
  <c r="AA325" i="11"/>
  <c r="Y368" i="11" l="1"/>
  <c r="AC368" i="11"/>
  <c r="AA326" i="11"/>
  <c r="Z327" i="11"/>
  <c r="T369" i="11"/>
  <c r="U369" i="11" s="1"/>
  <c r="V369" i="11" s="1"/>
  <c r="X369" i="11" s="1"/>
  <c r="Y369" i="11" l="1"/>
  <c r="AC369" i="11"/>
  <c r="T370" i="11"/>
  <c r="U370" i="11" s="1"/>
  <c r="V370" i="11" s="1"/>
  <c r="X370" i="11" s="1"/>
  <c r="AA327" i="11"/>
  <c r="Z328" i="11"/>
  <c r="Y370" i="11" l="1"/>
  <c r="AC370" i="11"/>
  <c r="AA328" i="11"/>
  <c r="Z329" i="11"/>
  <c r="T371" i="11"/>
  <c r="U371" i="11" s="1"/>
  <c r="V371" i="11" s="1"/>
  <c r="X371" i="11" s="1"/>
  <c r="Y371" i="11" l="1"/>
  <c r="AC371" i="11"/>
  <c r="T372" i="11"/>
  <c r="U372" i="11" s="1"/>
  <c r="V372" i="11" s="1"/>
  <c r="X372" i="11" s="1"/>
  <c r="Z330" i="11"/>
  <c r="AA329" i="11"/>
  <c r="Y372" i="11" l="1"/>
  <c r="AC372" i="11"/>
  <c r="AA330" i="11"/>
  <c r="Z331" i="11"/>
  <c r="T373" i="11"/>
  <c r="U373" i="11" s="1"/>
  <c r="V373" i="11" s="1"/>
  <c r="X373" i="11" s="1"/>
  <c r="Y373" i="11" l="1"/>
  <c r="AC373" i="11"/>
  <c r="T374" i="11"/>
  <c r="U374" i="11" s="1"/>
  <c r="V374" i="11" s="1"/>
  <c r="X374" i="11" s="1"/>
  <c r="Z332" i="11"/>
  <c r="AA331" i="11"/>
  <c r="Y374" i="11" l="1"/>
  <c r="AC374" i="11"/>
  <c r="T375" i="11"/>
  <c r="U375" i="11" s="1"/>
  <c r="V375" i="11" s="1"/>
  <c r="X375" i="11" s="1"/>
  <c r="AA332" i="11"/>
  <c r="Z333" i="11"/>
  <c r="Y375" i="11" l="1"/>
  <c r="AC375" i="11"/>
  <c r="AA333" i="11"/>
  <c r="Z334" i="11"/>
  <c r="T376" i="11"/>
  <c r="U376" i="11" s="1"/>
  <c r="V376" i="11" s="1"/>
  <c r="X376" i="11" s="1"/>
  <c r="Y376" i="11" l="1"/>
  <c r="AC376" i="11"/>
  <c r="T377" i="11"/>
  <c r="U377" i="11" s="1"/>
  <c r="V377" i="11" s="1"/>
  <c r="X377" i="11" s="1"/>
  <c r="Z335" i="11"/>
  <c r="AA334" i="11"/>
  <c r="Y377" i="11" l="1"/>
  <c r="AC377" i="11"/>
  <c r="Z336" i="11"/>
  <c r="AA335" i="11"/>
  <c r="T378" i="11"/>
  <c r="U378" i="11" s="1"/>
  <c r="V378" i="11" s="1"/>
  <c r="X378" i="11" s="1"/>
  <c r="Y378" i="11" l="1"/>
  <c r="AC378" i="11"/>
  <c r="T379" i="11"/>
  <c r="U379" i="11" s="1"/>
  <c r="V379" i="11" s="1"/>
  <c r="X379" i="11" s="1"/>
  <c r="AA336" i="11"/>
  <c r="Z337" i="11"/>
  <c r="Y379" i="11" l="1"/>
  <c r="AC379" i="11"/>
  <c r="T380" i="11"/>
  <c r="U380" i="11" s="1"/>
  <c r="V380" i="11" s="1"/>
  <c r="X380" i="11" s="1"/>
  <c r="Z338" i="11"/>
  <c r="AA337" i="11"/>
  <c r="Y380" i="11" l="1"/>
  <c r="AC380" i="11"/>
  <c r="Z339" i="11"/>
  <c r="AA338" i="11"/>
  <c r="T381" i="11"/>
  <c r="U381" i="11" s="1"/>
  <c r="V381" i="11" s="1"/>
  <c r="X381" i="11" s="1"/>
  <c r="Y381" i="11" l="1"/>
  <c r="AC381" i="11"/>
  <c r="T382" i="11"/>
  <c r="U382" i="11" s="1"/>
  <c r="V382" i="11" s="1"/>
  <c r="X382" i="11" s="1"/>
  <c r="Z340" i="11"/>
  <c r="AA339" i="11"/>
  <c r="Y382" i="11" l="1"/>
  <c r="AC382" i="11"/>
  <c r="AA340" i="11"/>
  <c r="Z341" i="11"/>
  <c r="T383" i="11"/>
  <c r="U383" i="11" s="1"/>
  <c r="V383" i="11" s="1"/>
  <c r="X383" i="11" s="1"/>
  <c r="Y383" i="11" l="1"/>
  <c r="AC383" i="11"/>
  <c r="T384" i="11"/>
  <c r="U384" i="11" s="1"/>
  <c r="V384" i="11" s="1"/>
  <c r="X384" i="11" s="1"/>
  <c r="Z342" i="11"/>
  <c r="AA341" i="11"/>
  <c r="Y384" i="11" l="1"/>
  <c r="AC384" i="11"/>
  <c r="Z343" i="11"/>
  <c r="AA342" i="11"/>
  <c r="Z344" i="11" l="1"/>
  <c r="AA343" i="11"/>
  <c r="AA344" i="11" l="1"/>
  <c r="Z345" i="11"/>
  <c r="Z346" i="11" l="1"/>
  <c r="AA345" i="11"/>
  <c r="Z347" i="11" l="1"/>
  <c r="AA346" i="11"/>
  <c r="Z348" i="11" l="1"/>
  <c r="AA347" i="11"/>
  <c r="AA348" i="11" l="1"/>
  <c r="Z349" i="11"/>
  <c r="Z350" i="11" l="1"/>
  <c r="AA349" i="11"/>
  <c r="Z351" i="11" l="1"/>
  <c r="AA350" i="11"/>
  <c r="Z352" i="11" l="1"/>
  <c r="AA351" i="11"/>
  <c r="AA352" i="11" l="1"/>
  <c r="Z353" i="11"/>
  <c r="Z354" i="11" l="1"/>
  <c r="AA353" i="11"/>
  <c r="AA354" i="11" l="1"/>
  <c r="Z355" i="11"/>
  <c r="Z356" i="11" l="1"/>
  <c r="AA355" i="11"/>
  <c r="AA356" i="11" l="1"/>
  <c r="Z357" i="11"/>
  <c r="AA357" i="11" l="1"/>
  <c r="Z358" i="11"/>
  <c r="Z359" i="11" l="1"/>
  <c r="AA358" i="11"/>
  <c r="Z360" i="11" l="1"/>
  <c r="AA359" i="11"/>
  <c r="AA360" i="11" l="1"/>
  <c r="Z361" i="11"/>
  <c r="AA361" i="11" l="1"/>
  <c r="Z362" i="11"/>
  <c r="AA362" i="11" l="1"/>
  <c r="Z363" i="11"/>
  <c r="AA363" i="11" l="1"/>
  <c r="Z364" i="11"/>
  <c r="AA364" i="11" l="1"/>
  <c r="Z365" i="11"/>
  <c r="AA365" i="11" l="1"/>
  <c r="Z366" i="11"/>
  <c r="AA366" i="11" l="1"/>
  <c r="Z367" i="11"/>
  <c r="Z368" i="11" l="1"/>
  <c r="AA367" i="11"/>
  <c r="AA368" i="11" l="1"/>
  <c r="Z369" i="11"/>
  <c r="Z370" i="11" l="1"/>
  <c r="AA369" i="11"/>
  <c r="AA370" i="11" l="1"/>
  <c r="Z371" i="11"/>
  <c r="Z372" i="11" l="1"/>
  <c r="AA371" i="11"/>
  <c r="Z373" i="11" l="1"/>
  <c r="AA372" i="11"/>
  <c r="AA373" i="11" l="1"/>
  <c r="Z374" i="11"/>
  <c r="Z375" i="11" l="1"/>
  <c r="AA374" i="11"/>
  <c r="AA375" i="11" l="1"/>
  <c r="Z376" i="11"/>
  <c r="AA376" i="11" l="1"/>
  <c r="Z377" i="11"/>
  <c r="Z378" i="11" l="1"/>
  <c r="AA377" i="11"/>
  <c r="AA378" i="11" l="1"/>
  <c r="Z379" i="11"/>
  <c r="Z380" i="11" l="1"/>
  <c r="AA379" i="11"/>
  <c r="Z381" i="11" l="1"/>
  <c r="AA380" i="11"/>
  <c r="Z382" i="11" l="1"/>
  <c r="AA381" i="11"/>
  <c r="AA382" i="11" l="1"/>
  <c r="Z383" i="11"/>
  <c r="Z384" i="11" l="1"/>
  <c r="AA383" i="11"/>
  <c r="AA384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1A33B6-D718-4317-B087-8EFB7FB8A86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06654A3-968A-41C6-A0A2-142B76485E37}" name="WorksheetConnection_NOVO - Estudo de Geração Fotovoltaica.xlsm!Tab_dados" type="102" refreshedVersion="8" minRefreshableVersion="5">
    <extLst>
      <ext xmlns:x15="http://schemas.microsoft.com/office/spreadsheetml/2010/11/main" uri="{DE250136-89BD-433C-8126-D09CA5730AF9}">
        <x15:connection id="Tab_dados">
          <x15:rangePr sourceName="_xlcn.WorksheetConnection_NOVOEstudodeGeraçãoFotovoltaica.xlsmTab_dados"/>
        </x15:connection>
      </ext>
    </extLst>
  </connection>
  <connection id="3" xr16:uid="{3E8CD7BB-77CB-43E6-9D27-EE7549E78D8B}" name="WorksheetConnection_NOVO - Estudo de Geração Fotovoltaica.xlsm!Tabela6" type="102" refreshedVersion="8" minRefreshableVersion="5">
    <extLst>
      <ext xmlns:x15="http://schemas.microsoft.com/office/spreadsheetml/2010/11/main" uri="{DE250136-89BD-433C-8126-D09CA5730AF9}">
        <x15:connection id="Tabela6">
          <x15:rangePr sourceName="_xlcn.WorksheetConnection_NOVOEstudodeGeraçãoFotovoltaica.xlsmTabela6"/>
        </x15:connection>
      </ext>
    </extLst>
  </connection>
</connections>
</file>

<file path=xl/sharedStrings.xml><?xml version="1.0" encoding="utf-8"?>
<sst xmlns="http://schemas.openxmlformats.org/spreadsheetml/2006/main" count="86" uniqueCount="68">
  <si>
    <t>Valor da tarifa (R$)</t>
  </si>
  <si>
    <t>Potência (kWp)</t>
  </si>
  <si>
    <t>kWp</t>
  </si>
  <si>
    <t>placas</t>
  </si>
  <si>
    <t>kWh</t>
  </si>
  <si>
    <t>Mês</t>
  </si>
  <si>
    <t>Curitiba</t>
  </si>
  <si>
    <t>Inversor</t>
  </si>
  <si>
    <t>kW</t>
  </si>
  <si>
    <t>Sugerido</t>
  </si>
  <si>
    <t>Valor do KIT</t>
  </si>
  <si>
    <t>Consumo faturado (kWh)</t>
  </si>
  <si>
    <t>Energia gerada (kWh)</t>
  </si>
  <si>
    <t>Vai pagar</t>
  </si>
  <si>
    <t>Você pagava</t>
  </si>
  <si>
    <t>Janeiro</t>
  </si>
  <si>
    <t>jan</t>
  </si>
  <si>
    <t>Fevereiro</t>
  </si>
  <si>
    <t>fev</t>
  </si>
  <si>
    <t>Março</t>
  </si>
  <si>
    <t>mar</t>
  </si>
  <si>
    <t>Abril</t>
  </si>
  <si>
    <t>abr</t>
  </si>
  <si>
    <t>Maio</t>
  </si>
  <si>
    <t>mai</t>
  </si>
  <si>
    <t>Junho</t>
  </si>
  <si>
    <t>jun</t>
  </si>
  <si>
    <t>Julho</t>
  </si>
  <si>
    <t>jul</t>
  </si>
  <si>
    <t>Agosto</t>
  </si>
  <si>
    <t>ago</t>
  </si>
  <si>
    <t>Setembro</t>
  </si>
  <si>
    <t>set</t>
  </si>
  <si>
    <t>Outubro</t>
  </si>
  <si>
    <t>out</t>
  </si>
  <si>
    <t>Novembro</t>
  </si>
  <si>
    <t>nov</t>
  </si>
  <si>
    <t>Dezembro</t>
  </si>
  <si>
    <t>dez</t>
  </si>
  <si>
    <t>ROI</t>
  </si>
  <si>
    <t>Payback</t>
  </si>
  <si>
    <t>Ano</t>
  </si>
  <si>
    <t>Economia</t>
  </si>
  <si>
    <t>% Economia</t>
  </si>
  <si>
    <t>Autoconsumo</t>
  </si>
  <si>
    <t>Taxa Fio B</t>
  </si>
  <si>
    <t>En. Injetada</t>
  </si>
  <si>
    <t>progressão do FIO B</t>
  </si>
  <si>
    <t>consumida da rede</t>
  </si>
  <si>
    <t>Saldo do mês</t>
  </si>
  <si>
    <t>Banco de créditos</t>
  </si>
  <si>
    <t>Energia compensada</t>
  </si>
  <si>
    <t>Fio B</t>
  </si>
  <si>
    <t>Mês extenso</t>
  </si>
  <si>
    <t>CWB inclinado kWh/m²/dia</t>
  </si>
  <si>
    <t>Maringá inclinado kWh/m²/dia</t>
  </si>
  <si>
    <t>Maringá horizont kWh/m²/dia</t>
  </si>
  <si>
    <t>CWB horizont kWh/m²/dia</t>
  </si>
  <si>
    <t>reajuste tarifa</t>
  </si>
  <si>
    <t>Contagem de mês</t>
  </si>
  <si>
    <t>TIR</t>
  </si>
  <si>
    <t>Bifásico</t>
  </si>
  <si>
    <t>dias faturados</t>
  </si>
  <si>
    <t>ao mês</t>
  </si>
  <si>
    <t>ao ano</t>
  </si>
  <si>
    <t>eficiência da placa</t>
  </si>
  <si>
    <t>Reajuste na tarifa</t>
  </si>
  <si>
    <t>aumento anual no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</si>
</sst>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164" formatCode="[$R$ -416]#,##0"/>
    <numFmt numFmtId="165" formatCode="&quot;R$&quot;\ #,##0.00"/>
    <numFmt numFmtId="166" formatCode="0_ ;[Red]\-0\ "/>
    <numFmt numFmtId="167" formatCode="0.0%"/>
    <numFmt numFmtId="168" formatCode="#,##0_ ;[Red]\-#,##0\ 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/>
    <xf numFmtId="8" fontId="0" fillId="0" borderId="0" xfId="0" applyNumberFormat="1"/>
    <xf numFmtId="7" fontId="0" fillId="0" borderId="0" xfId="0" applyNumberFormat="1"/>
    <xf numFmtId="0" fontId="0" fillId="3" borderId="1" xfId="0" applyFill="1" applyBorder="1"/>
    <xf numFmtId="9" fontId="0" fillId="3" borderId="1" xfId="0" applyNumberFormat="1" applyFill="1" applyBorder="1"/>
    <xf numFmtId="8" fontId="0" fillId="3" borderId="1" xfId="0" applyNumberFormat="1" applyFill="1" applyBorder="1"/>
    <xf numFmtId="0" fontId="0" fillId="3" borderId="2" xfId="0" applyFill="1" applyBorder="1"/>
    <xf numFmtId="9" fontId="0" fillId="3" borderId="2" xfId="0" applyNumberFormat="1" applyFill="1" applyBorder="1"/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/>
    <xf numFmtId="0" fontId="7" fillId="0" borderId="0" xfId="0" applyFont="1"/>
    <xf numFmtId="2" fontId="7" fillId="0" borderId="0" xfId="0" applyNumberFormat="1" applyFont="1"/>
    <xf numFmtId="9" fontId="7" fillId="0" borderId="0" xfId="0" applyNumberFormat="1" applyFont="1"/>
    <xf numFmtId="165" fontId="7" fillId="0" borderId="0" xfId="0" applyNumberFormat="1" applyFont="1"/>
    <xf numFmtId="0" fontId="7" fillId="0" borderId="6" xfId="0" applyFont="1" applyBorder="1" applyAlignment="1">
      <alignment vertical="center"/>
    </xf>
    <xf numFmtId="6" fontId="7" fillId="0" borderId="6" xfId="0" applyNumberFormat="1" applyFont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8" fontId="7" fillId="0" borderId="0" xfId="0" applyNumberFormat="1" applyFont="1"/>
    <xf numFmtId="3" fontId="7" fillId="0" borderId="0" xfId="0" applyNumberFormat="1" applyFont="1"/>
    <xf numFmtId="6" fontId="7" fillId="0" borderId="4" xfId="0" applyNumberFormat="1" applyFont="1" applyBorder="1" applyAlignment="1">
      <alignment vertical="center"/>
    </xf>
    <xf numFmtId="164" fontId="7" fillId="0" borderId="4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7" fillId="0" borderId="0" xfId="0" applyNumberFormat="1" applyFont="1"/>
    <xf numFmtId="3" fontId="1" fillId="0" borderId="0" xfId="0" applyNumberFormat="1" applyFont="1" applyAlignment="1">
      <alignment horizontal="center" wrapText="1"/>
    </xf>
    <xf numFmtId="4" fontId="7" fillId="3" borderId="2" xfId="0" applyNumberFormat="1" applyFont="1" applyFill="1" applyBorder="1"/>
    <xf numFmtId="0" fontId="7" fillId="3" borderId="2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6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9" fontId="7" fillId="5" borderId="2" xfId="0" applyNumberFormat="1" applyFont="1" applyFill="1" applyBorder="1"/>
    <xf numFmtId="0" fontId="7" fillId="5" borderId="2" xfId="0" applyFont="1" applyFill="1" applyBorder="1"/>
    <xf numFmtId="8" fontId="7" fillId="5" borderId="2" xfId="0" applyNumberFormat="1" applyFont="1" applyFill="1" applyBorder="1"/>
    <xf numFmtId="0" fontId="7" fillId="6" borderId="7" xfId="0" applyFont="1" applyFill="1" applyBorder="1" applyAlignment="1">
      <alignment horizontal="left"/>
    </xf>
    <xf numFmtId="166" fontId="7" fillId="0" borderId="6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9" fontId="0" fillId="0" borderId="0" xfId="0" applyNumberFormat="1"/>
    <xf numFmtId="9" fontId="7" fillId="0" borderId="6" xfId="0" applyNumberFormat="1" applyFont="1" applyBorder="1" applyAlignment="1">
      <alignment vertical="center"/>
    </xf>
    <xf numFmtId="8" fontId="7" fillId="0" borderId="0" xfId="0" applyNumberFormat="1" applyFont="1" applyAlignment="1">
      <alignment vertical="center" wrapText="1"/>
    </xf>
    <xf numFmtId="6" fontId="7" fillId="0" borderId="0" xfId="0" applyNumberFormat="1" applyFont="1"/>
    <xf numFmtId="167" fontId="7" fillId="3" borderId="2" xfId="0" applyNumberFormat="1" applyFont="1" applyFill="1" applyBorder="1"/>
    <xf numFmtId="168" fontId="7" fillId="0" borderId="6" xfId="0" applyNumberFormat="1" applyFont="1" applyBorder="1" applyAlignment="1">
      <alignment vertical="center"/>
    </xf>
    <xf numFmtId="10" fontId="0" fillId="2" borderId="1" xfId="0" applyNumberFormat="1" applyFill="1" applyBorder="1"/>
    <xf numFmtId="6" fontId="7" fillId="5" borderId="2" xfId="0" applyNumberFormat="1" applyFont="1" applyFill="1" applyBorder="1"/>
    <xf numFmtId="166" fontId="7" fillId="0" borderId="6" xfId="0" applyNumberFormat="1" applyFont="1" applyBorder="1"/>
    <xf numFmtId="166" fontId="7" fillId="0" borderId="4" xfId="0" applyNumberFormat="1" applyFont="1" applyBorder="1"/>
    <xf numFmtId="166" fontId="7" fillId="0" borderId="4" xfId="0" applyNumberFormat="1" applyFont="1" applyBorder="1" applyAlignment="1">
      <alignment vertical="center"/>
    </xf>
    <xf numFmtId="0" fontId="0" fillId="0" borderId="8" xfId="0" applyBorder="1"/>
    <xf numFmtId="2" fontId="3" fillId="0" borderId="0" xfId="0" applyNumberFormat="1" applyFont="1" applyAlignment="1">
      <alignment horizontal="right"/>
    </xf>
    <xf numFmtId="167" fontId="7" fillId="5" borderId="2" xfId="0" applyNumberFormat="1" applyFont="1" applyFill="1" applyBorder="1"/>
    <xf numFmtId="0" fontId="0" fillId="7" borderId="0" xfId="0" applyFill="1"/>
    <xf numFmtId="0" fontId="0" fillId="8" borderId="8" xfId="0" applyFill="1" applyBorder="1"/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0" formatCode="&quot;R$&quot;\ #,##0;[Red]\-&quot;R$&quot;\ 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3" formatCode="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0" formatCode="&quot;R$&quot;\ #,##0;[Red]\-&quot;R$&quot;\ 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4" formatCode="[$R$ -416]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4" formatCode="[$R$ -416]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0" formatCode="&quot;R$&quot;\ #,##0;[Red]\-&quot;R$&quot;\ 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_ ;[Red]\-0\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</font>
      <numFmt numFmtId="12" formatCode="&quot;R$&quot;\ #,##0.00;[Red]\-&quot;R$&quot;\ #,##0.0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Arial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</dxf>
    <dxf>
      <border outline="0">
        <right style="thin">
          <color theme="7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Dimensionamento-style" pivot="0" count="5" xr9:uid="{00000000-0011-0000-FFFF-FFFF00000000}">
      <tableStyleElement type="wholeTable" size="0" dxfId="49"/>
      <tableStyleElement type="headerRow" dxfId="48"/>
      <tableStyleElement type="totalRow" dxfId="47"/>
      <tableStyleElement type="firstRowStripe" dxfId="46"/>
      <tableStyleElement type="secondRowStripe" dxfId="45"/>
    </tableStyle>
    <tableStyle name="Dimensionamento-style 2" pivot="0" count="3" xr9:uid="{00000000-0011-0000-FFFF-FFFF01000000}">
      <tableStyleElement type="totalRow" dxfId="44"/>
      <tableStyleElement type="firstRowStripe" dxfId="43"/>
      <tableStyleElement type="secondRowStripe" dxfId="42"/>
    </tableStyle>
    <tableStyle name="Invisible" pivot="0" table="0" count="0" xr9:uid="{81146F22-AF14-4629-9A36-B193D78FAFFC}"/>
    <tableStyle name="Playbook-style" pivot="0" count="4" xr9:uid="{00000000-0011-0000-FFFF-FFFF02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ROI-style" pivot="0" count="4" xr9:uid="{00000000-0011-0000-FFFF-FFFF03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ROI-style 2" pivot="0" count="4" xr9:uid="{00000000-0011-0000-FFFF-FFFF04000000}">
      <tableStyleElement type="wholeTable" size="0" dxfId="33"/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C382CD-D372-4FD8-A95A-E7FE5A1BF47C}" name="Tab_dados" displayName="Tab_dados" ref="A24:AA384" totalsRowShown="0" headerRowDxfId="29" dataDxfId="28" tableBorderDxfId="27">
  <autoFilter ref="A24:AA384" xr:uid="{C1C382CD-D372-4FD8-A95A-E7FE5A1BF47C}"/>
  <tableColumns count="27">
    <tableColumn id="1" xr3:uid="{C9BF2515-1008-4EF0-A4AD-5C5A305C034B}" name="Mês extenso" dataDxfId="26"/>
    <tableColumn id="2" xr3:uid="{C3D10C3F-13D7-4AB6-B1C7-891C485B5E46}" name="dias faturados" dataDxfId="25"/>
    <tableColumn id="3" xr3:uid="{02E3DF3F-0BD7-452F-B1A2-C12C345F14E5}" name="CWB horizont kWh/m²/dia" dataDxfId="24"/>
    <tableColumn id="4" xr3:uid="{F6F0477D-1250-440E-9132-58DAAA538E57}" name="CWB inclinado kWh/m²/dia" dataDxfId="23"/>
    <tableColumn id="5" xr3:uid="{4C8AF031-DBF0-4996-B472-6BFE95F7D8AA}" name="Maringá horizont kWh/m²/dia" dataDxfId="22"/>
    <tableColumn id="6" xr3:uid="{E7C65C74-72CA-4EBE-AF67-D9D45FC7AFA6}" name="Maringá inclinado kWh/m²/dia" dataDxfId="21"/>
    <tableColumn id="7" xr3:uid="{F6A68648-8F88-4FD1-A596-AA65CE9DBA2C}" name="eficiência da placa" dataDxfId="20"/>
    <tableColumn id="8" xr3:uid="{AA1A54E1-D4AA-4F25-BA67-8D40D19A3D62}" name="reajuste tarifa" dataDxfId="19">
      <calculatedColumnFormula>(1+#REF!)^J1</calculatedColumnFormula>
    </tableColumn>
    <tableColumn id="9" xr3:uid="{71F121F6-8258-4512-8F8F-E466CF67A8D1}" name="Fio B" dataDxfId="18">
      <calculatedColumnFormula>$H$6</calculatedColumnFormula>
    </tableColumn>
    <tableColumn id="27" xr3:uid="{C569A228-636B-4F7C-BA9D-55B868C9BB46}" name="Contagem de mês" dataDxfId="17"/>
    <tableColumn id="10" xr3:uid="{71177D5B-6162-489D-89F8-6098EA4C3A27}" name="Ano" dataDxfId="16">
      <calculatedColumnFormula>J1+1</calculatedColumnFormula>
    </tableColumn>
    <tableColumn id="11" xr3:uid="{2CC96821-08BB-4F48-8520-E8ABB73E6300}" name="Mês" dataDxfId="15">
      <calculatedColumnFormula>K1</calculatedColumnFormula>
    </tableColumn>
    <tableColumn id="12" xr3:uid="{74747894-35D5-46DD-8003-F4319CC76F39}" name="Consumo faturado (kWh)" dataDxfId="14">
      <calculatedColumnFormula>B14</calculatedColumnFormula>
    </tableColumn>
    <tableColumn id="13" xr3:uid="{072C768C-77AC-4496-B85B-13D5B3635475}" name="Energia gerada (kWh)" dataDxfId="13">
      <calculatedColumnFormula>B25*IF($A$6="Curitiba",D25,F25)*0.8*$B$9*G25</calculatedColumnFormula>
    </tableColumn>
    <tableColumn id="14" xr3:uid="{3EB3E72A-D435-4232-B97F-E0667CBBB8D3}" name="Autoconsumo" dataDxfId="12">
      <calculatedColumnFormula>MIN($B$11*M25,N25)</calculatedColumnFormula>
    </tableColumn>
    <tableColumn id="15" xr3:uid="{EED0CD40-1769-409C-AD6D-0EC1E95C54EF}" name="En. Injetada" dataDxfId="11">
      <calculatedColumnFormula>N25-O25</calculatedColumnFormula>
    </tableColumn>
    <tableColumn id="16" xr3:uid="{61EF4765-366F-4730-88DD-0DBB4BE8A559}" name="consumida da rede" dataDxfId="10">
      <calculatedColumnFormula>M25-O25</calculatedColumnFormula>
    </tableColumn>
    <tableColumn id="17" xr3:uid="{86276C00-DB08-4D6E-A823-EDB92F3E548C}" name="Saldo do mês" dataDxfId="9">
      <calculatedColumnFormula>P25-Q25</calculatedColumnFormula>
    </tableColumn>
    <tableColumn id="18" xr3:uid="{A3B275E5-9D14-4795-937F-ED145B609D1A}" name="Banco de créditos" dataDxfId="8">
      <calculatedColumnFormula>MAX(0,S24+R25)</calculatedColumnFormula>
    </tableColumn>
    <tableColumn id="19" xr3:uid="{49A044D6-4BF6-4112-BD59-E35916A5A5B6}" name="Energia compensada" dataDxfId="7">
      <calculatedColumnFormula>MIN(Q25,P25+S24)</calculatedColumnFormula>
    </tableColumn>
    <tableColumn id="20" xr3:uid="{6EAC2FD2-79BA-4ABE-83D3-930EFE045644}" name="Taxa Fio B" dataDxfId="6">
      <calculatedColumnFormula>T25*I25</calculatedColumnFormula>
    </tableColumn>
    <tableColumn id="21" xr3:uid="{42BEC8F7-C031-422B-B13E-F2D10213358F}" name="Vai pagar" dataDxfId="5">
      <calculatedColumnFormula>IF(U25+((Q25-T25)*$B$2*H25)&lt;$B$5*$B$2*H25,$B$5*$B$2*H25,U25+((Q25-T25)*$B$2*H25))</calculatedColumnFormula>
    </tableColumn>
    <tableColumn id="22" xr3:uid="{6C4741FD-7F52-4C44-AB8B-FA51F5718444}" name="Você pagava" dataDxfId="4">
      <calculatedColumnFormula>M25*$B$2*H25</calculatedColumnFormula>
    </tableColumn>
    <tableColumn id="23" xr3:uid="{E963E646-2DE1-455E-8B17-912A654CE7CF}" name="Economia" dataDxfId="3">
      <calculatedColumnFormula>W25-V25</calculatedColumnFormula>
    </tableColumn>
    <tableColumn id="24" xr3:uid="{D6C74889-787F-4EB5-8BBE-4D3DF79E5330}" name="% Economia" dataDxfId="2">
      <calculatedColumnFormula>X25/W25</calculatedColumnFormula>
    </tableColumn>
    <tableColumn id="25" xr3:uid="{217AD36B-23CE-4B79-9F08-A36E4B30D4A1}" name="ROI" dataDxfId="1">
      <calculatedColumnFormula>-B12+X25</calculatedColumnFormula>
    </tableColumn>
    <tableColumn id="26" xr3:uid="{F7A1EEA2-8674-446B-AD1D-54B26DEB8A5B}" name="Payback" dataDxfId="0">
      <calculatedColumnFormula>IF(AA24&gt;0,0,MAX(0,Tab_dados[[#This Row],[ROI]]))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MS_1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8B0AB"/>
      </a:accent1>
      <a:accent2>
        <a:srgbClr val="F59A7B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528E-5DC5-4D17-8CA2-EE3D0674328F}">
  <sheetPr codeName="Planilha5">
    <outlinePr summaryBelow="0" summaryRight="0"/>
  </sheetPr>
  <dimension ref="A1:AF8451"/>
  <sheetViews>
    <sheetView tabSelected="1" zoomScaleNormal="100" workbookViewId="0">
      <selection activeCell="D11" sqref="D11"/>
    </sheetView>
  </sheetViews>
  <sheetFormatPr defaultColWidth="12.5703125" defaultRowHeight="12.75" x14ac:dyDescent="0.2"/>
  <cols>
    <col min="1" max="1" width="23.85546875" customWidth="1"/>
    <col min="2" max="2" width="16" bestFit="1" customWidth="1"/>
    <col min="3" max="3" width="17.5703125" customWidth="1"/>
    <col min="4" max="4" width="22" customWidth="1"/>
    <col min="5" max="5" width="17.85546875" customWidth="1"/>
    <col min="6" max="6" width="22.28515625" customWidth="1"/>
    <col min="7" max="7" width="14.140625" bestFit="1" customWidth="1"/>
    <col min="8" max="8" width="10.5703125" bestFit="1" customWidth="1"/>
    <col min="9" max="9" width="8" bestFit="1" customWidth="1"/>
    <col min="10" max="10" width="11.28515625" customWidth="1"/>
    <col min="11" max="12" width="6.85546875" bestFit="1" customWidth="1"/>
    <col min="13" max="13" width="16.7109375" bestFit="1" customWidth="1"/>
    <col min="14" max="14" width="17" customWidth="1"/>
    <col min="15" max="15" width="14.140625" bestFit="1" customWidth="1"/>
    <col min="16" max="16" width="12.140625" customWidth="1"/>
    <col min="17" max="17" width="11.42578125" customWidth="1"/>
    <col min="18" max="18" width="14.42578125" customWidth="1"/>
    <col min="19" max="19" width="16.5703125" customWidth="1"/>
    <col min="20" max="20" width="13.140625" bestFit="1" customWidth="1"/>
    <col min="21" max="21" width="12.140625" bestFit="1" customWidth="1"/>
    <col min="22" max="22" width="15.140625" bestFit="1" customWidth="1"/>
    <col min="23" max="23" width="12.28515625" bestFit="1" customWidth="1"/>
    <col min="24" max="24" width="14.28515625" bestFit="1" customWidth="1"/>
    <col min="25" max="25" width="12.7109375" customWidth="1"/>
    <col min="26" max="26" width="10.42578125" customWidth="1"/>
    <col min="27" max="27" width="11" bestFit="1" customWidth="1"/>
    <col min="28" max="28" width="7.7109375" customWidth="1"/>
  </cols>
  <sheetData>
    <row r="1" spans="1:20" x14ac:dyDescent="0.2">
      <c r="A1" s="2"/>
      <c r="B1" s="2"/>
      <c r="C1" s="32"/>
      <c r="D1" s="1"/>
      <c r="E1" s="1"/>
      <c r="F1" s="1"/>
      <c r="M1" s="59">
        <v>4</v>
      </c>
    </row>
    <row r="2" spans="1:20" x14ac:dyDescent="0.2">
      <c r="A2" s="35" t="s">
        <v>0</v>
      </c>
      <c r="B2" s="33">
        <v>0.87</v>
      </c>
      <c r="C2" s="34"/>
      <c r="F2" s="51">
        <v>0.23400000000000001</v>
      </c>
      <c r="G2" s="11" t="s">
        <v>47</v>
      </c>
      <c r="H2" s="11"/>
      <c r="L2" s="56" t="s">
        <v>16</v>
      </c>
      <c r="M2" s="60">
        <v>209</v>
      </c>
    </row>
    <row r="3" spans="1:20" x14ac:dyDescent="0.2">
      <c r="A3" s="35" t="s">
        <v>1</v>
      </c>
      <c r="B3" s="33">
        <f>AVERAGE(M25:M36)/(AVERAGE(B25:B36)*IF($A$6="Curitiba",AVERAGE(D25:D36),AVERAGE(F25:F36))*0.8)</f>
        <v>11.431623931623928</v>
      </c>
      <c r="C3" s="34" t="s">
        <v>2</v>
      </c>
      <c r="F3" s="6">
        <v>2026</v>
      </c>
      <c r="G3" s="7">
        <v>0.6</v>
      </c>
      <c r="H3" s="8">
        <f>$F$2*$B$2*G3</f>
        <v>0.12214800000000001</v>
      </c>
      <c r="L3" s="56" t="s">
        <v>18</v>
      </c>
      <c r="M3" s="60">
        <v>272</v>
      </c>
    </row>
    <row r="4" spans="1:20" x14ac:dyDescent="0.2">
      <c r="A4" s="36">
        <v>610</v>
      </c>
      <c r="B4" s="34">
        <f>ROUNDUP(B3/A4*1000,0)</f>
        <v>19</v>
      </c>
      <c r="C4" s="34" t="s">
        <v>3</v>
      </c>
      <c r="D4" s="14"/>
      <c r="F4" s="9">
        <v>2027</v>
      </c>
      <c r="G4" s="10">
        <v>0.75</v>
      </c>
      <c r="H4" s="8">
        <f>$F$2*$B$2*G4</f>
        <v>0.15268500000000002</v>
      </c>
      <c r="L4" s="56" t="s">
        <v>20</v>
      </c>
      <c r="M4" s="60">
        <v>288</v>
      </c>
    </row>
    <row r="5" spans="1:20" x14ac:dyDescent="0.2">
      <c r="A5" s="35" t="s">
        <v>61</v>
      </c>
      <c r="B5" s="34">
        <f>IF(A5="Monofásico",30,IF(A5="Bifásico",50,100))</f>
        <v>50</v>
      </c>
      <c r="C5" s="34" t="s">
        <v>4</v>
      </c>
      <c r="F5" s="9">
        <v>2028</v>
      </c>
      <c r="G5" s="10">
        <v>0.9</v>
      </c>
      <c r="H5" s="8">
        <f>$F$2*$B$2*G5</f>
        <v>0.18322200000000002</v>
      </c>
      <c r="L5" s="56" t="s">
        <v>22</v>
      </c>
      <c r="M5" s="60">
        <v>250</v>
      </c>
    </row>
    <row r="6" spans="1:20" x14ac:dyDescent="0.2">
      <c r="A6" s="35" t="s">
        <v>6</v>
      </c>
      <c r="B6" s="34">
        <f>B4*A4/1000</f>
        <v>11.59</v>
      </c>
      <c r="C6" s="34" t="s">
        <v>2</v>
      </c>
      <c r="F6" s="9">
        <v>2029</v>
      </c>
      <c r="G6" s="10">
        <v>1</v>
      </c>
      <c r="H6" s="8">
        <f>$F$2*$B$2*G6</f>
        <v>0.20358000000000001</v>
      </c>
      <c r="L6" s="56" t="s">
        <v>24</v>
      </c>
      <c r="M6" s="60">
        <v>349</v>
      </c>
    </row>
    <row r="7" spans="1:20" x14ac:dyDescent="0.2">
      <c r="A7" s="35" t="s">
        <v>7</v>
      </c>
      <c r="B7" s="34">
        <v>3</v>
      </c>
      <c r="C7" s="34" t="s">
        <v>8</v>
      </c>
      <c r="D7" s="14"/>
      <c r="L7" s="56" t="s">
        <v>26</v>
      </c>
      <c r="M7" s="60">
        <v>357</v>
      </c>
    </row>
    <row r="8" spans="1:20" x14ac:dyDescent="0.2">
      <c r="A8" s="36" t="s">
        <v>9</v>
      </c>
      <c r="B8" s="34">
        <v>20</v>
      </c>
      <c r="C8" s="34" t="s">
        <v>3</v>
      </c>
      <c r="G8" s="45"/>
      <c r="J8" s="1"/>
      <c r="L8" s="56" t="s">
        <v>28</v>
      </c>
      <c r="M8" s="60">
        <v>348</v>
      </c>
    </row>
    <row r="9" spans="1:20" x14ac:dyDescent="0.2">
      <c r="A9" s="36"/>
      <c r="B9" s="34">
        <f>B8*A4/1000</f>
        <v>12.2</v>
      </c>
      <c r="C9" s="34" t="s">
        <v>2</v>
      </c>
      <c r="J9" s="1"/>
      <c r="L9" s="56" t="s">
        <v>30</v>
      </c>
      <c r="M9" s="60">
        <v>380</v>
      </c>
    </row>
    <row r="10" spans="1:20" x14ac:dyDescent="0.2">
      <c r="A10" s="42" t="s">
        <v>42</v>
      </c>
      <c r="B10" s="39">
        <f>1-(SUM(V25:V36)/SUM(W25:W36))</f>
        <v>0.89877353018828898</v>
      </c>
      <c r="C10" s="52">
        <f>SUM(X25:X36)</f>
        <v>11713.355909531894</v>
      </c>
      <c r="D10" s="12"/>
      <c r="F10" s="3"/>
      <c r="I10" s="12"/>
      <c r="J10" s="1"/>
      <c r="L10" s="56" t="s">
        <v>32</v>
      </c>
      <c r="M10" s="60">
        <v>350</v>
      </c>
      <c r="T10" s="12"/>
    </row>
    <row r="11" spans="1:20" x14ac:dyDescent="0.2">
      <c r="A11" s="42" t="s">
        <v>44</v>
      </c>
      <c r="B11" s="39">
        <v>0.3</v>
      </c>
      <c r="C11" s="40"/>
      <c r="F11" s="3"/>
      <c r="I11" s="12"/>
      <c r="J11" s="1"/>
      <c r="L11" s="56" t="s">
        <v>34</v>
      </c>
      <c r="M11" s="60">
        <v>335</v>
      </c>
      <c r="T11" s="12"/>
    </row>
    <row r="12" spans="1:20" x14ac:dyDescent="0.2">
      <c r="A12" s="42" t="s">
        <v>10</v>
      </c>
      <c r="B12" s="41"/>
      <c r="C12" s="40"/>
      <c r="F12" s="3"/>
      <c r="I12" s="12"/>
      <c r="J12" s="1"/>
      <c r="L12" s="56" t="s">
        <v>36</v>
      </c>
      <c r="M12" s="60">
        <v>322</v>
      </c>
      <c r="T12" s="12"/>
    </row>
    <row r="13" spans="1:20" x14ac:dyDescent="0.2">
      <c r="A13" s="42" t="s">
        <v>66</v>
      </c>
      <c r="B13" s="39">
        <v>0.08</v>
      </c>
      <c r="C13" s="40"/>
      <c r="D13" s="12"/>
      <c r="I13" s="12"/>
      <c r="J13" s="1"/>
      <c r="L13" s="56" t="s">
        <v>38</v>
      </c>
      <c r="M13" s="60">
        <v>285</v>
      </c>
      <c r="T13" s="12"/>
    </row>
    <row r="14" spans="1:20" x14ac:dyDescent="0.2">
      <c r="A14" s="42" t="s">
        <v>67</v>
      </c>
      <c r="B14" s="58">
        <v>0</v>
      </c>
      <c r="C14" s="40"/>
      <c r="D14" s="12"/>
      <c r="I14" s="12"/>
      <c r="J14" s="1"/>
      <c r="T14" s="12"/>
    </row>
    <row r="15" spans="1:20" x14ac:dyDescent="0.2">
      <c r="A15" s="1"/>
      <c r="B15" s="1"/>
      <c r="C15" s="2"/>
      <c r="D15" s="12"/>
      <c r="I15" s="12"/>
      <c r="J15" s="1"/>
      <c r="T15" s="12"/>
    </row>
    <row r="16" spans="1:20" x14ac:dyDescent="0.2">
      <c r="A16" s="36" t="s">
        <v>40</v>
      </c>
      <c r="B16" s="34"/>
      <c r="C16" s="34"/>
      <c r="D16" s="12"/>
      <c r="I16" s="12"/>
      <c r="J16" s="1"/>
      <c r="T16" s="12"/>
    </row>
    <row r="17" spans="1:29" x14ac:dyDescent="0.2">
      <c r="A17" s="36" t="s">
        <v>60</v>
      </c>
      <c r="B17" s="49"/>
      <c r="C17" s="34" t="s">
        <v>63</v>
      </c>
      <c r="D17" s="12"/>
      <c r="I17" s="12"/>
      <c r="J17" s="1"/>
      <c r="T17" s="12"/>
    </row>
    <row r="18" spans="1:29" x14ac:dyDescent="0.2">
      <c r="A18" s="36">
        <v>30</v>
      </c>
      <c r="B18" s="49"/>
      <c r="C18" s="34" t="s">
        <v>64</v>
      </c>
      <c r="D18" s="31"/>
      <c r="E18" s="31"/>
      <c r="F18" s="31"/>
      <c r="J18" s="1"/>
      <c r="K18" s="1"/>
      <c r="L18" s="1"/>
      <c r="M18" s="2"/>
      <c r="N18" s="12"/>
      <c r="S18" s="12"/>
      <c r="T18" s="12"/>
    </row>
    <row r="19" spans="1:29" x14ac:dyDescent="0.2">
      <c r="A19" s="14"/>
      <c r="B19" s="31"/>
      <c r="C19" s="31"/>
      <c r="D19" s="31"/>
      <c r="E19" s="31"/>
      <c r="F19" s="31"/>
      <c r="J19" s="1"/>
      <c r="K19" s="1"/>
      <c r="L19" s="1"/>
      <c r="M19" s="2"/>
      <c r="N19" s="12"/>
      <c r="S19" s="12"/>
      <c r="T19" s="12"/>
    </row>
    <row r="20" spans="1:29" x14ac:dyDescent="0.2">
      <c r="A20" s="14"/>
      <c r="B20" s="31"/>
      <c r="C20" s="31"/>
      <c r="D20" s="31"/>
      <c r="E20" s="31"/>
      <c r="F20" s="31"/>
      <c r="J20" s="1"/>
      <c r="K20" s="1"/>
      <c r="L20" s="1"/>
      <c r="M20" s="2"/>
      <c r="N20" s="12"/>
      <c r="S20" s="12"/>
      <c r="T20" s="12"/>
    </row>
    <row r="21" spans="1:29" x14ac:dyDescent="0.2">
      <c r="A21" s="14"/>
      <c r="B21" s="31"/>
      <c r="C21" s="31"/>
      <c r="D21" s="31"/>
      <c r="E21" s="31"/>
      <c r="F21" s="31"/>
      <c r="J21" s="1"/>
      <c r="K21" s="1"/>
      <c r="L21" s="1"/>
      <c r="M21" s="2"/>
      <c r="N21" s="12"/>
      <c r="S21" s="12"/>
      <c r="T21" s="12"/>
    </row>
    <row r="22" spans="1:29" x14ac:dyDescent="0.2">
      <c r="A22" s="14"/>
      <c r="B22" s="31"/>
      <c r="C22" s="31"/>
      <c r="D22" s="31"/>
      <c r="E22" s="31"/>
      <c r="F22" s="31"/>
      <c r="J22" s="1"/>
      <c r="K22" s="1"/>
      <c r="L22" s="1"/>
      <c r="M22" s="2"/>
      <c r="N22" s="12"/>
      <c r="S22" s="12"/>
      <c r="T22" s="12"/>
    </row>
    <row r="23" spans="1:29" x14ac:dyDescent="0.2">
      <c r="A23" s="13"/>
      <c r="B23" s="13"/>
      <c r="C23" s="28"/>
      <c r="D23" s="28"/>
      <c r="E23" s="28"/>
      <c r="F23" s="28"/>
      <c r="J23" s="1"/>
      <c r="K23" s="1"/>
      <c r="L23" s="1"/>
      <c r="O23" s="29"/>
      <c r="P23" s="29"/>
      <c r="Q23" s="29"/>
      <c r="R23" s="29"/>
      <c r="S23" s="4"/>
      <c r="U23" s="29"/>
      <c r="V23" s="29"/>
      <c r="W23" s="29"/>
      <c r="X23" s="30"/>
      <c r="Y23" s="30"/>
    </row>
    <row r="24" spans="1:29" s="27" customFormat="1" ht="25.5" x14ac:dyDescent="0.2">
      <c r="A24" s="27" t="s">
        <v>53</v>
      </c>
      <c r="B24" s="27" t="s">
        <v>62</v>
      </c>
      <c r="C24" s="27" t="s">
        <v>57</v>
      </c>
      <c r="D24" s="27" t="s">
        <v>54</v>
      </c>
      <c r="E24" s="27" t="s">
        <v>56</v>
      </c>
      <c r="F24" s="27" t="s">
        <v>55</v>
      </c>
      <c r="G24" s="27" t="s">
        <v>65</v>
      </c>
      <c r="H24" s="27" t="s">
        <v>58</v>
      </c>
      <c r="I24" s="27" t="s">
        <v>52</v>
      </c>
      <c r="J24" s="27" t="s">
        <v>59</v>
      </c>
      <c r="K24" s="27" t="s">
        <v>41</v>
      </c>
      <c r="L24" s="27" t="s">
        <v>5</v>
      </c>
      <c r="M24" s="27" t="s">
        <v>11</v>
      </c>
      <c r="N24" s="27" t="s">
        <v>12</v>
      </c>
      <c r="O24" s="27" t="s">
        <v>44</v>
      </c>
      <c r="P24" s="27" t="s">
        <v>46</v>
      </c>
      <c r="Q24" s="27" t="s">
        <v>48</v>
      </c>
      <c r="R24" s="27" t="s">
        <v>49</v>
      </c>
      <c r="S24" s="27" t="s">
        <v>50</v>
      </c>
      <c r="T24" s="27" t="s">
        <v>51</v>
      </c>
      <c r="U24" s="27" t="s">
        <v>45</v>
      </c>
      <c r="V24" s="27" t="s">
        <v>13</v>
      </c>
      <c r="W24" s="27" t="s">
        <v>14</v>
      </c>
      <c r="X24" s="27" t="s">
        <v>42</v>
      </c>
      <c r="Y24" s="27" t="s">
        <v>43</v>
      </c>
      <c r="Z24" s="27" t="s">
        <v>39</v>
      </c>
      <c r="AA24" s="27" t="s">
        <v>40</v>
      </c>
      <c r="AC24" s="47">
        <f>-B12</f>
        <v>0</v>
      </c>
    </row>
    <row r="25" spans="1:29" s="14" customFormat="1" x14ac:dyDescent="0.2">
      <c r="A25" s="14" t="s">
        <v>15</v>
      </c>
      <c r="B25" s="14">
        <v>30</v>
      </c>
      <c r="C25" s="15">
        <v>4.87</v>
      </c>
      <c r="D25" s="15">
        <v>5.4581782566111663</v>
      </c>
      <c r="E25" s="15">
        <v>6.01</v>
      </c>
      <c r="F25" s="57">
        <v>5.31</v>
      </c>
      <c r="G25" s="16">
        <f>(1-0%)</f>
        <v>1</v>
      </c>
      <c r="H25" s="14">
        <v>1</v>
      </c>
      <c r="I25" s="17">
        <f>$F$2*$B$2*H25*$G$3</f>
        <v>0.12214800000000001</v>
      </c>
      <c r="J25" s="14">
        <v>1</v>
      </c>
      <c r="K25" s="25">
        <v>1</v>
      </c>
      <c r="L25" s="18" t="s">
        <v>16</v>
      </c>
      <c r="M25" s="43">
        <f t="shared" ref="M25:M36" si="0">M2*$M$1</f>
        <v>836</v>
      </c>
      <c r="N25" s="43">
        <f t="shared" ref="N25:N88" si="1">B25*IF($A$6="Curitiba",D25,F25)*0.8*$B$9*G25</f>
        <v>1598.1545935357494</v>
      </c>
      <c r="O25" s="43">
        <f t="shared" ref="O25:O88" si="2">MIN($B$11*M25,N25)</f>
        <v>250.79999999999998</v>
      </c>
      <c r="P25" s="43">
        <f t="shared" ref="P25:P36" si="3">N25-O25</f>
        <v>1347.3545935357495</v>
      </c>
      <c r="Q25" s="43">
        <f t="shared" ref="Q25:Q36" si="4">M25-O25</f>
        <v>585.20000000000005</v>
      </c>
      <c r="R25" s="43">
        <f t="shared" ref="R25:R36" si="5">P25-Q25</f>
        <v>762.15459353574943</v>
      </c>
      <c r="S25" s="43">
        <f>MAX(0,R25)</f>
        <v>762.15459353574943</v>
      </c>
      <c r="T25" s="43">
        <f>Q25</f>
        <v>585.20000000000005</v>
      </c>
      <c r="U25" s="19">
        <f t="shared" ref="U25:U56" si="6">T25*I25</f>
        <v>71.481009600000007</v>
      </c>
      <c r="V25" s="20">
        <f t="shared" ref="V25:V88" si="7">IF(U25+((Q25-T25)*$B$2*H25)&lt;$B$5*$B$2*H25,$B$5*$B$2*H25,U25+((Q25-T25)*$B$2*H25))</f>
        <v>71.481009600000007</v>
      </c>
      <c r="W25" s="20">
        <f t="shared" ref="W25:W88" si="8">M25*$B$2*H25</f>
        <v>727.32</v>
      </c>
      <c r="X25" s="19">
        <f t="shared" ref="X25:X56" si="9">W25-V25</f>
        <v>655.83899040000006</v>
      </c>
      <c r="Y25" s="38">
        <f t="shared" ref="Y25:Y88" si="10">X25/W25</f>
        <v>0.90171999999999997</v>
      </c>
      <c r="Z25" s="37">
        <f>-B12+X25</f>
        <v>655.83899040000006</v>
      </c>
      <c r="AA25" s="44">
        <f>MAX(0,Z25)</f>
        <v>655.83899040000006</v>
      </c>
      <c r="AC25" s="48">
        <f>X25</f>
        <v>655.83899040000006</v>
      </c>
    </row>
    <row r="26" spans="1:29" s="14" customFormat="1" x14ac:dyDescent="0.2">
      <c r="A26" s="14" t="s">
        <v>17</v>
      </c>
      <c r="B26" s="14">
        <v>28</v>
      </c>
      <c r="C26" s="15">
        <v>4.75</v>
      </c>
      <c r="D26" s="15">
        <v>5.2254652301665043</v>
      </c>
      <c r="E26" s="15">
        <v>5.82</v>
      </c>
      <c r="F26" s="57">
        <v>5.28</v>
      </c>
      <c r="G26" s="16">
        <f t="shared" ref="G26:G36" si="11">(1-0%)</f>
        <v>1</v>
      </c>
      <c r="H26" s="14">
        <v>1</v>
      </c>
      <c r="I26" s="17">
        <f t="shared" ref="I26:I36" si="12">$F$2*$B$2*H26*$G$3</f>
        <v>0.12214800000000001</v>
      </c>
      <c r="J26" s="14">
        <f>J25+1</f>
        <v>2</v>
      </c>
      <c r="K26" s="25">
        <v>1</v>
      </c>
      <c r="L26" s="18" t="s">
        <v>18</v>
      </c>
      <c r="M26" s="43">
        <f t="shared" si="0"/>
        <v>1088</v>
      </c>
      <c r="N26" s="43">
        <f t="shared" si="1"/>
        <v>1428.0151380999023</v>
      </c>
      <c r="O26" s="43">
        <f t="shared" si="2"/>
        <v>326.39999999999998</v>
      </c>
      <c r="P26" s="43">
        <f t="shared" si="3"/>
        <v>1101.6151380999022</v>
      </c>
      <c r="Q26" s="43">
        <f t="shared" si="4"/>
        <v>761.6</v>
      </c>
      <c r="R26" s="43">
        <f t="shared" si="5"/>
        <v>340.01513809990217</v>
      </c>
      <c r="S26" s="43">
        <f t="shared" ref="S26:S89" si="13">MAX(0,S25+R26)</f>
        <v>1102.1697316356517</v>
      </c>
      <c r="T26" s="43">
        <f t="shared" ref="T26:T36" si="14">MIN(Q26,P26+S25)</f>
        <v>761.6</v>
      </c>
      <c r="U26" s="19">
        <f t="shared" si="6"/>
        <v>93.027916800000014</v>
      </c>
      <c r="V26" s="20">
        <f t="shared" si="7"/>
        <v>93.027916800000014</v>
      </c>
      <c r="W26" s="20">
        <f t="shared" si="8"/>
        <v>946.56</v>
      </c>
      <c r="X26" s="19">
        <f t="shared" si="9"/>
        <v>853.53208319999999</v>
      </c>
      <c r="Y26" s="38">
        <f t="shared" si="10"/>
        <v>0.90172000000000008</v>
      </c>
      <c r="Z26" s="37">
        <f t="shared" ref="Z26:Z89" si="15">Z25+X26</f>
        <v>1509.3710736</v>
      </c>
      <c r="AA26" s="44">
        <f t="shared" ref="AA26:AA89" si="16">IF(AND(Z26&gt;0,Z25&lt;0),J26,0)</f>
        <v>0</v>
      </c>
      <c r="AC26" s="48">
        <f t="shared" ref="AC26:AC89" si="17">X26</f>
        <v>853.53208319999999</v>
      </c>
    </row>
    <row r="27" spans="1:29" s="14" customFormat="1" x14ac:dyDescent="0.2">
      <c r="A27" s="14" t="s">
        <v>19</v>
      </c>
      <c r="B27" s="14">
        <v>31</v>
      </c>
      <c r="C27" s="15">
        <v>4.21</v>
      </c>
      <c r="D27" s="15">
        <v>4.7494613124387861</v>
      </c>
      <c r="E27" s="15">
        <v>5.43</v>
      </c>
      <c r="F27" s="57">
        <v>5.14</v>
      </c>
      <c r="G27" s="16">
        <f t="shared" si="11"/>
        <v>1</v>
      </c>
      <c r="H27" s="14">
        <v>1</v>
      </c>
      <c r="I27" s="17">
        <f t="shared" si="12"/>
        <v>0.12214800000000001</v>
      </c>
      <c r="J27" s="14">
        <f t="shared" ref="J27:J90" si="18">J26+1</f>
        <v>3</v>
      </c>
      <c r="K27" s="25">
        <v>1</v>
      </c>
      <c r="L27" s="18" t="s">
        <v>20</v>
      </c>
      <c r="M27" s="43">
        <f t="shared" si="0"/>
        <v>1152</v>
      </c>
      <c r="N27" s="43">
        <f t="shared" si="1"/>
        <v>1436.9970146914791</v>
      </c>
      <c r="O27" s="43">
        <f t="shared" si="2"/>
        <v>345.59999999999997</v>
      </c>
      <c r="P27" s="43">
        <f t="shared" si="3"/>
        <v>1091.3970146914792</v>
      </c>
      <c r="Q27" s="43">
        <f t="shared" si="4"/>
        <v>806.40000000000009</v>
      </c>
      <c r="R27" s="43">
        <f t="shared" si="5"/>
        <v>284.99701469147908</v>
      </c>
      <c r="S27" s="43">
        <f t="shared" si="13"/>
        <v>1387.1667463271308</v>
      </c>
      <c r="T27" s="43">
        <f t="shared" si="14"/>
        <v>806.40000000000009</v>
      </c>
      <c r="U27" s="19">
        <f t="shared" si="6"/>
        <v>98.500147200000015</v>
      </c>
      <c r="V27" s="20">
        <f t="shared" si="7"/>
        <v>98.500147200000015</v>
      </c>
      <c r="W27" s="20">
        <f t="shared" si="8"/>
        <v>1002.24</v>
      </c>
      <c r="X27" s="19">
        <f t="shared" si="9"/>
        <v>903.73985279999999</v>
      </c>
      <c r="Y27" s="38">
        <f t="shared" si="10"/>
        <v>0.90171999999999997</v>
      </c>
      <c r="Z27" s="37">
        <f t="shared" si="15"/>
        <v>2413.1109264000002</v>
      </c>
      <c r="AA27" s="44">
        <f t="shared" si="16"/>
        <v>0</v>
      </c>
      <c r="AC27" s="48">
        <f t="shared" si="17"/>
        <v>903.73985279999999</v>
      </c>
    </row>
    <row r="28" spans="1:29" s="14" customFormat="1" x14ac:dyDescent="0.2">
      <c r="A28" s="14" t="s">
        <v>21</v>
      </c>
      <c r="B28" s="14">
        <v>30</v>
      </c>
      <c r="C28" s="15">
        <v>3.59</v>
      </c>
      <c r="D28" s="15">
        <v>4.1465230166503426</v>
      </c>
      <c r="E28" s="15">
        <v>4.91</v>
      </c>
      <c r="F28" s="57">
        <v>4.97</v>
      </c>
      <c r="G28" s="16">
        <f t="shared" si="11"/>
        <v>1</v>
      </c>
      <c r="H28" s="14">
        <v>1</v>
      </c>
      <c r="I28" s="17">
        <f t="shared" si="12"/>
        <v>0.12214800000000001</v>
      </c>
      <c r="J28" s="14">
        <f t="shared" si="18"/>
        <v>4</v>
      </c>
      <c r="K28" s="25">
        <v>1</v>
      </c>
      <c r="L28" s="18" t="s">
        <v>22</v>
      </c>
      <c r="M28" s="43">
        <f t="shared" si="0"/>
        <v>1000</v>
      </c>
      <c r="N28" s="43">
        <f t="shared" si="1"/>
        <v>1214.1019392752203</v>
      </c>
      <c r="O28" s="43">
        <f t="shared" si="2"/>
        <v>300</v>
      </c>
      <c r="P28" s="43">
        <f t="shared" si="3"/>
        <v>914.10193927522027</v>
      </c>
      <c r="Q28" s="43">
        <f t="shared" si="4"/>
        <v>700</v>
      </c>
      <c r="R28" s="43">
        <f t="shared" si="5"/>
        <v>214.10193927522027</v>
      </c>
      <c r="S28" s="43">
        <f t="shared" si="13"/>
        <v>1601.2686856023511</v>
      </c>
      <c r="T28" s="43">
        <f t="shared" si="14"/>
        <v>700</v>
      </c>
      <c r="U28" s="19">
        <f t="shared" si="6"/>
        <v>85.503600000000006</v>
      </c>
      <c r="V28" s="20">
        <f t="shared" si="7"/>
        <v>85.503600000000006</v>
      </c>
      <c r="W28" s="20">
        <f t="shared" si="8"/>
        <v>870</v>
      </c>
      <c r="X28" s="19">
        <f t="shared" si="9"/>
        <v>784.49639999999999</v>
      </c>
      <c r="Y28" s="38">
        <f t="shared" si="10"/>
        <v>0.90171999999999997</v>
      </c>
      <c r="Z28" s="37">
        <f t="shared" si="15"/>
        <v>3197.6073264000001</v>
      </c>
      <c r="AA28" s="44">
        <f t="shared" si="16"/>
        <v>0</v>
      </c>
      <c r="AC28" s="48">
        <f t="shared" si="17"/>
        <v>784.49639999999999</v>
      </c>
    </row>
    <row r="29" spans="1:29" s="14" customFormat="1" x14ac:dyDescent="0.2">
      <c r="A29" s="14" t="s">
        <v>23</v>
      </c>
      <c r="B29" s="14">
        <v>31</v>
      </c>
      <c r="C29" s="15">
        <v>2.98</v>
      </c>
      <c r="D29" s="15">
        <v>3.3849167482859945</v>
      </c>
      <c r="E29" s="15">
        <v>4.25</v>
      </c>
      <c r="F29" s="57">
        <v>4.66</v>
      </c>
      <c r="G29" s="16">
        <f t="shared" si="11"/>
        <v>1</v>
      </c>
      <c r="H29" s="14">
        <v>1</v>
      </c>
      <c r="I29" s="17">
        <f t="shared" si="12"/>
        <v>0.12214800000000001</v>
      </c>
      <c r="J29" s="14">
        <f t="shared" si="18"/>
        <v>5</v>
      </c>
      <c r="K29" s="25">
        <v>1</v>
      </c>
      <c r="L29" s="18" t="s">
        <v>24</v>
      </c>
      <c r="M29" s="43">
        <f t="shared" si="0"/>
        <v>1396</v>
      </c>
      <c r="N29" s="43">
        <f t="shared" si="1"/>
        <v>1024.1404113614105</v>
      </c>
      <c r="O29" s="43">
        <f t="shared" si="2"/>
        <v>418.8</v>
      </c>
      <c r="P29" s="43">
        <f t="shared" si="3"/>
        <v>605.34041136141059</v>
      </c>
      <c r="Q29" s="43">
        <f t="shared" si="4"/>
        <v>977.2</v>
      </c>
      <c r="R29" s="43">
        <f t="shared" si="5"/>
        <v>-371.85958863858946</v>
      </c>
      <c r="S29" s="43">
        <f t="shared" si="13"/>
        <v>1229.4090969637616</v>
      </c>
      <c r="T29" s="43">
        <f t="shared" si="14"/>
        <v>977.2</v>
      </c>
      <c r="U29" s="19">
        <f t="shared" si="6"/>
        <v>119.36302560000001</v>
      </c>
      <c r="V29" s="20">
        <f t="shared" si="7"/>
        <v>119.36302560000001</v>
      </c>
      <c r="W29" s="20">
        <f t="shared" si="8"/>
        <v>1214.52</v>
      </c>
      <c r="X29" s="19">
        <f t="shared" si="9"/>
        <v>1095.1569743999999</v>
      </c>
      <c r="Y29" s="38">
        <f t="shared" si="10"/>
        <v>0.90171999999999985</v>
      </c>
      <c r="Z29" s="37">
        <f t="shared" si="15"/>
        <v>4292.7643007999995</v>
      </c>
      <c r="AA29" s="44">
        <f t="shared" si="16"/>
        <v>0</v>
      </c>
      <c r="AC29" s="48">
        <f t="shared" si="17"/>
        <v>1095.1569743999999</v>
      </c>
    </row>
    <row r="30" spans="1:29" s="14" customFormat="1" x14ac:dyDescent="0.2">
      <c r="A30" s="14" t="s">
        <v>25</v>
      </c>
      <c r="B30" s="14">
        <v>30</v>
      </c>
      <c r="C30" s="15">
        <v>2.74</v>
      </c>
      <c r="D30" s="15">
        <v>3.1945151811949071</v>
      </c>
      <c r="E30" s="15">
        <v>3.92</v>
      </c>
      <c r="F30" s="57">
        <v>4.47</v>
      </c>
      <c r="G30" s="16">
        <f t="shared" si="11"/>
        <v>1</v>
      </c>
      <c r="H30" s="14">
        <v>1</v>
      </c>
      <c r="I30" s="17">
        <f t="shared" si="12"/>
        <v>0.12214800000000001</v>
      </c>
      <c r="J30" s="14">
        <f t="shared" si="18"/>
        <v>6</v>
      </c>
      <c r="K30" s="25">
        <v>1</v>
      </c>
      <c r="L30" s="18" t="s">
        <v>26</v>
      </c>
      <c r="M30" s="43">
        <f t="shared" si="0"/>
        <v>1428</v>
      </c>
      <c r="N30" s="43">
        <f t="shared" si="1"/>
        <v>935.35404505386873</v>
      </c>
      <c r="O30" s="43">
        <f t="shared" si="2"/>
        <v>428.4</v>
      </c>
      <c r="P30" s="43">
        <f t="shared" si="3"/>
        <v>506.95404505386875</v>
      </c>
      <c r="Q30" s="43">
        <f t="shared" si="4"/>
        <v>999.6</v>
      </c>
      <c r="R30" s="43">
        <f t="shared" si="5"/>
        <v>-492.64595494613127</v>
      </c>
      <c r="S30" s="43">
        <f t="shared" si="13"/>
        <v>736.76314201763034</v>
      </c>
      <c r="T30" s="43">
        <f t="shared" si="14"/>
        <v>999.6</v>
      </c>
      <c r="U30" s="19">
        <f t="shared" si="6"/>
        <v>122.09914080000001</v>
      </c>
      <c r="V30" s="20">
        <f t="shared" si="7"/>
        <v>122.09914080000001</v>
      </c>
      <c r="W30" s="20">
        <f t="shared" si="8"/>
        <v>1242.3599999999999</v>
      </c>
      <c r="X30" s="19">
        <f t="shared" si="9"/>
        <v>1120.2608591999999</v>
      </c>
      <c r="Y30" s="38">
        <f t="shared" si="10"/>
        <v>0.90171999999999997</v>
      </c>
      <c r="Z30" s="37">
        <f t="shared" si="15"/>
        <v>5413.0251599999992</v>
      </c>
      <c r="AA30" s="44">
        <f t="shared" si="16"/>
        <v>0</v>
      </c>
      <c r="AC30" s="48">
        <f t="shared" si="17"/>
        <v>1120.2608591999999</v>
      </c>
    </row>
    <row r="31" spans="1:29" s="14" customFormat="1" x14ac:dyDescent="0.2">
      <c r="A31" s="14" t="s">
        <v>27</v>
      </c>
      <c r="B31" s="14">
        <v>31</v>
      </c>
      <c r="C31" s="15">
        <v>2.91</v>
      </c>
      <c r="D31" s="15">
        <v>3.4272282076395695</v>
      </c>
      <c r="E31" s="15">
        <v>4.18</v>
      </c>
      <c r="F31" s="57">
        <v>4.74</v>
      </c>
      <c r="G31" s="16">
        <f t="shared" si="11"/>
        <v>1</v>
      </c>
      <c r="H31" s="14">
        <v>1</v>
      </c>
      <c r="I31" s="17">
        <f t="shared" si="12"/>
        <v>0.12214800000000001</v>
      </c>
      <c r="J31" s="14">
        <f t="shared" si="18"/>
        <v>7</v>
      </c>
      <c r="K31" s="25">
        <v>1</v>
      </c>
      <c r="L31" s="18" t="s">
        <v>28</v>
      </c>
      <c r="M31" s="43">
        <f t="shared" si="0"/>
        <v>1392</v>
      </c>
      <c r="N31" s="43">
        <f t="shared" si="1"/>
        <v>1036.9421665034281</v>
      </c>
      <c r="O31" s="43">
        <f t="shared" si="2"/>
        <v>417.59999999999997</v>
      </c>
      <c r="P31" s="43">
        <f t="shared" si="3"/>
        <v>619.34216650342819</v>
      </c>
      <c r="Q31" s="43">
        <f t="shared" si="4"/>
        <v>974.40000000000009</v>
      </c>
      <c r="R31" s="43">
        <f t="shared" si="5"/>
        <v>-355.0578334965719</v>
      </c>
      <c r="S31" s="43">
        <f t="shared" si="13"/>
        <v>381.70530852105844</v>
      </c>
      <c r="T31" s="43">
        <f t="shared" si="14"/>
        <v>974.40000000000009</v>
      </c>
      <c r="U31" s="19">
        <f t="shared" si="6"/>
        <v>119.02101120000002</v>
      </c>
      <c r="V31" s="20">
        <f t="shared" si="7"/>
        <v>119.02101120000002</v>
      </c>
      <c r="W31" s="20">
        <f t="shared" si="8"/>
        <v>1211.04</v>
      </c>
      <c r="X31" s="19">
        <f t="shared" si="9"/>
        <v>1092.0189888</v>
      </c>
      <c r="Y31" s="38">
        <f t="shared" si="10"/>
        <v>0.90171999999999997</v>
      </c>
      <c r="Z31" s="37">
        <f t="shared" si="15"/>
        <v>6505.0441487999997</v>
      </c>
      <c r="AA31" s="44">
        <f t="shared" si="16"/>
        <v>0</v>
      </c>
      <c r="AC31" s="48">
        <f t="shared" si="17"/>
        <v>1092.0189888</v>
      </c>
    </row>
    <row r="32" spans="1:29" s="14" customFormat="1" x14ac:dyDescent="0.2">
      <c r="A32" s="14" t="s">
        <v>29</v>
      </c>
      <c r="B32" s="14">
        <v>31</v>
      </c>
      <c r="C32" s="15">
        <v>3.45</v>
      </c>
      <c r="D32" s="15">
        <v>4.1147894221351615</v>
      </c>
      <c r="E32" s="15">
        <v>4.83</v>
      </c>
      <c r="F32" s="57">
        <v>5.21</v>
      </c>
      <c r="G32" s="16">
        <f t="shared" si="11"/>
        <v>1</v>
      </c>
      <c r="H32" s="14">
        <v>1</v>
      </c>
      <c r="I32" s="17">
        <f t="shared" si="12"/>
        <v>0.12214800000000001</v>
      </c>
      <c r="J32" s="14">
        <f t="shared" si="18"/>
        <v>8</v>
      </c>
      <c r="K32" s="25">
        <v>1</v>
      </c>
      <c r="L32" s="18" t="s">
        <v>30</v>
      </c>
      <c r="M32" s="43">
        <f t="shared" si="0"/>
        <v>1520</v>
      </c>
      <c r="N32" s="43">
        <f t="shared" si="1"/>
        <v>1244.9706875612146</v>
      </c>
      <c r="O32" s="43">
        <f t="shared" si="2"/>
        <v>456</v>
      </c>
      <c r="P32" s="43">
        <f t="shared" si="3"/>
        <v>788.97068756121462</v>
      </c>
      <c r="Q32" s="43">
        <f t="shared" si="4"/>
        <v>1064</v>
      </c>
      <c r="R32" s="43">
        <f t="shared" si="5"/>
        <v>-275.02931243878538</v>
      </c>
      <c r="S32" s="43">
        <f t="shared" si="13"/>
        <v>106.67599608227306</v>
      </c>
      <c r="T32" s="43">
        <f t="shared" si="14"/>
        <v>1064</v>
      </c>
      <c r="U32" s="19">
        <f t="shared" si="6"/>
        <v>129.96547200000001</v>
      </c>
      <c r="V32" s="20">
        <f t="shared" si="7"/>
        <v>129.96547200000001</v>
      </c>
      <c r="W32" s="20">
        <f t="shared" si="8"/>
        <v>1322.4</v>
      </c>
      <c r="X32" s="19">
        <f t="shared" si="9"/>
        <v>1192.434528</v>
      </c>
      <c r="Y32" s="38">
        <f t="shared" si="10"/>
        <v>0.90171999999999997</v>
      </c>
      <c r="Z32" s="37">
        <f t="shared" si="15"/>
        <v>7697.4786767999994</v>
      </c>
      <c r="AA32" s="44">
        <f t="shared" si="16"/>
        <v>0</v>
      </c>
      <c r="AC32" s="48">
        <f t="shared" si="17"/>
        <v>1192.434528</v>
      </c>
    </row>
    <row r="33" spans="1:32" s="14" customFormat="1" x14ac:dyDescent="0.2">
      <c r="A33" s="14" t="s">
        <v>31</v>
      </c>
      <c r="B33" s="14">
        <v>30</v>
      </c>
      <c r="C33" s="15">
        <v>3.82</v>
      </c>
      <c r="D33" s="15">
        <v>4.2417238001958868</v>
      </c>
      <c r="E33" s="15">
        <v>5.12</v>
      </c>
      <c r="F33" s="57">
        <v>5.1100000000000003</v>
      </c>
      <c r="G33" s="16">
        <f t="shared" si="11"/>
        <v>1</v>
      </c>
      <c r="H33" s="14">
        <v>1</v>
      </c>
      <c r="I33" s="17">
        <f t="shared" si="12"/>
        <v>0.12214800000000001</v>
      </c>
      <c r="J33" s="14">
        <f t="shared" si="18"/>
        <v>9</v>
      </c>
      <c r="K33" s="25">
        <v>1</v>
      </c>
      <c r="L33" s="18" t="s">
        <v>32</v>
      </c>
      <c r="M33" s="43">
        <f t="shared" si="0"/>
        <v>1400</v>
      </c>
      <c r="N33" s="43">
        <f t="shared" si="1"/>
        <v>1241.9767286973558</v>
      </c>
      <c r="O33" s="43">
        <f t="shared" si="2"/>
        <v>420</v>
      </c>
      <c r="P33" s="43">
        <f t="shared" si="3"/>
        <v>821.97672869735584</v>
      </c>
      <c r="Q33" s="43">
        <f t="shared" si="4"/>
        <v>980</v>
      </c>
      <c r="R33" s="43">
        <f t="shared" si="5"/>
        <v>-158.02327130264416</v>
      </c>
      <c r="S33" s="43">
        <f t="shared" si="13"/>
        <v>0</v>
      </c>
      <c r="T33" s="43">
        <f t="shared" si="14"/>
        <v>928.6527247796289</v>
      </c>
      <c r="U33" s="19">
        <f t="shared" si="6"/>
        <v>113.43307302638212</v>
      </c>
      <c r="V33" s="20">
        <f t="shared" si="7"/>
        <v>158.10520246810498</v>
      </c>
      <c r="W33" s="20">
        <f t="shared" si="8"/>
        <v>1218</v>
      </c>
      <c r="X33" s="19">
        <f t="shared" si="9"/>
        <v>1059.8947975318949</v>
      </c>
      <c r="Y33" s="38">
        <f t="shared" si="10"/>
        <v>0.87019277301469211</v>
      </c>
      <c r="Z33" s="37">
        <f t="shared" si="15"/>
        <v>8757.3734743318946</v>
      </c>
      <c r="AA33" s="44">
        <f t="shared" si="16"/>
        <v>0</v>
      </c>
      <c r="AC33" s="48">
        <f t="shared" si="17"/>
        <v>1059.8947975318949</v>
      </c>
    </row>
    <row r="34" spans="1:32" s="14" customFormat="1" x14ac:dyDescent="0.2">
      <c r="A34" s="14" t="s">
        <v>33</v>
      </c>
      <c r="B34" s="14">
        <v>31</v>
      </c>
      <c r="C34" s="15">
        <v>4.33</v>
      </c>
      <c r="D34" s="15">
        <v>4.8763956904995114</v>
      </c>
      <c r="E34" s="15">
        <v>5.57</v>
      </c>
      <c r="F34" s="57">
        <v>5.17</v>
      </c>
      <c r="G34" s="16">
        <f t="shared" si="11"/>
        <v>1</v>
      </c>
      <c r="H34" s="14">
        <v>1</v>
      </c>
      <c r="I34" s="17">
        <f t="shared" si="12"/>
        <v>0.12214800000000001</v>
      </c>
      <c r="J34" s="14">
        <f t="shared" si="18"/>
        <v>10</v>
      </c>
      <c r="K34" s="25">
        <v>1</v>
      </c>
      <c r="L34" s="18" t="s">
        <v>34</v>
      </c>
      <c r="M34" s="43">
        <f t="shared" si="0"/>
        <v>1340</v>
      </c>
      <c r="N34" s="43">
        <f t="shared" si="1"/>
        <v>1475.402280117532</v>
      </c>
      <c r="O34" s="43">
        <f t="shared" si="2"/>
        <v>402</v>
      </c>
      <c r="P34" s="43">
        <f t="shared" si="3"/>
        <v>1073.402280117532</v>
      </c>
      <c r="Q34" s="43">
        <f t="shared" si="4"/>
        <v>938</v>
      </c>
      <c r="R34" s="43">
        <f t="shared" si="5"/>
        <v>135.40228011753197</v>
      </c>
      <c r="S34" s="43">
        <f t="shared" si="13"/>
        <v>135.40228011753197</v>
      </c>
      <c r="T34" s="43">
        <f t="shared" si="14"/>
        <v>938</v>
      </c>
      <c r="U34" s="19">
        <f t="shared" si="6"/>
        <v>114.57482400000001</v>
      </c>
      <c r="V34" s="20">
        <f t="shared" si="7"/>
        <v>114.57482400000001</v>
      </c>
      <c r="W34" s="20">
        <f t="shared" si="8"/>
        <v>1165.8</v>
      </c>
      <c r="X34" s="19">
        <f t="shared" si="9"/>
        <v>1051.2251759999999</v>
      </c>
      <c r="Y34" s="38">
        <f t="shared" si="10"/>
        <v>0.90171999999999997</v>
      </c>
      <c r="Z34" s="37">
        <f t="shared" si="15"/>
        <v>9808.5986503318945</v>
      </c>
      <c r="AA34" s="44">
        <f t="shared" si="16"/>
        <v>0</v>
      </c>
      <c r="AC34" s="48">
        <f t="shared" si="17"/>
        <v>1051.2251759999999</v>
      </c>
    </row>
    <row r="35" spans="1:32" s="14" customFormat="1" x14ac:dyDescent="0.2">
      <c r="A35" s="14" t="s">
        <v>35</v>
      </c>
      <c r="B35" s="14">
        <v>30</v>
      </c>
      <c r="C35" s="15">
        <v>4.68</v>
      </c>
      <c r="D35" s="15">
        <v>5.5745347698334964</v>
      </c>
      <c r="E35" s="15">
        <v>5.89</v>
      </c>
      <c r="F35" s="57">
        <v>5.23</v>
      </c>
      <c r="G35" s="16">
        <f t="shared" si="11"/>
        <v>1</v>
      </c>
      <c r="H35" s="14">
        <v>1</v>
      </c>
      <c r="I35" s="17">
        <f t="shared" si="12"/>
        <v>0.12214800000000001</v>
      </c>
      <c r="J35" s="14">
        <f t="shared" si="18"/>
        <v>11</v>
      </c>
      <c r="K35" s="25">
        <v>1</v>
      </c>
      <c r="L35" s="18" t="s">
        <v>36</v>
      </c>
      <c r="M35" s="43">
        <f t="shared" si="0"/>
        <v>1288</v>
      </c>
      <c r="N35" s="43">
        <f t="shared" si="1"/>
        <v>1632.2237806072478</v>
      </c>
      <c r="O35" s="43">
        <f t="shared" si="2"/>
        <v>386.4</v>
      </c>
      <c r="P35" s="43">
        <f t="shared" si="3"/>
        <v>1245.823780607248</v>
      </c>
      <c r="Q35" s="43">
        <f t="shared" si="4"/>
        <v>901.6</v>
      </c>
      <c r="R35" s="43">
        <f t="shared" si="5"/>
        <v>344.22378060724793</v>
      </c>
      <c r="S35" s="43">
        <f t="shared" si="13"/>
        <v>479.6260607247799</v>
      </c>
      <c r="T35" s="43">
        <f t="shared" si="14"/>
        <v>901.6</v>
      </c>
      <c r="U35" s="19">
        <f t="shared" si="6"/>
        <v>110.12863680000001</v>
      </c>
      <c r="V35" s="20">
        <f t="shared" si="7"/>
        <v>110.12863680000001</v>
      </c>
      <c r="W35" s="20">
        <f t="shared" si="8"/>
        <v>1120.56</v>
      </c>
      <c r="X35" s="19">
        <f t="shared" si="9"/>
        <v>1010.4313632</v>
      </c>
      <c r="Y35" s="38">
        <f t="shared" si="10"/>
        <v>0.90171999999999997</v>
      </c>
      <c r="Z35" s="37">
        <f t="shared" si="15"/>
        <v>10819.030013531894</v>
      </c>
      <c r="AA35" s="44">
        <f t="shared" si="16"/>
        <v>0</v>
      </c>
      <c r="AC35" s="48">
        <f t="shared" si="17"/>
        <v>1010.4313632</v>
      </c>
    </row>
    <row r="36" spans="1:32" s="14" customFormat="1" x14ac:dyDescent="0.2">
      <c r="A36" s="14" t="s">
        <v>37</v>
      </c>
      <c r="B36" s="14">
        <v>31</v>
      </c>
      <c r="C36" s="15">
        <v>4.8499999999999996</v>
      </c>
      <c r="D36" s="15">
        <v>5.6062683643486775</v>
      </c>
      <c r="E36" s="15">
        <v>6.05</v>
      </c>
      <c r="F36" s="57">
        <v>5.29</v>
      </c>
      <c r="G36" s="16">
        <f t="shared" si="11"/>
        <v>1</v>
      </c>
      <c r="H36" s="14">
        <v>1</v>
      </c>
      <c r="I36" s="17">
        <f t="shared" si="12"/>
        <v>0.12214800000000001</v>
      </c>
      <c r="J36" s="14">
        <f t="shared" si="18"/>
        <v>12</v>
      </c>
      <c r="K36" s="25">
        <v>1</v>
      </c>
      <c r="L36" s="18" t="s">
        <v>38</v>
      </c>
      <c r="M36" s="43">
        <f t="shared" si="0"/>
        <v>1140</v>
      </c>
      <c r="N36" s="43">
        <f t="shared" si="1"/>
        <v>1696.2325563173358</v>
      </c>
      <c r="O36" s="43">
        <f t="shared" si="2"/>
        <v>342</v>
      </c>
      <c r="P36" s="43">
        <f t="shared" si="3"/>
        <v>1354.2325563173358</v>
      </c>
      <c r="Q36" s="43">
        <f t="shared" si="4"/>
        <v>798</v>
      </c>
      <c r="R36" s="43">
        <f t="shared" si="5"/>
        <v>556.23255631733582</v>
      </c>
      <c r="S36" s="43">
        <f t="shared" si="13"/>
        <v>1035.8586170421158</v>
      </c>
      <c r="T36" s="43">
        <f t="shared" si="14"/>
        <v>798</v>
      </c>
      <c r="U36" s="19">
        <f t="shared" si="6"/>
        <v>97.474104000000011</v>
      </c>
      <c r="V36" s="20">
        <f t="shared" si="7"/>
        <v>97.474104000000011</v>
      </c>
      <c r="W36" s="20">
        <f t="shared" si="8"/>
        <v>991.8</v>
      </c>
      <c r="X36" s="19">
        <f t="shared" si="9"/>
        <v>894.32589599999994</v>
      </c>
      <c r="Y36" s="38">
        <f t="shared" si="10"/>
        <v>0.90171999999999997</v>
      </c>
      <c r="Z36" s="37">
        <f t="shared" si="15"/>
        <v>11713.355909531894</v>
      </c>
      <c r="AA36" s="44">
        <f t="shared" si="16"/>
        <v>0</v>
      </c>
      <c r="AC36" s="48">
        <f t="shared" si="17"/>
        <v>894.32589599999994</v>
      </c>
    </row>
    <row r="37" spans="1:32" s="14" customFormat="1" x14ac:dyDescent="0.2">
      <c r="A37" s="14" t="str">
        <f t="shared" ref="A37:F37" si="19">A25</f>
        <v>Janeiro</v>
      </c>
      <c r="B37" s="14">
        <f t="shared" si="19"/>
        <v>30</v>
      </c>
      <c r="C37" s="15">
        <f t="shared" si="19"/>
        <v>4.87</v>
      </c>
      <c r="D37" s="15">
        <f t="shared" si="19"/>
        <v>5.4581782566111663</v>
      </c>
      <c r="E37" s="15">
        <f t="shared" si="19"/>
        <v>6.01</v>
      </c>
      <c r="F37" s="15">
        <f t="shared" si="19"/>
        <v>5.31</v>
      </c>
      <c r="G37" s="16">
        <f>(1-1%)</f>
        <v>0.99</v>
      </c>
      <c r="H37" s="15">
        <f t="shared" ref="H37:H100" si="20">(1+$B$13)^K25</f>
        <v>1.08</v>
      </c>
      <c r="I37" s="17">
        <f>$F$2*$B$2*H37*$G$4</f>
        <v>0.16489980000000001</v>
      </c>
      <c r="J37" s="14">
        <f t="shared" si="18"/>
        <v>13</v>
      </c>
      <c r="K37" s="25">
        <v>2</v>
      </c>
      <c r="L37" s="18" t="str">
        <f>L25</f>
        <v>jan</v>
      </c>
      <c r="M37" s="43">
        <f t="shared" ref="M37:M100" si="21">M25*(1+$B$14)</f>
        <v>836</v>
      </c>
      <c r="N37" s="43">
        <f t="shared" si="1"/>
        <v>1582.173047600392</v>
      </c>
      <c r="O37" s="43">
        <f t="shared" si="2"/>
        <v>250.79999999999998</v>
      </c>
      <c r="P37" s="43">
        <f t="shared" ref="P37:P48" si="22">N37-O37</f>
        <v>1331.3730476003921</v>
      </c>
      <c r="Q37" s="43">
        <f t="shared" ref="Q37:Q48" si="23">M37-O37</f>
        <v>585.20000000000005</v>
      </c>
      <c r="R37" s="43">
        <f t="shared" ref="R37:R48" si="24">P37-Q37</f>
        <v>746.17304760039201</v>
      </c>
      <c r="S37" s="43">
        <f t="shared" si="13"/>
        <v>1782.0316646425078</v>
      </c>
      <c r="T37" s="43">
        <f t="shared" ref="T37:T48" si="25">MIN(Q37,P37+S36)</f>
        <v>585.20000000000005</v>
      </c>
      <c r="U37" s="19">
        <f t="shared" si="6"/>
        <v>96.499362960000013</v>
      </c>
      <c r="V37" s="20">
        <f t="shared" si="7"/>
        <v>96.499362960000013</v>
      </c>
      <c r="W37" s="20">
        <f t="shared" si="8"/>
        <v>785.50560000000007</v>
      </c>
      <c r="X37" s="19">
        <f t="shared" si="9"/>
        <v>689.00623704000009</v>
      </c>
      <c r="Y37" s="38">
        <f t="shared" si="10"/>
        <v>0.87714999999999999</v>
      </c>
      <c r="Z37" s="37">
        <f t="shared" si="15"/>
        <v>12402.362146571893</v>
      </c>
      <c r="AA37" s="44">
        <f t="shared" si="16"/>
        <v>0</v>
      </c>
      <c r="AC37" s="48">
        <f t="shared" si="17"/>
        <v>689.00623704000009</v>
      </c>
    </row>
    <row r="38" spans="1:32" s="14" customFormat="1" x14ac:dyDescent="0.2">
      <c r="A38" s="14" t="str">
        <f t="shared" ref="A38:F97" si="26">A26</f>
        <v>Fevereiro</v>
      </c>
      <c r="B38" s="14">
        <f t="shared" ref="B38:F38" si="27">B26</f>
        <v>28</v>
      </c>
      <c r="C38" s="15">
        <f t="shared" si="27"/>
        <v>4.75</v>
      </c>
      <c r="D38" s="15">
        <f t="shared" si="27"/>
        <v>5.2254652301665043</v>
      </c>
      <c r="E38" s="15">
        <f t="shared" si="27"/>
        <v>5.82</v>
      </c>
      <c r="F38" s="15">
        <f t="shared" si="27"/>
        <v>5.28</v>
      </c>
      <c r="G38" s="16">
        <f t="shared" ref="G38:G48" si="28">(1-1%)</f>
        <v>0.99</v>
      </c>
      <c r="H38" s="15">
        <f t="shared" si="20"/>
        <v>1.08</v>
      </c>
      <c r="I38" s="17">
        <f t="shared" ref="I38:I48" si="29">$F$2*$B$2*H38*$G$4</f>
        <v>0.16489980000000001</v>
      </c>
      <c r="J38" s="14">
        <f t="shared" si="18"/>
        <v>14</v>
      </c>
      <c r="K38" s="25">
        <v>2</v>
      </c>
      <c r="L38" s="18" t="str">
        <f t="shared" ref="L38" si="30">L26</f>
        <v>fev</v>
      </c>
      <c r="M38" s="43">
        <f t="shared" si="21"/>
        <v>1088</v>
      </c>
      <c r="N38" s="43">
        <f t="shared" si="1"/>
        <v>1413.7349867189032</v>
      </c>
      <c r="O38" s="43">
        <f t="shared" si="2"/>
        <v>326.39999999999998</v>
      </c>
      <c r="P38" s="43">
        <f t="shared" si="22"/>
        <v>1087.3349867189031</v>
      </c>
      <c r="Q38" s="43">
        <f t="shared" si="23"/>
        <v>761.6</v>
      </c>
      <c r="R38" s="43">
        <f t="shared" si="24"/>
        <v>325.73498671890309</v>
      </c>
      <c r="S38" s="43">
        <f t="shared" si="13"/>
        <v>2107.7666513614108</v>
      </c>
      <c r="T38" s="43">
        <f t="shared" si="25"/>
        <v>761.6</v>
      </c>
      <c r="U38" s="19">
        <f t="shared" si="6"/>
        <v>125.58768768000002</v>
      </c>
      <c r="V38" s="20">
        <f t="shared" si="7"/>
        <v>125.58768768000002</v>
      </c>
      <c r="W38" s="20">
        <f t="shared" si="8"/>
        <v>1022.2848</v>
      </c>
      <c r="X38" s="19">
        <f t="shared" si="9"/>
        <v>896.69711231999997</v>
      </c>
      <c r="Y38" s="38">
        <f t="shared" si="10"/>
        <v>0.87714999999999999</v>
      </c>
      <c r="Z38" s="37">
        <f t="shared" si="15"/>
        <v>13299.059258891893</v>
      </c>
      <c r="AA38" s="44">
        <f t="shared" si="16"/>
        <v>0</v>
      </c>
      <c r="AB38" s="21"/>
      <c r="AC38" s="48">
        <f t="shared" si="17"/>
        <v>896.69711231999997</v>
      </c>
      <c r="AD38" s="22"/>
      <c r="AE38" s="22"/>
      <c r="AF38" s="22"/>
    </row>
    <row r="39" spans="1:32" s="14" customFormat="1" x14ac:dyDescent="0.2">
      <c r="A39" s="14" t="str">
        <f t="shared" si="26"/>
        <v>Março</v>
      </c>
      <c r="B39" s="14">
        <f t="shared" ref="B39:F39" si="31">B27</f>
        <v>31</v>
      </c>
      <c r="C39" s="15">
        <f t="shared" si="31"/>
        <v>4.21</v>
      </c>
      <c r="D39" s="15">
        <f t="shared" si="31"/>
        <v>4.7494613124387861</v>
      </c>
      <c r="E39" s="15">
        <f t="shared" si="31"/>
        <v>5.43</v>
      </c>
      <c r="F39" s="15">
        <f t="shared" si="31"/>
        <v>5.14</v>
      </c>
      <c r="G39" s="16">
        <f t="shared" si="28"/>
        <v>0.99</v>
      </c>
      <c r="H39" s="15">
        <f t="shared" si="20"/>
        <v>1.08</v>
      </c>
      <c r="I39" s="17">
        <f t="shared" si="29"/>
        <v>0.16489980000000001</v>
      </c>
      <c r="J39" s="14">
        <f t="shared" si="18"/>
        <v>15</v>
      </c>
      <c r="K39" s="25">
        <v>2</v>
      </c>
      <c r="L39" s="18" t="str">
        <f t="shared" ref="L39" si="32">L27</f>
        <v>mar</v>
      </c>
      <c r="M39" s="43">
        <f t="shared" si="21"/>
        <v>1152</v>
      </c>
      <c r="N39" s="43">
        <f t="shared" si="1"/>
        <v>1422.6270445445643</v>
      </c>
      <c r="O39" s="43">
        <f t="shared" si="2"/>
        <v>345.59999999999997</v>
      </c>
      <c r="P39" s="43">
        <f t="shared" si="22"/>
        <v>1077.0270445445644</v>
      </c>
      <c r="Q39" s="43">
        <f t="shared" si="23"/>
        <v>806.40000000000009</v>
      </c>
      <c r="R39" s="43">
        <f t="shared" si="24"/>
        <v>270.62704454456434</v>
      </c>
      <c r="S39" s="43">
        <f t="shared" si="13"/>
        <v>2378.3936959059752</v>
      </c>
      <c r="T39" s="43">
        <f t="shared" si="25"/>
        <v>806.40000000000009</v>
      </c>
      <c r="U39" s="19">
        <f t="shared" si="6"/>
        <v>132.97519872000004</v>
      </c>
      <c r="V39" s="20">
        <f t="shared" si="7"/>
        <v>132.97519872000004</v>
      </c>
      <c r="W39" s="20">
        <f t="shared" si="8"/>
        <v>1082.4192</v>
      </c>
      <c r="X39" s="19">
        <f t="shared" si="9"/>
        <v>949.44400128000007</v>
      </c>
      <c r="Y39" s="38">
        <f t="shared" si="10"/>
        <v>0.87714999999999999</v>
      </c>
      <c r="Z39" s="37">
        <f t="shared" si="15"/>
        <v>14248.503260171894</v>
      </c>
      <c r="AA39" s="44">
        <f t="shared" si="16"/>
        <v>0</v>
      </c>
      <c r="AC39" s="48">
        <f t="shared" si="17"/>
        <v>949.44400128000007</v>
      </c>
    </row>
    <row r="40" spans="1:32" s="14" customFormat="1" x14ac:dyDescent="0.2">
      <c r="A40" s="14" t="str">
        <f t="shared" si="26"/>
        <v>Abril</v>
      </c>
      <c r="B40" s="14">
        <f t="shared" ref="B40:F40" si="33">B28</f>
        <v>30</v>
      </c>
      <c r="C40" s="15">
        <f t="shared" si="33"/>
        <v>3.59</v>
      </c>
      <c r="D40" s="15">
        <f t="shared" si="33"/>
        <v>4.1465230166503426</v>
      </c>
      <c r="E40" s="15">
        <f t="shared" si="33"/>
        <v>4.91</v>
      </c>
      <c r="F40" s="15">
        <f t="shared" si="33"/>
        <v>4.97</v>
      </c>
      <c r="G40" s="16">
        <f t="shared" si="28"/>
        <v>0.99</v>
      </c>
      <c r="H40" s="15">
        <f t="shared" si="20"/>
        <v>1.08</v>
      </c>
      <c r="I40" s="17">
        <f t="shared" si="29"/>
        <v>0.16489980000000001</v>
      </c>
      <c r="J40" s="14">
        <f t="shared" si="18"/>
        <v>16</v>
      </c>
      <c r="K40" s="25">
        <v>2</v>
      </c>
      <c r="L40" s="18" t="str">
        <f t="shared" ref="L40" si="34">L28</f>
        <v>abr</v>
      </c>
      <c r="M40" s="43">
        <f t="shared" si="21"/>
        <v>1000</v>
      </c>
      <c r="N40" s="43">
        <f t="shared" si="1"/>
        <v>1201.960919882468</v>
      </c>
      <c r="O40" s="43">
        <f t="shared" si="2"/>
        <v>300</v>
      </c>
      <c r="P40" s="43">
        <f t="shared" si="22"/>
        <v>901.96091988246803</v>
      </c>
      <c r="Q40" s="43">
        <f t="shared" si="23"/>
        <v>700</v>
      </c>
      <c r="R40" s="43">
        <f t="shared" si="24"/>
        <v>201.96091988246803</v>
      </c>
      <c r="S40" s="43">
        <f t="shared" si="13"/>
        <v>2580.354615788443</v>
      </c>
      <c r="T40" s="43">
        <f t="shared" si="25"/>
        <v>700</v>
      </c>
      <c r="U40" s="19">
        <f t="shared" si="6"/>
        <v>115.42986000000001</v>
      </c>
      <c r="V40" s="20">
        <f t="shared" si="7"/>
        <v>115.42986000000001</v>
      </c>
      <c r="W40" s="20">
        <f t="shared" si="8"/>
        <v>939.6</v>
      </c>
      <c r="X40" s="19">
        <f t="shared" si="9"/>
        <v>824.17014000000006</v>
      </c>
      <c r="Y40" s="38">
        <f t="shared" si="10"/>
        <v>0.8771500000000001</v>
      </c>
      <c r="Z40" s="37">
        <f t="shared" si="15"/>
        <v>15072.673400171894</v>
      </c>
      <c r="AA40" s="44">
        <f t="shared" si="16"/>
        <v>0</v>
      </c>
      <c r="AC40" s="48">
        <f t="shared" si="17"/>
        <v>824.17014000000006</v>
      </c>
    </row>
    <row r="41" spans="1:32" s="14" customFormat="1" x14ac:dyDescent="0.2">
      <c r="A41" s="14" t="str">
        <f t="shared" si="26"/>
        <v>Maio</v>
      </c>
      <c r="B41" s="14">
        <f t="shared" ref="B41:F41" si="35">B29</f>
        <v>31</v>
      </c>
      <c r="C41" s="15">
        <f t="shared" si="35"/>
        <v>2.98</v>
      </c>
      <c r="D41" s="15">
        <f t="shared" si="35"/>
        <v>3.3849167482859945</v>
      </c>
      <c r="E41" s="15">
        <f t="shared" si="35"/>
        <v>4.25</v>
      </c>
      <c r="F41" s="15">
        <f t="shared" si="35"/>
        <v>4.66</v>
      </c>
      <c r="G41" s="16">
        <f t="shared" si="28"/>
        <v>0.99</v>
      </c>
      <c r="H41" s="15">
        <f t="shared" si="20"/>
        <v>1.08</v>
      </c>
      <c r="I41" s="17">
        <f t="shared" si="29"/>
        <v>0.16489980000000001</v>
      </c>
      <c r="J41" s="14">
        <f t="shared" si="18"/>
        <v>17</v>
      </c>
      <c r="K41" s="25">
        <v>2</v>
      </c>
      <c r="L41" s="18" t="str">
        <f t="shared" ref="L41" si="36">L29</f>
        <v>mai</v>
      </c>
      <c r="M41" s="43">
        <f t="shared" si="21"/>
        <v>1396</v>
      </c>
      <c r="N41" s="43">
        <f t="shared" si="1"/>
        <v>1013.8990072477965</v>
      </c>
      <c r="O41" s="43">
        <f t="shared" si="2"/>
        <v>418.8</v>
      </c>
      <c r="P41" s="43">
        <f t="shared" si="22"/>
        <v>595.09900724779641</v>
      </c>
      <c r="Q41" s="43">
        <f t="shared" si="23"/>
        <v>977.2</v>
      </c>
      <c r="R41" s="43">
        <f t="shared" si="24"/>
        <v>-382.10099275220364</v>
      </c>
      <c r="S41" s="43">
        <f t="shared" si="13"/>
        <v>2198.2536230362393</v>
      </c>
      <c r="T41" s="43">
        <f t="shared" si="25"/>
        <v>977.2</v>
      </c>
      <c r="U41" s="19">
        <f t="shared" si="6"/>
        <v>161.14008456000002</v>
      </c>
      <c r="V41" s="20">
        <f t="shared" si="7"/>
        <v>161.14008456000002</v>
      </c>
      <c r="W41" s="20">
        <f t="shared" si="8"/>
        <v>1311.6816000000001</v>
      </c>
      <c r="X41" s="19">
        <f t="shared" si="9"/>
        <v>1150.54151544</v>
      </c>
      <c r="Y41" s="38">
        <f t="shared" si="10"/>
        <v>0.87714999999999999</v>
      </c>
      <c r="Z41" s="37">
        <f t="shared" si="15"/>
        <v>16223.214915611894</v>
      </c>
      <c r="AA41" s="44">
        <f t="shared" si="16"/>
        <v>0</v>
      </c>
      <c r="AC41" s="48">
        <f t="shared" si="17"/>
        <v>1150.54151544</v>
      </c>
    </row>
    <row r="42" spans="1:32" s="14" customFormat="1" x14ac:dyDescent="0.2">
      <c r="A42" s="14" t="str">
        <f t="shared" si="26"/>
        <v>Junho</v>
      </c>
      <c r="B42" s="14">
        <f t="shared" ref="B42:F42" si="37">B30</f>
        <v>30</v>
      </c>
      <c r="C42" s="15">
        <f t="shared" si="37"/>
        <v>2.74</v>
      </c>
      <c r="D42" s="15">
        <f t="shared" si="37"/>
        <v>3.1945151811949071</v>
      </c>
      <c r="E42" s="15">
        <f t="shared" si="37"/>
        <v>3.92</v>
      </c>
      <c r="F42" s="15">
        <f t="shared" si="37"/>
        <v>4.47</v>
      </c>
      <c r="G42" s="16">
        <f t="shared" si="28"/>
        <v>0.99</v>
      </c>
      <c r="H42" s="15">
        <f t="shared" si="20"/>
        <v>1.08</v>
      </c>
      <c r="I42" s="17">
        <f t="shared" si="29"/>
        <v>0.16489980000000001</v>
      </c>
      <c r="J42" s="14">
        <f t="shared" si="18"/>
        <v>18</v>
      </c>
      <c r="K42" s="25">
        <v>2</v>
      </c>
      <c r="L42" s="18" t="str">
        <f t="shared" ref="L42" si="38">L30</f>
        <v>jun</v>
      </c>
      <c r="M42" s="43">
        <f t="shared" si="21"/>
        <v>1428</v>
      </c>
      <c r="N42" s="43">
        <f t="shared" si="1"/>
        <v>926.00050460333</v>
      </c>
      <c r="O42" s="43">
        <f t="shared" si="2"/>
        <v>428.4</v>
      </c>
      <c r="P42" s="43">
        <f t="shared" si="22"/>
        <v>497.60050460333002</v>
      </c>
      <c r="Q42" s="43">
        <f t="shared" si="23"/>
        <v>999.6</v>
      </c>
      <c r="R42" s="43">
        <f t="shared" si="24"/>
        <v>-501.99949539667</v>
      </c>
      <c r="S42" s="43">
        <f t="shared" si="13"/>
        <v>1696.2541276395693</v>
      </c>
      <c r="T42" s="43">
        <f t="shared" si="25"/>
        <v>999.6</v>
      </c>
      <c r="U42" s="19">
        <f t="shared" si="6"/>
        <v>164.83384008000002</v>
      </c>
      <c r="V42" s="20">
        <f t="shared" si="7"/>
        <v>164.83384008000002</v>
      </c>
      <c r="W42" s="20">
        <f t="shared" si="8"/>
        <v>1341.7488000000001</v>
      </c>
      <c r="X42" s="19">
        <f t="shared" si="9"/>
        <v>1176.91495992</v>
      </c>
      <c r="Y42" s="38">
        <f t="shared" si="10"/>
        <v>0.87714999999999999</v>
      </c>
      <c r="Z42" s="37">
        <f t="shared" si="15"/>
        <v>17400.129875531893</v>
      </c>
      <c r="AA42" s="44">
        <f t="shared" si="16"/>
        <v>0</v>
      </c>
      <c r="AC42" s="48">
        <f t="shared" si="17"/>
        <v>1176.91495992</v>
      </c>
    </row>
    <row r="43" spans="1:32" s="14" customFormat="1" x14ac:dyDescent="0.2">
      <c r="A43" s="14" t="str">
        <f t="shared" si="26"/>
        <v>Julho</v>
      </c>
      <c r="B43" s="14">
        <f t="shared" ref="B43:F43" si="39">B31</f>
        <v>31</v>
      </c>
      <c r="C43" s="15">
        <f t="shared" si="39"/>
        <v>2.91</v>
      </c>
      <c r="D43" s="15">
        <f t="shared" si="39"/>
        <v>3.4272282076395695</v>
      </c>
      <c r="E43" s="15">
        <f t="shared" si="39"/>
        <v>4.18</v>
      </c>
      <c r="F43" s="15">
        <f t="shared" si="39"/>
        <v>4.74</v>
      </c>
      <c r="G43" s="16">
        <f t="shared" si="28"/>
        <v>0.99</v>
      </c>
      <c r="H43" s="15">
        <f t="shared" si="20"/>
        <v>1.08</v>
      </c>
      <c r="I43" s="17">
        <f t="shared" si="29"/>
        <v>0.16489980000000001</v>
      </c>
      <c r="J43" s="14">
        <f t="shared" si="18"/>
        <v>19</v>
      </c>
      <c r="K43" s="25">
        <v>2</v>
      </c>
      <c r="L43" s="18" t="str">
        <f t="shared" ref="L43" si="40">L31</f>
        <v>jul</v>
      </c>
      <c r="M43" s="43">
        <f t="shared" si="21"/>
        <v>1392</v>
      </c>
      <c r="N43" s="43">
        <f t="shared" si="1"/>
        <v>1026.5727448383939</v>
      </c>
      <c r="O43" s="43">
        <f t="shared" si="2"/>
        <v>417.59999999999997</v>
      </c>
      <c r="P43" s="43">
        <f t="shared" si="22"/>
        <v>608.97274483839396</v>
      </c>
      <c r="Q43" s="43">
        <f t="shared" si="23"/>
        <v>974.40000000000009</v>
      </c>
      <c r="R43" s="43">
        <f t="shared" si="24"/>
        <v>-365.42725516160613</v>
      </c>
      <c r="S43" s="43">
        <f t="shared" si="13"/>
        <v>1330.8268724779632</v>
      </c>
      <c r="T43" s="43">
        <f t="shared" si="25"/>
        <v>974.40000000000009</v>
      </c>
      <c r="U43" s="19">
        <f t="shared" si="6"/>
        <v>160.67836512000002</v>
      </c>
      <c r="V43" s="20">
        <f t="shared" si="7"/>
        <v>160.67836512000002</v>
      </c>
      <c r="W43" s="20">
        <f t="shared" si="8"/>
        <v>1307.9232</v>
      </c>
      <c r="X43" s="19">
        <f t="shared" si="9"/>
        <v>1147.2448348799999</v>
      </c>
      <c r="Y43" s="38">
        <f t="shared" si="10"/>
        <v>0.87714999999999999</v>
      </c>
      <c r="Z43" s="37">
        <f t="shared" si="15"/>
        <v>18547.374710411892</v>
      </c>
      <c r="AA43" s="44">
        <f t="shared" si="16"/>
        <v>0</v>
      </c>
      <c r="AC43" s="48">
        <f t="shared" si="17"/>
        <v>1147.2448348799999</v>
      </c>
    </row>
    <row r="44" spans="1:32" s="14" customFormat="1" x14ac:dyDescent="0.2">
      <c r="A44" s="14" t="str">
        <f t="shared" si="26"/>
        <v>Agosto</v>
      </c>
      <c r="B44" s="14">
        <f t="shared" ref="B44:F44" si="41">B32</f>
        <v>31</v>
      </c>
      <c r="C44" s="15">
        <f t="shared" si="41"/>
        <v>3.45</v>
      </c>
      <c r="D44" s="15">
        <f t="shared" si="41"/>
        <v>4.1147894221351615</v>
      </c>
      <c r="E44" s="15">
        <f t="shared" si="41"/>
        <v>4.83</v>
      </c>
      <c r="F44" s="15">
        <f t="shared" si="41"/>
        <v>5.21</v>
      </c>
      <c r="G44" s="16">
        <f t="shared" si="28"/>
        <v>0.99</v>
      </c>
      <c r="H44" s="15">
        <f t="shared" si="20"/>
        <v>1.08</v>
      </c>
      <c r="I44" s="17">
        <f t="shared" si="29"/>
        <v>0.16489980000000001</v>
      </c>
      <c r="J44" s="14">
        <f t="shared" si="18"/>
        <v>20</v>
      </c>
      <c r="K44" s="25">
        <v>2</v>
      </c>
      <c r="L44" s="18" t="str">
        <f t="shared" ref="L44" si="42">L32</f>
        <v>ago</v>
      </c>
      <c r="M44" s="43">
        <f t="shared" si="21"/>
        <v>1520</v>
      </c>
      <c r="N44" s="43">
        <f t="shared" si="1"/>
        <v>1232.5209806856024</v>
      </c>
      <c r="O44" s="43">
        <f t="shared" si="2"/>
        <v>456</v>
      </c>
      <c r="P44" s="43">
        <f t="shared" si="22"/>
        <v>776.52098068560235</v>
      </c>
      <c r="Q44" s="43">
        <f t="shared" si="23"/>
        <v>1064</v>
      </c>
      <c r="R44" s="43">
        <f t="shared" si="24"/>
        <v>-287.47901931439765</v>
      </c>
      <c r="S44" s="43">
        <f t="shared" si="13"/>
        <v>1043.3478531635656</v>
      </c>
      <c r="T44" s="43">
        <f t="shared" si="25"/>
        <v>1064</v>
      </c>
      <c r="U44" s="19">
        <f t="shared" si="6"/>
        <v>175.45338720000001</v>
      </c>
      <c r="V44" s="20">
        <f t="shared" si="7"/>
        <v>175.45338720000001</v>
      </c>
      <c r="W44" s="20">
        <f t="shared" si="8"/>
        <v>1428.1920000000002</v>
      </c>
      <c r="X44" s="19">
        <f t="shared" si="9"/>
        <v>1252.7386128000003</v>
      </c>
      <c r="Y44" s="38">
        <f t="shared" si="10"/>
        <v>0.8771500000000001</v>
      </c>
      <c r="Z44" s="37">
        <f t="shared" si="15"/>
        <v>19800.113323211892</v>
      </c>
      <c r="AA44" s="44">
        <f t="shared" si="16"/>
        <v>0</v>
      </c>
      <c r="AC44" s="48">
        <f t="shared" si="17"/>
        <v>1252.7386128000003</v>
      </c>
    </row>
    <row r="45" spans="1:32" s="14" customFormat="1" x14ac:dyDescent="0.2">
      <c r="A45" s="14" t="str">
        <f t="shared" si="26"/>
        <v>Setembro</v>
      </c>
      <c r="B45" s="14">
        <f t="shared" ref="B45:F45" si="43">B33</f>
        <v>30</v>
      </c>
      <c r="C45" s="15">
        <f t="shared" si="43"/>
        <v>3.82</v>
      </c>
      <c r="D45" s="15">
        <f t="shared" si="43"/>
        <v>4.2417238001958868</v>
      </c>
      <c r="E45" s="15">
        <f t="shared" si="43"/>
        <v>5.12</v>
      </c>
      <c r="F45" s="15">
        <f t="shared" si="43"/>
        <v>5.1100000000000003</v>
      </c>
      <c r="G45" s="16">
        <f t="shared" si="28"/>
        <v>0.99</v>
      </c>
      <c r="H45" s="15">
        <f t="shared" si="20"/>
        <v>1.08</v>
      </c>
      <c r="I45" s="17">
        <f t="shared" si="29"/>
        <v>0.16489980000000001</v>
      </c>
      <c r="J45" s="14">
        <f t="shared" si="18"/>
        <v>21</v>
      </c>
      <c r="K45" s="25">
        <v>2</v>
      </c>
      <c r="L45" s="18" t="str">
        <f t="shared" ref="L45" si="44">L33</f>
        <v>set</v>
      </c>
      <c r="M45" s="43">
        <f t="shared" si="21"/>
        <v>1400</v>
      </c>
      <c r="N45" s="43">
        <f t="shared" si="1"/>
        <v>1229.5569614103822</v>
      </c>
      <c r="O45" s="43">
        <f t="shared" si="2"/>
        <v>420</v>
      </c>
      <c r="P45" s="43">
        <f t="shared" si="22"/>
        <v>809.5569614103822</v>
      </c>
      <c r="Q45" s="43">
        <f t="shared" si="23"/>
        <v>980</v>
      </c>
      <c r="R45" s="43">
        <f t="shared" si="24"/>
        <v>-170.4430385896178</v>
      </c>
      <c r="S45" s="43">
        <f t="shared" si="13"/>
        <v>872.90481457394776</v>
      </c>
      <c r="T45" s="43">
        <f t="shared" si="25"/>
        <v>980</v>
      </c>
      <c r="U45" s="19">
        <f t="shared" si="6"/>
        <v>161.60180400000002</v>
      </c>
      <c r="V45" s="20">
        <f t="shared" si="7"/>
        <v>161.60180400000002</v>
      </c>
      <c r="W45" s="20">
        <f t="shared" si="8"/>
        <v>1315.44</v>
      </c>
      <c r="X45" s="19">
        <f t="shared" si="9"/>
        <v>1153.8381960000002</v>
      </c>
      <c r="Y45" s="38">
        <f t="shared" si="10"/>
        <v>0.8771500000000001</v>
      </c>
      <c r="Z45" s="37">
        <f t="shared" si="15"/>
        <v>20953.951519211892</v>
      </c>
      <c r="AA45" s="44">
        <f t="shared" si="16"/>
        <v>0</v>
      </c>
      <c r="AC45" s="48">
        <f t="shared" si="17"/>
        <v>1153.8381960000002</v>
      </c>
    </row>
    <row r="46" spans="1:32" s="14" customFormat="1" x14ac:dyDescent="0.2">
      <c r="A46" s="14" t="str">
        <f t="shared" si="26"/>
        <v>Outubro</v>
      </c>
      <c r="B46" s="14">
        <f t="shared" ref="B46:F46" si="45">B34</f>
        <v>31</v>
      </c>
      <c r="C46" s="15">
        <f t="shared" si="45"/>
        <v>4.33</v>
      </c>
      <c r="D46" s="15">
        <f t="shared" si="45"/>
        <v>4.8763956904995114</v>
      </c>
      <c r="E46" s="15">
        <f t="shared" si="45"/>
        <v>5.57</v>
      </c>
      <c r="F46" s="15">
        <f t="shared" si="45"/>
        <v>5.17</v>
      </c>
      <c r="G46" s="16">
        <f t="shared" si="28"/>
        <v>0.99</v>
      </c>
      <c r="H46" s="15">
        <f t="shared" si="20"/>
        <v>1.08</v>
      </c>
      <c r="I46" s="17">
        <f t="shared" si="29"/>
        <v>0.16489980000000001</v>
      </c>
      <c r="J46" s="14">
        <f t="shared" si="18"/>
        <v>22</v>
      </c>
      <c r="K46" s="25">
        <v>2</v>
      </c>
      <c r="L46" s="18" t="str">
        <f t="shared" ref="L46" si="46">L34</f>
        <v>out</v>
      </c>
      <c r="M46" s="43">
        <f t="shared" si="21"/>
        <v>1340</v>
      </c>
      <c r="N46" s="43">
        <f t="shared" si="1"/>
        <v>1460.6482573163566</v>
      </c>
      <c r="O46" s="43">
        <f t="shared" si="2"/>
        <v>402</v>
      </c>
      <c r="P46" s="43">
        <f t="shared" si="22"/>
        <v>1058.6482573163566</v>
      </c>
      <c r="Q46" s="43">
        <f t="shared" si="23"/>
        <v>938</v>
      </c>
      <c r="R46" s="43">
        <f t="shared" si="24"/>
        <v>120.64825731635665</v>
      </c>
      <c r="S46" s="43">
        <f t="shared" si="13"/>
        <v>993.55307189030441</v>
      </c>
      <c r="T46" s="43">
        <f t="shared" si="25"/>
        <v>938</v>
      </c>
      <c r="U46" s="19">
        <f t="shared" si="6"/>
        <v>154.67601240000002</v>
      </c>
      <c r="V46" s="20">
        <f t="shared" si="7"/>
        <v>154.67601240000002</v>
      </c>
      <c r="W46" s="20">
        <f t="shared" si="8"/>
        <v>1259.0640000000001</v>
      </c>
      <c r="X46" s="19">
        <f t="shared" si="9"/>
        <v>1104.3879876000001</v>
      </c>
      <c r="Y46" s="38">
        <f t="shared" si="10"/>
        <v>0.87714999999999999</v>
      </c>
      <c r="Z46" s="37">
        <f t="shared" si="15"/>
        <v>22058.339506811892</v>
      </c>
      <c r="AA46" s="44">
        <f t="shared" si="16"/>
        <v>0</v>
      </c>
      <c r="AC46" s="48">
        <f t="shared" si="17"/>
        <v>1104.3879876000001</v>
      </c>
    </row>
    <row r="47" spans="1:32" s="14" customFormat="1" x14ac:dyDescent="0.2">
      <c r="A47" s="14" t="str">
        <f t="shared" si="26"/>
        <v>Novembro</v>
      </c>
      <c r="B47" s="14">
        <f t="shared" ref="B47:F47" si="47">B35</f>
        <v>30</v>
      </c>
      <c r="C47" s="15">
        <f t="shared" si="47"/>
        <v>4.68</v>
      </c>
      <c r="D47" s="15">
        <f t="shared" si="47"/>
        <v>5.5745347698334964</v>
      </c>
      <c r="E47" s="15">
        <f t="shared" si="47"/>
        <v>5.89</v>
      </c>
      <c r="F47" s="15">
        <f t="shared" si="47"/>
        <v>5.23</v>
      </c>
      <c r="G47" s="16">
        <f t="shared" si="28"/>
        <v>0.99</v>
      </c>
      <c r="H47" s="15">
        <f t="shared" si="20"/>
        <v>1.08</v>
      </c>
      <c r="I47" s="17">
        <f t="shared" si="29"/>
        <v>0.16489980000000001</v>
      </c>
      <c r="J47" s="14">
        <f t="shared" si="18"/>
        <v>23</v>
      </c>
      <c r="K47" s="25">
        <v>2</v>
      </c>
      <c r="L47" s="18" t="str">
        <f t="shared" ref="L47" si="48">L35</f>
        <v>nov</v>
      </c>
      <c r="M47" s="43">
        <f t="shared" si="21"/>
        <v>1288</v>
      </c>
      <c r="N47" s="43">
        <f t="shared" si="1"/>
        <v>1615.9015428011753</v>
      </c>
      <c r="O47" s="43">
        <f t="shared" si="2"/>
        <v>386.4</v>
      </c>
      <c r="P47" s="43">
        <f t="shared" si="22"/>
        <v>1229.5015428011752</v>
      </c>
      <c r="Q47" s="43">
        <f t="shared" si="23"/>
        <v>901.6</v>
      </c>
      <c r="R47" s="43">
        <f t="shared" si="24"/>
        <v>327.9015428011752</v>
      </c>
      <c r="S47" s="43">
        <f t="shared" si="13"/>
        <v>1321.4546146914795</v>
      </c>
      <c r="T47" s="43">
        <f t="shared" si="25"/>
        <v>901.6</v>
      </c>
      <c r="U47" s="19">
        <f t="shared" si="6"/>
        <v>148.67365968000001</v>
      </c>
      <c r="V47" s="20">
        <f t="shared" si="7"/>
        <v>148.67365968000001</v>
      </c>
      <c r="W47" s="20">
        <f t="shared" si="8"/>
        <v>1210.2048</v>
      </c>
      <c r="X47" s="19">
        <f t="shared" si="9"/>
        <v>1061.5311403199998</v>
      </c>
      <c r="Y47" s="38">
        <f t="shared" si="10"/>
        <v>0.87714999999999987</v>
      </c>
      <c r="Z47" s="37">
        <f t="shared" si="15"/>
        <v>23119.870647131891</v>
      </c>
      <c r="AA47" s="44">
        <f t="shared" si="16"/>
        <v>0</v>
      </c>
      <c r="AC47" s="48">
        <f t="shared" si="17"/>
        <v>1061.5311403199998</v>
      </c>
    </row>
    <row r="48" spans="1:32" s="14" customFormat="1" x14ac:dyDescent="0.2">
      <c r="A48" s="14" t="str">
        <f t="shared" si="26"/>
        <v>Dezembro</v>
      </c>
      <c r="B48" s="14">
        <f t="shared" ref="B48:F48" si="49">B36</f>
        <v>31</v>
      </c>
      <c r="C48" s="15">
        <f t="shared" si="49"/>
        <v>4.8499999999999996</v>
      </c>
      <c r="D48" s="15">
        <f t="shared" si="49"/>
        <v>5.6062683643486775</v>
      </c>
      <c r="E48" s="15">
        <f t="shared" si="49"/>
        <v>6.05</v>
      </c>
      <c r="F48" s="15">
        <f t="shared" si="49"/>
        <v>5.29</v>
      </c>
      <c r="G48" s="16">
        <f t="shared" si="28"/>
        <v>0.99</v>
      </c>
      <c r="H48" s="15">
        <f t="shared" si="20"/>
        <v>1.08</v>
      </c>
      <c r="I48" s="17">
        <f t="shared" si="29"/>
        <v>0.16489980000000001</v>
      </c>
      <c r="J48" s="14">
        <f t="shared" si="18"/>
        <v>24</v>
      </c>
      <c r="K48" s="25">
        <v>2</v>
      </c>
      <c r="L48" s="18" t="str">
        <f t="shared" ref="L48" si="50">L36</f>
        <v>dez</v>
      </c>
      <c r="M48" s="43">
        <f t="shared" si="21"/>
        <v>1140</v>
      </c>
      <c r="N48" s="43">
        <f t="shared" si="1"/>
        <v>1679.2702307541624</v>
      </c>
      <c r="O48" s="43">
        <f t="shared" si="2"/>
        <v>342</v>
      </c>
      <c r="P48" s="43">
        <f t="shared" si="22"/>
        <v>1337.2702307541624</v>
      </c>
      <c r="Q48" s="43">
        <f t="shared" si="23"/>
        <v>798</v>
      </c>
      <c r="R48" s="43">
        <f t="shared" si="24"/>
        <v>539.27023075416241</v>
      </c>
      <c r="S48" s="43">
        <f t="shared" si="13"/>
        <v>1860.7248454456419</v>
      </c>
      <c r="T48" s="43">
        <f t="shared" si="25"/>
        <v>798</v>
      </c>
      <c r="U48" s="19">
        <f t="shared" si="6"/>
        <v>131.59004040000002</v>
      </c>
      <c r="V48" s="20">
        <f t="shared" si="7"/>
        <v>131.59004040000002</v>
      </c>
      <c r="W48" s="20">
        <f t="shared" si="8"/>
        <v>1071.144</v>
      </c>
      <c r="X48" s="19">
        <f t="shared" si="9"/>
        <v>939.55395959999998</v>
      </c>
      <c r="Y48" s="38">
        <f t="shared" si="10"/>
        <v>0.87714999999999999</v>
      </c>
      <c r="Z48" s="37">
        <f t="shared" si="15"/>
        <v>24059.424606731893</v>
      </c>
      <c r="AA48" s="44">
        <f t="shared" si="16"/>
        <v>0</v>
      </c>
      <c r="AC48" s="48">
        <f t="shared" si="17"/>
        <v>939.55395959999998</v>
      </c>
    </row>
    <row r="49" spans="1:29" s="14" customFormat="1" x14ac:dyDescent="0.2">
      <c r="A49" s="14" t="str">
        <f t="shared" si="26"/>
        <v>Janeiro</v>
      </c>
      <c r="B49" s="14">
        <f t="shared" ref="B49:F49" si="51">B37</f>
        <v>30</v>
      </c>
      <c r="C49" s="15">
        <f t="shared" si="51"/>
        <v>4.87</v>
      </c>
      <c r="D49" s="15">
        <f t="shared" si="51"/>
        <v>5.4581782566111663</v>
      </c>
      <c r="E49" s="15">
        <f t="shared" si="51"/>
        <v>6.01</v>
      </c>
      <c r="F49" s="15">
        <f t="shared" si="51"/>
        <v>5.31</v>
      </c>
      <c r="G49" s="16">
        <f t="shared" ref="G49:G96" si="52">(1-1%)*(1-0.4444%)^K25</f>
        <v>0.98560044000000002</v>
      </c>
      <c r="H49" s="15">
        <f t="shared" si="20"/>
        <v>1.1664000000000001</v>
      </c>
      <c r="I49" s="17">
        <f>$F$2*$B$2*H49*$G$5</f>
        <v>0.21371014080000003</v>
      </c>
      <c r="J49" s="14">
        <f t="shared" si="18"/>
        <v>25</v>
      </c>
      <c r="K49" s="25">
        <v>3</v>
      </c>
      <c r="L49" s="18" t="str">
        <f t="shared" ref="L49" si="53">L37</f>
        <v>jan</v>
      </c>
      <c r="M49" s="43">
        <f t="shared" si="21"/>
        <v>836</v>
      </c>
      <c r="N49" s="53">
        <f t="shared" si="1"/>
        <v>1575.1418705768558</v>
      </c>
      <c r="O49" s="43">
        <f t="shared" si="2"/>
        <v>250.79999999999998</v>
      </c>
      <c r="P49" s="43">
        <f>N49-O49</f>
        <v>1324.3418705768559</v>
      </c>
      <c r="Q49" s="43">
        <f>M49-O49</f>
        <v>585.20000000000005</v>
      </c>
      <c r="R49" s="43">
        <f>P49-Q49</f>
        <v>739.14187057685581</v>
      </c>
      <c r="S49" s="43">
        <f t="shared" si="13"/>
        <v>2599.8667160224977</v>
      </c>
      <c r="T49" s="43">
        <f>MIN(Q49,P49+S48)</f>
        <v>585.20000000000005</v>
      </c>
      <c r="U49" s="19">
        <f t="shared" si="6"/>
        <v>125.06317439616002</v>
      </c>
      <c r="V49" s="20">
        <f t="shared" si="7"/>
        <v>125.06317439616002</v>
      </c>
      <c r="W49" s="20">
        <f t="shared" si="8"/>
        <v>848.34604800000011</v>
      </c>
      <c r="X49" s="19">
        <f t="shared" si="9"/>
        <v>723.28287360384013</v>
      </c>
      <c r="Y49" s="38">
        <f t="shared" si="10"/>
        <v>0.85258</v>
      </c>
      <c r="Z49" s="37">
        <f t="shared" si="15"/>
        <v>24782.707480335732</v>
      </c>
      <c r="AA49" s="44">
        <f t="shared" si="16"/>
        <v>0</v>
      </c>
      <c r="AC49" s="48">
        <f t="shared" si="17"/>
        <v>723.28287360384013</v>
      </c>
    </row>
    <row r="50" spans="1:29" s="14" customFormat="1" x14ac:dyDescent="0.2">
      <c r="A50" s="14" t="str">
        <f t="shared" si="26"/>
        <v>Fevereiro</v>
      </c>
      <c r="B50" s="14">
        <f t="shared" ref="B50:F50" si="54">B38</f>
        <v>28</v>
      </c>
      <c r="C50" s="15">
        <f t="shared" si="54"/>
        <v>4.75</v>
      </c>
      <c r="D50" s="15">
        <f t="shared" si="54"/>
        <v>5.2254652301665043</v>
      </c>
      <c r="E50" s="15">
        <f t="shared" si="54"/>
        <v>5.82</v>
      </c>
      <c r="F50" s="15">
        <f t="shared" si="54"/>
        <v>5.28</v>
      </c>
      <c r="G50" s="16">
        <f t="shared" si="52"/>
        <v>0.98560044000000002</v>
      </c>
      <c r="H50" s="15">
        <f t="shared" si="20"/>
        <v>1.1664000000000001</v>
      </c>
      <c r="I50" s="17">
        <f t="shared" ref="I50:I60" si="55">$F$2*$B$2*H50*$G$5</f>
        <v>0.21371014080000003</v>
      </c>
      <c r="J50" s="14">
        <f t="shared" si="18"/>
        <v>26</v>
      </c>
      <c r="K50" s="25">
        <v>3</v>
      </c>
      <c r="L50" s="18" t="str">
        <f t="shared" ref="L50" si="56">L38</f>
        <v>fev</v>
      </c>
      <c r="M50" s="43">
        <f t="shared" si="21"/>
        <v>1088</v>
      </c>
      <c r="N50" s="53">
        <f t="shared" si="1"/>
        <v>1407.4523484379245</v>
      </c>
      <c r="O50" s="43">
        <f t="shared" si="2"/>
        <v>326.39999999999998</v>
      </c>
      <c r="P50" s="43">
        <f t="shared" ref="P50:P60" si="57">N50-O50</f>
        <v>1081.0523484379246</v>
      </c>
      <c r="Q50" s="43">
        <f t="shared" ref="Q50:Q60" si="58">M50-O50</f>
        <v>761.6</v>
      </c>
      <c r="R50" s="43">
        <f t="shared" ref="R50:R60" si="59">P50-Q50</f>
        <v>319.45234843792457</v>
      </c>
      <c r="S50" s="43">
        <f t="shared" si="13"/>
        <v>2919.3190644604224</v>
      </c>
      <c r="T50" s="43">
        <f t="shared" ref="T50:T60" si="60">MIN(Q50,P50+S49)</f>
        <v>761.6</v>
      </c>
      <c r="U50" s="19">
        <f t="shared" si="6"/>
        <v>162.76164323328004</v>
      </c>
      <c r="V50" s="20">
        <f t="shared" si="7"/>
        <v>162.76164323328004</v>
      </c>
      <c r="W50" s="20">
        <f t="shared" si="8"/>
        <v>1104.0675840000001</v>
      </c>
      <c r="X50" s="19">
        <f t="shared" si="9"/>
        <v>941.30594076672014</v>
      </c>
      <c r="Y50" s="38">
        <f t="shared" si="10"/>
        <v>0.85258</v>
      </c>
      <c r="Z50" s="37">
        <f t="shared" si="15"/>
        <v>25724.013421102452</v>
      </c>
      <c r="AA50" s="44">
        <f t="shared" si="16"/>
        <v>0</v>
      </c>
      <c r="AC50" s="48">
        <f t="shared" si="17"/>
        <v>941.30594076672014</v>
      </c>
    </row>
    <row r="51" spans="1:29" s="14" customFormat="1" x14ac:dyDescent="0.2">
      <c r="A51" s="14" t="str">
        <f t="shared" si="26"/>
        <v>Março</v>
      </c>
      <c r="B51" s="14">
        <f t="shared" ref="B51:F51" si="61">B39</f>
        <v>31</v>
      </c>
      <c r="C51" s="15">
        <f t="shared" si="61"/>
        <v>4.21</v>
      </c>
      <c r="D51" s="15">
        <f t="shared" si="61"/>
        <v>4.7494613124387861</v>
      </c>
      <c r="E51" s="15">
        <f t="shared" si="61"/>
        <v>5.43</v>
      </c>
      <c r="F51" s="15">
        <f t="shared" si="61"/>
        <v>5.14</v>
      </c>
      <c r="G51" s="16">
        <f t="shared" si="52"/>
        <v>0.98560044000000002</v>
      </c>
      <c r="H51" s="15">
        <f t="shared" si="20"/>
        <v>1.1664000000000001</v>
      </c>
      <c r="I51" s="17">
        <f t="shared" si="55"/>
        <v>0.21371014080000003</v>
      </c>
      <c r="J51" s="14">
        <f t="shared" si="18"/>
        <v>27</v>
      </c>
      <c r="K51" s="25">
        <v>3</v>
      </c>
      <c r="L51" s="18" t="str">
        <f t="shared" ref="L51" si="62">L39</f>
        <v>mar</v>
      </c>
      <c r="M51" s="43">
        <f t="shared" si="21"/>
        <v>1152</v>
      </c>
      <c r="N51" s="53">
        <f t="shared" si="1"/>
        <v>1416.3048899586083</v>
      </c>
      <c r="O51" s="43">
        <f t="shared" si="2"/>
        <v>345.59999999999997</v>
      </c>
      <c r="P51" s="43">
        <f t="shared" si="57"/>
        <v>1070.7048899586084</v>
      </c>
      <c r="Q51" s="43">
        <f t="shared" si="58"/>
        <v>806.40000000000009</v>
      </c>
      <c r="R51" s="43">
        <f t="shared" si="59"/>
        <v>264.30488995860833</v>
      </c>
      <c r="S51" s="43">
        <f t="shared" si="13"/>
        <v>3183.6239544190307</v>
      </c>
      <c r="T51" s="43">
        <f t="shared" si="60"/>
        <v>806.40000000000009</v>
      </c>
      <c r="U51" s="19">
        <f t="shared" si="6"/>
        <v>172.33585754112005</v>
      </c>
      <c r="V51" s="20">
        <f t="shared" si="7"/>
        <v>172.33585754112005</v>
      </c>
      <c r="W51" s="20">
        <f t="shared" si="8"/>
        <v>1169.0127360000001</v>
      </c>
      <c r="X51" s="19">
        <f t="shared" si="9"/>
        <v>996.67687845888008</v>
      </c>
      <c r="Y51" s="38">
        <f t="shared" si="10"/>
        <v>0.85258</v>
      </c>
      <c r="Z51" s="37">
        <f t="shared" si="15"/>
        <v>26720.690299561331</v>
      </c>
      <c r="AA51" s="44">
        <f t="shared" si="16"/>
        <v>0</v>
      </c>
      <c r="AC51" s="48">
        <f t="shared" si="17"/>
        <v>996.67687845888008</v>
      </c>
    </row>
    <row r="52" spans="1:29" s="14" customFormat="1" x14ac:dyDescent="0.2">
      <c r="A52" s="14" t="str">
        <f t="shared" si="26"/>
        <v>Abril</v>
      </c>
      <c r="B52" s="14">
        <f t="shared" ref="B52:F52" si="63">B40</f>
        <v>30</v>
      </c>
      <c r="C52" s="15">
        <f t="shared" si="63"/>
        <v>3.59</v>
      </c>
      <c r="D52" s="15">
        <f t="shared" si="63"/>
        <v>4.1465230166503426</v>
      </c>
      <c r="E52" s="15">
        <f t="shared" si="63"/>
        <v>4.91</v>
      </c>
      <c r="F52" s="15">
        <f t="shared" si="63"/>
        <v>4.97</v>
      </c>
      <c r="G52" s="16">
        <f t="shared" si="52"/>
        <v>0.98560044000000002</v>
      </c>
      <c r="H52" s="15">
        <f t="shared" si="20"/>
        <v>1.1664000000000001</v>
      </c>
      <c r="I52" s="17">
        <f t="shared" si="55"/>
        <v>0.21371014080000003</v>
      </c>
      <c r="J52" s="14">
        <f t="shared" si="18"/>
        <v>28</v>
      </c>
      <c r="K52" s="25">
        <v>3</v>
      </c>
      <c r="L52" s="18" t="str">
        <f t="shared" ref="L52" si="64">L40</f>
        <v>abr</v>
      </c>
      <c r="M52" s="43">
        <f t="shared" si="21"/>
        <v>1000</v>
      </c>
      <c r="N52" s="53">
        <f t="shared" si="1"/>
        <v>1196.6194055545104</v>
      </c>
      <c r="O52" s="43">
        <f t="shared" si="2"/>
        <v>300</v>
      </c>
      <c r="P52" s="43">
        <f t="shared" si="57"/>
        <v>896.61940555451042</v>
      </c>
      <c r="Q52" s="43">
        <f t="shared" si="58"/>
        <v>700</v>
      </c>
      <c r="R52" s="43">
        <f t="shared" si="59"/>
        <v>196.61940555451042</v>
      </c>
      <c r="S52" s="43">
        <f t="shared" si="13"/>
        <v>3380.2433599735414</v>
      </c>
      <c r="T52" s="43">
        <f t="shared" si="60"/>
        <v>700</v>
      </c>
      <c r="U52" s="19">
        <f t="shared" si="6"/>
        <v>149.59709856000003</v>
      </c>
      <c r="V52" s="20">
        <f t="shared" si="7"/>
        <v>149.59709856000003</v>
      </c>
      <c r="W52" s="20">
        <f t="shared" si="8"/>
        <v>1014.7680000000001</v>
      </c>
      <c r="X52" s="19">
        <f t="shared" si="9"/>
        <v>865.17090144000008</v>
      </c>
      <c r="Y52" s="38">
        <f t="shared" si="10"/>
        <v>0.85258</v>
      </c>
      <c r="Z52" s="37">
        <f t="shared" si="15"/>
        <v>27585.861201001331</v>
      </c>
      <c r="AA52" s="44">
        <f t="shared" si="16"/>
        <v>0</v>
      </c>
      <c r="AC52" s="48">
        <f t="shared" si="17"/>
        <v>865.17090144000008</v>
      </c>
    </row>
    <row r="53" spans="1:29" s="14" customFormat="1" x14ac:dyDescent="0.2">
      <c r="A53" s="14" t="str">
        <f t="shared" si="26"/>
        <v>Maio</v>
      </c>
      <c r="B53" s="14">
        <f t="shared" ref="B53:F53" si="65">B41</f>
        <v>31</v>
      </c>
      <c r="C53" s="15">
        <f t="shared" si="65"/>
        <v>2.98</v>
      </c>
      <c r="D53" s="15">
        <f t="shared" si="65"/>
        <v>3.3849167482859945</v>
      </c>
      <c r="E53" s="15">
        <f t="shared" si="65"/>
        <v>4.25</v>
      </c>
      <c r="F53" s="15">
        <f t="shared" si="65"/>
        <v>4.66</v>
      </c>
      <c r="G53" s="16">
        <f t="shared" si="52"/>
        <v>0.98560044000000002</v>
      </c>
      <c r="H53" s="15">
        <f t="shared" si="20"/>
        <v>1.1664000000000001</v>
      </c>
      <c r="I53" s="17">
        <f t="shared" si="55"/>
        <v>0.21371014080000003</v>
      </c>
      <c r="J53" s="14">
        <f t="shared" si="18"/>
        <v>29</v>
      </c>
      <c r="K53" s="25">
        <v>3</v>
      </c>
      <c r="L53" s="18" t="str">
        <f t="shared" ref="L53" si="66">L41</f>
        <v>mai</v>
      </c>
      <c r="M53" s="43">
        <f t="shared" si="21"/>
        <v>1396</v>
      </c>
      <c r="N53" s="53">
        <f t="shared" si="1"/>
        <v>1009.3932400595872</v>
      </c>
      <c r="O53" s="43">
        <f t="shared" si="2"/>
        <v>418.8</v>
      </c>
      <c r="P53" s="43">
        <f t="shared" si="57"/>
        <v>590.59324005958729</v>
      </c>
      <c r="Q53" s="43">
        <f t="shared" si="58"/>
        <v>977.2</v>
      </c>
      <c r="R53" s="43">
        <f t="shared" si="59"/>
        <v>-386.60675994041276</v>
      </c>
      <c r="S53" s="43">
        <f t="shared" si="13"/>
        <v>2993.6366000331286</v>
      </c>
      <c r="T53" s="43">
        <f t="shared" si="60"/>
        <v>977.2</v>
      </c>
      <c r="U53" s="19">
        <f t="shared" si="6"/>
        <v>208.83754958976004</v>
      </c>
      <c r="V53" s="20">
        <f t="shared" si="7"/>
        <v>208.83754958976004</v>
      </c>
      <c r="W53" s="20">
        <f t="shared" si="8"/>
        <v>1416.6161280000001</v>
      </c>
      <c r="X53" s="19">
        <f t="shared" si="9"/>
        <v>1207.77857841024</v>
      </c>
      <c r="Y53" s="38">
        <f t="shared" si="10"/>
        <v>0.85257999999999989</v>
      </c>
      <c r="Z53" s="37">
        <f t="shared" si="15"/>
        <v>28793.639779411573</v>
      </c>
      <c r="AA53" s="44">
        <f t="shared" si="16"/>
        <v>0</v>
      </c>
      <c r="AC53" s="48">
        <f t="shared" si="17"/>
        <v>1207.77857841024</v>
      </c>
    </row>
    <row r="54" spans="1:29" s="14" customFormat="1" x14ac:dyDescent="0.2">
      <c r="A54" s="14" t="str">
        <f t="shared" si="26"/>
        <v>Junho</v>
      </c>
      <c r="B54" s="14">
        <f t="shared" ref="B54:F54" si="67">B42</f>
        <v>30</v>
      </c>
      <c r="C54" s="15">
        <f t="shared" si="67"/>
        <v>2.74</v>
      </c>
      <c r="D54" s="15">
        <f t="shared" si="67"/>
        <v>3.1945151811949071</v>
      </c>
      <c r="E54" s="15">
        <f t="shared" si="67"/>
        <v>3.92</v>
      </c>
      <c r="F54" s="15">
        <f t="shared" si="67"/>
        <v>4.47</v>
      </c>
      <c r="G54" s="16">
        <f t="shared" si="52"/>
        <v>0.98560044000000002</v>
      </c>
      <c r="H54" s="15">
        <f t="shared" si="20"/>
        <v>1.1664000000000001</v>
      </c>
      <c r="I54" s="17">
        <f t="shared" si="55"/>
        <v>0.21371014080000003</v>
      </c>
      <c r="J54" s="14">
        <f t="shared" si="18"/>
        <v>30</v>
      </c>
      <c r="K54" s="25">
        <v>3</v>
      </c>
      <c r="L54" s="18" t="str">
        <f t="shared" ref="L54" si="68">L42</f>
        <v>jun</v>
      </c>
      <c r="M54" s="43">
        <f t="shared" si="21"/>
        <v>1428</v>
      </c>
      <c r="N54" s="53">
        <f t="shared" si="1"/>
        <v>921.88535836087283</v>
      </c>
      <c r="O54" s="43">
        <f t="shared" si="2"/>
        <v>428.4</v>
      </c>
      <c r="P54" s="43">
        <f t="shared" si="57"/>
        <v>493.48535836087285</v>
      </c>
      <c r="Q54" s="43">
        <f t="shared" si="58"/>
        <v>999.6</v>
      </c>
      <c r="R54" s="43">
        <f t="shared" si="59"/>
        <v>-506.11464163912717</v>
      </c>
      <c r="S54" s="43">
        <f t="shared" si="13"/>
        <v>2487.5219583940016</v>
      </c>
      <c r="T54" s="43">
        <f t="shared" si="60"/>
        <v>999.6</v>
      </c>
      <c r="U54" s="19">
        <f t="shared" si="6"/>
        <v>213.62465674368005</v>
      </c>
      <c r="V54" s="20">
        <f t="shared" si="7"/>
        <v>213.62465674368005</v>
      </c>
      <c r="W54" s="20">
        <f t="shared" si="8"/>
        <v>1449.088704</v>
      </c>
      <c r="X54" s="19">
        <f t="shared" si="9"/>
        <v>1235.4640472563199</v>
      </c>
      <c r="Y54" s="38">
        <f t="shared" si="10"/>
        <v>0.85257999999999989</v>
      </c>
      <c r="Z54" s="37">
        <f t="shared" si="15"/>
        <v>30029.103826667892</v>
      </c>
      <c r="AA54" s="44">
        <f t="shared" si="16"/>
        <v>0</v>
      </c>
      <c r="AC54" s="48">
        <f t="shared" si="17"/>
        <v>1235.4640472563199</v>
      </c>
    </row>
    <row r="55" spans="1:29" s="14" customFormat="1" x14ac:dyDescent="0.2">
      <c r="A55" s="14" t="str">
        <f t="shared" si="26"/>
        <v>Julho</v>
      </c>
      <c r="B55" s="14">
        <f t="shared" ref="B55:F55" si="69">B43</f>
        <v>31</v>
      </c>
      <c r="C55" s="15">
        <f t="shared" si="69"/>
        <v>2.91</v>
      </c>
      <c r="D55" s="15">
        <f t="shared" si="69"/>
        <v>3.4272282076395695</v>
      </c>
      <c r="E55" s="15">
        <f t="shared" si="69"/>
        <v>4.18</v>
      </c>
      <c r="F55" s="15">
        <f t="shared" si="69"/>
        <v>4.74</v>
      </c>
      <c r="G55" s="16">
        <f t="shared" si="52"/>
        <v>0.98560044000000002</v>
      </c>
      <c r="H55" s="15">
        <f t="shared" si="20"/>
        <v>1.1664000000000001</v>
      </c>
      <c r="I55" s="17">
        <f t="shared" si="55"/>
        <v>0.21371014080000003</v>
      </c>
      <c r="J55" s="14">
        <f t="shared" si="18"/>
        <v>31</v>
      </c>
      <c r="K55" s="25">
        <v>3</v>
      </c>
      <c r="L55" s="18" t="str">
        <f t="shared" ref="L55" si="70">L43</f>
        <v>jul</v>
      </c>
      <c r="M55" s="43">
        <f t="shared" si="21"/>
        <v>1392</v>
      </c>
      <c r="N55" s="53">
        <f t="shared" si="1"/>
        <v>1022.010655560332</v>
      </c>
      <c r="O55" s="43">
        <f t="shared" si="2"/>
        <v>417.59999999999997</v>
      </c>
      <c r="P55" s="43">
        <f t="shared" si="57"/>
        <v>604.41065556033209</v>
      </c>
      <c r="Q55" s="43">
        <f t="shared" si="58"/>
        <v>974.40000000000009</v>
      </c>
      <c r="R55" s="43">
        <f t="shared" si="59"/>
        <v>-369.989344439668</v>
      </c>
      <c r="S55" s="43">
        <f t="shared" si="13"/>
        <v>2117.5326139543336</v>
      </c>
      <c r="T55" s="43">
        <f t="shared" si="60"/>
        <v>974.40000000000009</v>
      </c>
      <c r="U55" s="19">
        <f t="shared" si="6"/>
        <v>208.23916119552004</v>
      </c>
      <c r="V55" s="20">
        <f t="shared" si="7"/>
        <v>208.23916119552004</v>
      </c>
      <c r="W55" s="20">
        <f t="shared" si="8"/>
        <v>1412.5570560000001</v>
      </c>
      <c r="X55" s="19">
        <f t="shared" si="9"/>
        <v>1204.3178948044801</v>
      </c>
      <c r="Y55" s="38">
        <f t="shared" si="10"/>
        <v>0.85258</v>
      </c>
      <c r="Z55" s="37">
        <f t="shared" si="15"/>
        <v>31233.421721472372</v>
      </c>
      <c r="AA55" s="44">
        <f t="shared" si="16"/>
        <v>0</v>
      </c>
      <c r="AC55" s="48">
        <f t="shared" si="17"/>
        <v>1204.3178948044801</v>
      </c>
    </row>
    <row r="56" spans="1:29" s="14" customFormat="1" x14ac:dyDescent="0.2">
      <c r="A56" s="14" t="str">
        <f t="shared" si="26"/>
        <v>Agosto</v>
      </c>
      <c r="B56" s="14">
        <f t="shared" ref="B56:F56" si="71">B44</f>
        <v>31</v>
      </c>
      <c r="C56" s="15">
        <f t="shared" si="71"/>
        <v>3.45</v>
      </c>
      <c r="D56" s="15">
        <f t="shared" si="71"/>
        <v>4.1147894221351615</v>
      </c>
      <c r="E56" s="15">
        <f t="shared" si="71"/>
        <v>4.83</v>
      </c>
      <c r="F56" s="15">
        <f t="shared" si="71"/>
        <v>5.21</v>
      </c>
      <c r="G56" s="16">
        <f t="shared" si="52"/>
        <v>0.98560044000000002</v>
      </c>
      <c r="H56" s="15">
        <f t="shared" si="20"/>
        <v>1.1664000000000001</v>
      </c>
      <c r="I56" s="17">
        <f t="shared" si="55"/>
        <v>0.21371014080000003</v>
      </c>
      <c r="J56" s="14">
        <f t="shared" si="18"/>
        <v>32</v>
      </c>
      <c r="K56" s="25">
        <v>3</v>
      </c>
      <c r="L56" s="18" t="str">
        <f t="shared" ref="L56" si="72">L44</f>
        <v>ago</v>
      </c>
      <c r="M56" s="43">
        <f t="shared" si="21"/>
        <v>1520</v>
      </c>
      <c r="N56" s="53">
        <f t="shared" si="1"/>
        <v>1227.0436574474356</v>
      </c>
      <c r="O56" s="43">
        <f t="shared" si="2"/>
        <v>456</v>
      </c>
      <c r="P56" s="43">
        <f t="shared" si="57"/>
        <v>771.04365744743563</v>
      </c>
      <c r="Q56" s="43">
        <f t="shared" si="58"/>
        <v>1064</v>
      </c>
      <c r="R56" s="43">
        <f t="shared" si="59"/>
        <v>-292.95634255256437</v>
      </c>
      <c r="S56" s="43">
        <f t="shared" si="13"/>
        <v>1824.5762714017692</v>
      </c>
      <c r="T56" s="43">
        <f t="shared" si="60"/>
        <v>1064</v>
      </c>
      <c r="U56" s="19">
        <f t="shared" si="6"/>
        <v>227.38758981120003</v>
      </c>
      <c r="V56" s="20">
        <f t="shared" si="7"/>
        <v>227.38758981120003</v>
      </c>
      <c r="W56" s="20">
        <f t="shared" si="8"/>
        <v>1542.4473600000003</v>
      </c>
      <c r="X56" s="19">
        <f t="shared" si="9"/>
        <v>1315.0597701888003</v>
      </c>
      <c r="Y56" s="38">
        <f t="shared" si="10"/>
        <v>0.85258</v>
      </c>
      <c r="Z56" s="37">
        <f t="shared" si="15"/>
        <v>32548.481491661172</v>
      </c>
      <c r="AA56" s="44">
        <f t="shared" si="16"/>
        <v>0</v>
      </c>
      <c r="AC56" s="48">
        <f t="shared" si="17"/>
        <v>1315.0597701888003</v>
      </c>
    </row>
    <row r="57" spans="1:29" s="14" customFormat="1" x14ac:dyDescent="0.2">
      <c r="A57" s="14" t="str">
        <f t="shared" si="26"/>
        <v>Setembro</v>
      </c>
      <c r="B57" s="14">
        <f t="shared" ref="B57:F57" si="73">B45</f>
        <v>30</v>
      </c>
      <c r="C57" s="15">
        <f t="shared" si="73"/>
        <v>3.82</v>
      </c>
      <c r="D57" s="15">
        <f t="shared" si="73"/>
        <v>4.2417238001958868</v>
      </c>
      <c r="E57" s="15">
        <f t="shared" si="73"/>
        <v>5.12</v>
      </c>
      <c r="F57" s="15">
        <f t="shared" si="73"/>
        <v>5.1100000000000003</v>
      </c>
      <c r="G57" s="16">
        <f t="shared" si="52"/>
        <v>0.98560044000000002</v>
      </c>
      <c r="H57" s="15">
        <f t="shared" si="20"/>
        <v>1.1664000000000001</v>
      </c>
      <c r="I57" s="17">
        <f t="shared" si="55"/>
        <v>0.21371014080000003</v>
      </c>
      <c r="J57" s="14">
        <f t="shared" si="18"/>
        <v>33</v>
      </c>
      <c r="K57" s="25">
        <v>3</v>
      </c>
      <c r="L57" s="18" t="str">
        <f t="shared" ref="L57" si="74">L45</f>
        <v>set</v>
      </c>
      <c r="M57" s="43">
        <f t="shared" si="21"/>
        <v>1400</v>
      </c>
      <c r="N57" s="53">
        <f t="shared" si="1"/>
        <v>1224.0928102738746</v>
      </c>
      <c r="O57" s="43">
        <f t="shared" si="2"/>
        <v>420</v>
      </c>
      <c r="P57" s="43">
        <f t="shared" si="57"/>
        <v>804.09281027387465</v>
      </c>
      <c r="Q57" s="43">
        <f t="shared" si="58"/>
        <v>980</v>
      </c>
      <c r="R57" s="43">
        <f t="shared" si="59"/>
        <v>-175.90718972612535</v>
      </c>
      <c r="S57" s="43">
        <f t="shared" si="13"/>
        <v>1648.6690816756438</v>
      </c>
      <c r="T57" s="43">
        <f t="shared" si="60"/>
        <v>980</v>
      </c>
      <c r="U57" s="19">
        <f t="shared" ref="U57:U88" si="75">T57*I57</f>
        <v>209.43593798400002</v>
      </c>
      <c r="V57" s="20">
        <f t="shared" si="7"/>
        <v>209.43593798400002</v>
      </c>
      <c r="W57" s="20">
        <f t="shared" si="8"/>
        <v>1420.6752000000001</v>
      </c>
      <c r="X57" s="19">
        <f t="shared" ref="X57:X88" si="76">W57-V57</f>
        <v>1211.2392620160001</v>
      </c>
      <c r="Y57" s="38">
        <f t="shared" si="10"/>
        <v>0.85258</v>
      </c>
      <c r="Z57" s="37">
        <f t="shared" si="15"/>
        <v>33759.720753677175</v>
      </c>
      <c r="AA57" s="44">
        <f t="shared" si="16"/>
        <v>0</v>
      </c>
      <c r="AC57" s="48">
        <f t="shared" si="17"/>
        <v>1211.2392620160001</v>
      </c>
    </row>
    <row r="58" spans="1:29" s="14" customFormat="1" x14ac:dyDescent="0.2">
      <c r="A58" s="14" t="str">
        <f t="shared" si="26"/>
        <v>Outubro</v>
      </c>
      <c r="B58" s="14">
        <f t="shared" ref="B58:F58" si="77">B46</f>
        <v>31</v>
      </c>
      <c r="C58" s="15">
        <f t="shared" si="77"/>
        <v>4.33</v>
      </c>
      <c r="D58" s="15">
        <f t="shared" si="77"/>
        <v>4.8763956904995114</v>
      </c>
      <c r="E58" s="15">
        <f t="shared" si="77"/>
        <v>5.57</v>
      </c>
      <c r="F58" s="15">
        <f t="shared" si="77"/>
        <v>5.17</v>
      </c>
      <c r="G58" s="16">
        <f t="shared" si="52"/>
        <v>0.98560044000000002</v>
      </c>
      <c r="H58" s="15">
        <f t="shared" si="20"/>
        <v>1.1664000000000001</v>
      </c>
      <c r="I58" s="17">
        <f t="shared" si="55"/>
        <v>0.21371014080000003</v>
      </c>
      <c r="J58" s="14">
        <f t="shared" si="18"/>
        <v>34</v>
      </c>
      <c r="K58" s="25">
        <v>3</v>
      </c>
      <c r="L58" s="18" t="str">
        <f t="shared" ref="L58" si="78">L46</f>
        <v>out</v>
      </c>
      <c r="M58" s="43">
        <f t="shared" si="21"/>
        <v>1340</v>
      </c>
      <c r="N58" s="53">
        <f t="shared" si="1"/>
        <v>1454.1571364608428</v>
      </c>
      <c r="O58" s="43">
        <f t="shared" si="2"/>
        <v>402</v>
      </c>
      <c r="P58" s="43">
        <f t="shared" si="57"/>
        <v>1052.1571364608428</v>
      </c>
      <c r="Q58" s="43">
        <f t="shared" si="58"/>
        <v>938</v>
      </c>
      <c r="R58" s="43">
        <f t="shared" si="59"/>
        <v>114.15713646084282</v>
      </c>
      <c r="S58" s="43">
        <f t="shared" si="13"/>
        <v>1762.8262181364867</v>
      </c>
      <c r="T58" s="43">
        <f t="shared" si="60"/>
        <v>938</v>
      </c>
      <c r="U58" s="19">
        <f t="shared" si="75"/>
        <v>200.46011207040002</v>
      </c>
      <c r="V58" s="20">
        <f t="shared" si="7"/>
        <v>200.46011207040002</v>
      </c>
      <c r="W58" s="20">
        <f t="shared" si="8"/>
        <v>1359.7891200000001</v>
      </c>
      <c r="X58" s="19">
        <f t="shared" si="76"/>
        <v>1159.3290079296</v>
      </c>
      <c r="Y58" s="38">
        <f t="shared" si="10"/>
        <v>0.85257999999999989</v>
      </c>
      <c r="Z58" s="37">
        <f t="shared" si="15"/>
        <v>34919.049761606773</v>
      </c>
      <c r="AA58" s="44">
        <f t="shared" si="16"/>
        <v>0</v>
      </c>
      <c r="AC58" s="48">
        <f t="shared" si="17"/>
        <v>1159.3290079296</v>
      </c>
    </row>
    <row r="59" spans="1:29" s="14" customFormat="1" x14ac:dyDescent="0.2">
      <c r="A59" s="14" t="str">
        <f t="shared" si="26"/>
        <v>Novembro</v>
      </c>
      <c r="B59" s="14">
        <f t="shared" ref="B59:F59" si="79">B47</f>
        <v>30</v>
      </c>
      <c r="C59" s="15">
        <f t="shared" si="79"/>
        <v>4.68</v>
      </c>
      <c r="D59" s="15">
        <f t="shared" si="79"/>
        <v>5.5745347698334964</v>
      </c>
      <c r="E59" s="15">
        <f t="shared" si="79"/>
        <v>5.89</v>
      </c>
      <c r="F59" s="15">
        <f t="shared" si="79"/>
        <v>5.23</v>
      </c>
      <c r="G59" s="16">
        <f t="shared" si="52"/>
        <v>0.98560044000000002</v>
      </c>
      <c r="H59" s="15">
        <f t="shared" si="20"/>
        <v>1.1664000000000001</v>
      </c>
      <c r="I59" s="17">
        <f t="shared" si="55"/>
        <v>0.21371014080000003</v>
      </c>
      <c r="J59" s="14">
        <f t="shared" si="18"/>
        <v>35</v>
      </c>
      <c r="K59" s="25">
        <v>3</v>
      </c>
      <c r="L59" s="18" t="str">
        <f t="shared" ref="L59" si="80">L47</f>
        <v>nov</v>
      </c>
      <c r="M59" s="43">
        <f t="shared" si="21"/>
        <v>1288</v>
      </c>
      <c r="N59" s="53">
        <f t="shared" si="1"/>
        <v>1608.720476344967</v>
      </c>
      <c r="O59" s="43">
        <f t="shared" si="2"/>
        <v>386.4</v>
      </c>
      <c r="P59" s="43">
        <f t="shared" si="57"/>
        <v>1222.3204763449671</v>
      </c>
      <c r="Q59" s="43">
        <f t="shared" si="58"/>
        <v>901.6</v>
      </c>
      <c r="R59" s="43">
        <f t="shared" si="59"/>
        <v>320.7204763449671</v>
      </c>
      <c r="S59" s="43">
        <f t="shared" si="13"/>
        <v>2083.5466944814539</v>
      </c>
      <c r="T59" s="43">
        <f t="shared" si="60"/>
        <v>901.6</v>
      </c>
      <c r="U59" s="19">
        <f t="shared" si="75"/>
        <v>192.68106294528005</v>
      </c>
      <c r="V59" s="20">
        <f t="shared" si="7"/>
        <v>192.68106294528005</v>
      </c>
      <c r="W59" s="20">
        <f t="shared" si="8"/>
        <v>1307.0211839999999</v>
      </c>
      <c r="X59" s="19">
        <f t="shared" si="76"/>
        <v>1114.3401210547199</v>
      </c>
      <c r="Y59" s="38">
        <f t="shared" si="10"/>
        <v>0.85258</v>
      </c>
      <c r="Z59" s="37">
        <f t="shared" si="15"/>
        <v>36033.38988266149</v>
      </c>
      <c r="AA59" s="44">
        <f t="shared" si="16"/>
        <v>0</v>
      </c>
      <c r="AC59" s="48">
        <f t="shared" si="17"/>
        <v>1114.3401210547199</v>
      </c>
    </row>
    <row r="60" spans="1:29" s="14" customFormat="1" x14ac:dyDescent="0.2">
      <c r="A60" s="14" t="str">
        <f t="shared" si="26"/>
        <v>Dezembro</v>
      </c>
      <c r="B60" s="14">
        <f t="shared" ref="B60:F60" si="81">B48</f>
        <v>31</v>
      </c>
      <c r="C60" s="15">
        <f t="shared" si="81"/>
        <v>4.8499999999999996</v>
      </c>
      <c r="D60" s="15">
        <f t="shared" si="81"/>
        <v>5.6062683643486775</v>
      </c>
      <c r="E60" s="15">
        <f t="shared" si="81"/>
        <v>6.05</v>
      </c>
      <c r="F60" s="15">
        <f t="shared" si="81"/>
        <v>5.29</v>
      </c>
      <c r="G60" s="16">
        <f t="shared" si="52"/>
        <v>0.98560044000000002</v>
      </c>
      <c r="H60" s="15">
        <f t="shared" si="20"/>
        <v>1.1664000000000001</v>
      </c>
      <c r="I60" s="17">
        <f t="shared" si="55"/>
        <v>0.21371014080000003</v>
      </c>
      <c r="J60" s="14">
        <f t="shared" si="18"/>
        <v>36</v>
      </c>
      <c r="K60" s="25">
        <v>3</v>
      </c>
      <c r="L60" s="18" t="str">
        <f t="shared" ref="L60" si="82">L48</f>
        <v>dez</v>
      </c>
      <c r="M60" s="43">
        <f t="shared" si="21"/>
        <v>1140</v>
      </c>
      <c r="N60" s="53">
        <f t="shared" si="1"/>
        <v>1671.807553848691</v>
      </c>
      <c r="O60" s="43">
        <f t="shared" si="2"/>
        <v>342</v>
      </c>
      <c r="P60" s="43">
        <f t="shared" si="57"/>
        <v>1329.807553848691</v>
      </c>
      <c r="Q60" s="43">
        <f t="shared" si="58"/>
        <v>798</v>
      </c>
      <c r="R60" s="43">
        <f t="shared" si="59"/>
        <v>531.80755384869099</v>
      </c>
      <c r="S60" s="43">
        <f t="shared" si="13"/>
        <v>2615.3542483301449</v>
      </c>
      <c r="T60" s="43">
        <f t="shared" si="60"/>
        <v>798</v>
      </c>
      <c r="U60" s="19">
        <f t="shared" si="75"/>
        <v>170.54069235840004</v>
      </c>
      <c r="V60" s="20">
        <f t="shared" si="7"/>
        <v>170.54069235840004</v>
      </c>
      <c r="W60" s="20">
        <f t="shared" si="8"/>
        <v>1156.8355200000001</v>
      </c>
      <c r="X60" s="19">
        <f t="shared" si="76"/>
        <v>986.29482764160002</v>
      </c>
      <c r="Y60" s="38">
        <f t="shared" si="10"/>
        <v>0.85258</v>
      </c>
      <c r="Z60" s="37">
        <f t="shared" si="15"/>
        <v>37019.684710303089</v>
      </c>
      <c r="AA60" s="44">
        <f t="shared" si="16"/>
        <v>0</v>
      </c>
      <c r="AC60" s="48">
        <f t="shared" si="17"/>
        <v>986.29482764160002</v>
      </c>
    </row>
    <row r="61" spans="1:29" s="14" customFormat="1" x14ac:dyDescent="0.2">
      <c r="A61" s="14" t="str">
        <f t="shared" si="26"/>
        <v>Janeiro</v>
      </c>
      <c r="B61" s="14">
        <f t="shared" ref="B61:F61" si="83">B49</f>
        <v>30</v>
      </c>
      <c r="C61" s="15">
        <f t="shared" si="83"/>
        <v>4.87</v>
      </c>
      <c r="D61" s="15">
        <f t="shared" si="83"/>
        <v>5.4581782566111663</v>
      </c>
      <c r="E61" s="15">
        <f t="shared" si="83"/>
        <v>6.01</v>
      </c>
      <c r="F61" s="15">
        <f t="shared" si="83"/>
        <v>5.31</v>
      </c>
      <c r="G61" s="16">
        <f t="shared" si="52"/>
        <v>0.98122043164464001</v>
      </c>
      <c r="H61" s="15">
        <f t="shared" si="20"/>
        <v>1.2597120000000002</v>
      </c>
      <c r="I61" s="17">
        <f>$F$2*$B$2*H61*$G$6</f>
        <v>0.25645216896000006</v>
      </c>
      <c r="J61" s="14">
        <f t="shared" si="18"/>
        <v>37</v>
      </c>
      <c r="K61" s="25">
        <f>K49+1</f>
        <v>4</v>
      </c>
      <c r="L61" s="18" t="str">
        <f t="shared" ref="L61" si="84">L49</f>
        <v>jan</v>
      </c>
      <c r="M61" s="43">
        <f t="shared" si="21"/>
        <v>836</v>
      </c>
      <c r="N61" s="53">
        <f t="shared" si="1"/>
        <v>1568.1419401040123</v>
      </c>
      <c r="O61" s="43">
        <f t="shared" si="2"/>
        <v>250.79999999999998</v>
      </c>
      <c r="P61" s="43">
        <f>N61-O61</f>
        <v>1317.3419401040123</v>
      </c>
      <c r="Q61" s="43">
        <f>M61-O61</f>
        <v>585.20000000000005</v>
      </c>
      <c r="R61" s="43">
        <f>P61-Q61</f>
        <v>732.14194010401229</v>
      </c>
      <c r="S61" s="43">
        <f t="shared" si="13"/>
        <v>3347.4961884341574</v>
      </c>
      <c r="T61" s="43">
        <f>MIN(Q61,P61+S60)</f>
        <v>585.20000000000005</v>
      </c>
      <c r="U61" s="19">
        <f t="shared" si="75"/>
        <v>150.07580927539206</v>
      </c>
      <c r="V61" s="20">
        <f t="shared" si="7"/>
        <v>150.07580927539206</v>
      </c>
      <c r="W61" s="20">
        <f t="shared" si="8"/>
        <v>916.21373184000015</v>
      </c>
      <c r="X61" s="19">
        <f t="shared" si="76"/>
        <v>766.13792256460806</v>
      </c>
      <c r="Y61" s="38">
        <f t="shared" si="10"/>
        <v>0.83619999999999994</v>
      </c>
      <c r="Z61" s="37">
        <f t="shared" si="15"/>
        <v>37785.822632867697</v>
      </c>
      <c r="AA61" s="44">
        <f t="shared" si="16"/>
        <v>0</v>
      </c>
      <c r="AC61" s="48">
        <f t="shared" si="17"/>
        <v>766.13792256460806</v>
      </c>
    </row>
    <row r="62" spans="1:29" s="14" customFormat="1" x14ac:dyDescent="0.2">
      <c r="A62" s="14" t="str">
        <f t="shared" si="26"/>
        <v>Fevereiro</v>
      </c>
      <c r="B62" s="14">
        <f t="shared" ref="B62:F62" si="85">B50</f>
        <v>28</v>
      </c>
      <c r="C62" s="15">
        <f t="shared" si="85"/>
        <v>4.75</v>
      </c>
      <c r="D62" s="15">
        <f t="shared" si="85"/>
        <v>5.2254652301665043</v>
      </c>
      <c r="E62" s="15">
        <f t="shared" si="85"/>
        <v>5.82</v>
      </c>
      <c r="F62" s="15">
        <f t="shared" si="85"/>
        <v>5.28</v>
      </c>
      <c r="G62" s="16">
        <f t="shared" si="52"/>
        <v>0.98122043164464001</v>
      </c>
      <c r="H62" s="15">
        <f t="shared" si="20"/>
        <v>1.2597120000000002</v>
      </c>
      <c r="I62" s="17">
        <f t="shared" ref="I62:I125" si="86">$F$2*$B$2*H62*$G$6</f>
        <v>0.25645216896000006</v>
      </c>
      <c r="J62" s="14">
        <f t="shared" si="18"/>
        <v>38</v>
      </c>
      <c r="K62" s="25">
        <f t="shared" ref="K62:K125" si="87">K50+1</f>
        <v>4</v>
      </c>
      <c r="L62" s="18" t="str">
        <f t="shared" ref="L62" si="88">L50</f>
        <v>fev</v>
      </c>
      <c r="M62" s="43">
        <f t="shared" si="21"/>
        <v>1088</v>
      </c>
      <c r="N62" s="53">
        <f t="shared" si="1"/>
        <v>1401.1976302014664</v>
      </c>
      <c r="O62" s="43">
        <f t="shared" si="2"/>
        <v>326.39999999999998</v>
      </c>
      <c r="P62" s="43">
        <f t="shared" ref="P62:P72" si="89">N62-O62</f>
        <v>1074.7976302014663</v>
      </c>
      <c r="Q62" s="43">
        <f t="shared" ref="Q62:Q72" si="90">M62-O62</f>
        <v>761.6</v>
      </c>
      <c r="R62" s="43">
        <f t="shared" ref="R62:R72" si="91">P62-Q62</f>
        <v>313.19763020146627</v>
      </c>
      <c r="S62" s="43">
        <f t="shared" si="13"/>
        <v>3660.6938186356238</v>
      </c>
      <c r="T62" s="43">
        <f t="shared" ref="T62:T72" si="92">MIN(Q62,P62+S61)</f>
        <v>761.6</v>
      </c>
      <c r="U62" s="19">
        <f t="shared" si="75"/>
        <v>195.31397187993605</v>
      </c>
      <c r="V62" s="20">
        <f t="shared" si="7"/>
        <v>195.31397187993605</v>
      </c>
      <c r="W62" s="20">
        <f t="shared" si="8"/>
        <v>1192.3929907200002</v>
      </c>
      <c r="X62" s="19">
        <f t="shared" si="76"/>
        <v>997.07901884006412</v>
      </c>
      <c r="Y62" s="38">
        <f t="shared" si="10"/>
        <v>0.83619999999999994</v>
      </c>
      <c r="Z62" s="37">
        <f t="shared" si="15"/>
        <v>38782.901651707762</v>
      </c>
      <c r="AA62" s="44">
        <f t="shared" si="16"/>
        <v>0</v>
      </c>
      <c r="AC62" s="48">
        <f t="shared" si="17"/>
        <v>997.07901884006412</v>
      </c>
    </row>
    <row r="63" spans="1:29" s="14" customFormat="1" x14ac:dyDescent="0.2">
      <c r="A63" s="14" t="str">
        <f t="shared" si="26"/>
        <v>Março</v>
      </c>
      <c r="B63" s="14">
        <f t="shared" ref="B63:F63" si="93">B51</f>
        <v>31</v>
      </c>
      <c r="C63" s="15">
        <f t="shared" si="93"/>
        <v>4.21</v>
      </c>
      <c r="D63" s="15">
        <f t="shared" si="93"/>
        <v>4.7494613124387861</v>
      </c>
      <c r="E63" s="15">
        <f t="shared" si="93"/>
        <v>5.43</v>
      </c>
      <c r="F63" s="15">
        <f t="shared" si="93"/>
        <v>5.14</v>
      </c>
      <c r="G63" s="16">
        <f t="shared" si="52"/>
        <v>0.98122043164464001</v>
      </c>
      <c r="H63" s="15">
        <f t="shared" si="20"/>
        <v>1.2597120000000002</v>
      </c>
      <c r="I63" s="17">
        <f t="shared" si="86"/>
        <v>0.25645216896000006</v>
      </c>
      <c r="J63" s="14">
        <f t="shared" si="18"/>
        <v>39</v>
      </c>
      <c r="K63" s="25">
        <f t="shared" si="87"/>
        <v>4</v>
      </c>
      <c r="L63" s="18" t="str">
        <f t="shared" ref="L63" si="94">L51</f>
        <v>mar</v>
      </c>
      <c r="M63" s="43">
        <f t="shared" si="21"/>
        <v>1152</v>
      </c>
      <c r="N63" s="53">
        <f t="shared" si="1"/>
        <v>1410.0108310276323</v>
      </c>
      <c r="O63" s="43">
        <f t="shared" si="2"/>
        <v>345.59999999999997</v>
      </c>
      <c r="P63" s="43">
        <f t="shared" si="89"/>
        <v>1064.4108310276324</v>
      </c>
      <c r="Q63" s="43">
        <f t="shared" si="90"/>
        <v>806.40000000000009</v>
      </c>
      <c r="R63" s="43">
        <f t="shared" si="91"/>
        <v>258.01083102763232</v>
      </c>
      <c r="S63" s="43">
        <f t="shared" si="13"/>
        <v>3918.7046496632561</v>
      </c>
      <c r="T63" s="43">
        <f t="shared" si="92"/>
        <v>806.40000000000009</v>
      </c>
      <c r="U63" s="19">
        <f t="shared" si="75"/>
        <v>206.80302904934408</v>
      </c>
      <c r="V63" s="20">
        <f t="shared" si="7"/>
        <v>206.80302904934408</v>
      </c>
      <c r="W63" s="20">
        <f t="shared" si="8"/>
        <v>1262.5337548800003</v>
      </c>
      <c r="X63" s="19">
        <f t="shared" si="76"/>
        <v>1055.7307258306562</v>
      </c>
      <c r="Y63" s="38">
        <f t="shared" si="10"/>
        <v>0.83619999999999994</v>
      </c>
      <c r="Z63" s="37">
        <f t="shared" si="15"/>
        <v>39838.632377538415</v>
      </c>
      <c r="AA63" s="44">
        <f t="shared" si="16"/>
        <v>0</v>
      </c>
      <c r="AC63" s="48">
        <f t="shared" si="17"/>
        <v>1055.7307258306562</v>
      </c>
    </row>
    <row r="64" spans="1:29" s="14" customFormat="1" x14ac:dyDescent="0.2">
      <c r="A64" s="14" t="str">
        <f t="shared" si="26"/>
        <v>Abril</v>
      </c>
      <c r="B64" s="14">
        <f t="shared" ref="B64:F64" si="95">B52</f>
        <v>30</v>
      </c>
      <c r="C64" s="15">
        <f t="shared" si="95"/>
        <v>3.59</v>
      </c>
      <c r="D64" s="15">
        <f t="shared" si="95"/>
        <v>4.1465230166503426</v>
      </c>
      <c r="E64" s="15">
        <f t="shared" si="95"/>
        <v>4.91</v>
      </c>
      <c r="F64" s="15">
        <f t="shared" si="95"/>
        <v>4.97</v>
      </c>
      <c r="G64" s="16">
        <f t="shared" si="52"/>
        <v>0.98122043164464001</v>
      </c>
      <c r="H64" s="15">
        <f t="shared" si="20"/>
        <v>1.2597120000000002</v>
      </c>
      <c r="I64" s="17">
        <f t="shared" si="86"/>
        <v>0.25645216896000006</v>
      </c>
      <c r="J64" s="14">
        <f t="shared" si="18"/>
        <v>40</v>
      </c>
      <c r="K64" s="25">
        <f t="shared" si="87"/>
        <v>4</v>
      </c>
      <c r="L64" s="18" t="str">
        <f t="shared" ref="L64" si="96">L52</f>
        <v>abr</v>
      </c>
      <c r="M64" s="43">
        <f t="shared" si="21"/>
        <v>1000</v>
      </c>
      <c r="N64" s="53">
        <f t="shared" si="1"/>
        <v>1191.3016289162263</v>
      </c>
      <c r="O64" s="43">
        <f t="shared" si="2"/>
        <v>300</v>
      </c>
      <c r="P64" s="43">
        <f t="shared" si="89"/>
        <v>891.30162891622626</v>
      </c>
      <c r="Q64" s="43">
        <f t="shared" si="90"/>
        <v>700</v>
      </c>
      <c r="R64" s="43">
        <f t="shared" si="91"/>
        <v>191.30162891622626</v>
      </c>
      <c r="S64" s="43">
        <f t="shared" si="13"/>
        <v>4110.0062785794826</v>
      </c>
      <c r="T64" s="43">
        <f t="shared" si="92"/>
        <v>700</v>
      </c>
      <c r="U64" s="19">
        <f t="shared" si="75"/>
        <v>179.51651827200004</v>
      </c>
      <c r="V64" s="20">
        <f t="shared" si="7"/>
        <v>179.51651827200004</v>
      </c>
      <c r="W64" s="20">
        <f t="shared" si="8"/>
        <v>1095.9494400000001</v>
      </c>
      <c r="X64" s="19">
        <f t="shared" si="76"/>
        <v>916.43292172800011</v>
      </c>
      <c r="Y64" s="38">
        <f t="shared" si="10"/>
        <v>0.83620000000000005</v>
      </c>
      <c r="Z64" s="37">
        <f t="shared" si="15"/>
        <v>40755.065299266418</v>
      </c>
      <c r="AA64" s="44">
        <f t="shared" si="16"/>
        <v>0</v>
      </c>
      <c r="AC64" s="48">
        <f t="shared" si="17"/>
        <v>916.43292172800011</v>
      </c>
    </row>
    <row r="65" spans="1:29" s="14" customFormat="1" x14ac:dyDescent="0.2">
      <c r="A65" s="14" t="str">
        <f t="shared" si="26"/>
        <v>Maio</v>
      </c>
      <c r="B65" s="14">
        <f t="shared" ref="B65:F65" si="97">B53</f>
        <v>31</v>
      </c>
      <c r="C65" s="15">
        <f t="shared" si="97"/>
        <v>2.98</v>
      </c>
      <c r="D65" s="15">
        <f t="shared" si="97"/>
        <v>3.3849167482859945</v>
      </c>
      <c r="E65" s="15">
        <f t="shared" si="97"/>
        <v>4.25</v>
      </c>
      <c r="F65" s="15">
        <f t="shared" si="97"/>
        <v>4.66</v>
      </c>
      <c r="G65" s="16">
        <f t="shared" si="52"/>
        <v>0.98122043164464001</v>
      </c>
      <c r="H65" s="15">
        <f t="shared" si="20"/>
        <v>1.2597120000000002</v>
      </c>
      <c r="I65" s="17">
        <f t="shared" si="86"/>
        <v>0.25645216896000006</v>
      </c>
      <c r="J65" s="14">
        <f t="shared" si="18"/>
        <v>41</v>
      </c>
      <c r="K65" s="25">
        <f t="shared" si="87"/>
        <v>4</v>
      </c>
      <c r="L65" s="18" t="str">
        <f t="shared" ref="L65" si="98">L53</f>
        <v>mai</v>
      </c>
      <c r="M65" s="43">
        <f t="shared" si="21"/>
        <v>1396</v>
      </c>
      <c r="N65" s="53">
        <f t="shared" si="1"/>
        <v>1004.9074965007625</v>
      </c>
      <c r="O65" s="43">
        <f t="shared" si="2"/>
        <v>418.8</v>
      </c>
      <c r="P65" s="43">
        <f t="shared" si="89"/>
        <v>586.10749650076241</v>
      </c>
      <c r="Q65" s="43">
        <f t="shared" si="90"/>
        <v>977.2</v>
      </c>
      <c r="R65" s="43">
        <f t="shared" si="91"/>
        <v>-391.09250349923764</v>
      </c>
      <c r="S65" s="43">
        <f t="shared" si="13"/>
        <v>3718.9137750802447</v>
      </c>
      <c r="T65" s="43">
        <f t="shared" si="92"/>
        <v>977.2</v>
      </c>
      <c r="U65" s="19">
        <f t="shared" si="75"/>
        <v>250.60505950771207</v>
      </c>
      <c r="V65" s="20">
        <f t="shared" si="7"/>
        <v>250.60505950771207</v>
      </c>
      <c r="W65" s="20">
        <f t="shared" si="8"/>
        <v>1529.9454182400002</v>
      </c>
      <c r="X65" s="19">
        <f t="shared" si="76"/>
        <v>1279.3403587322882</v>
      </c>
      <c r="Y65" s="38">
        <f t="shared" si="10"/>
        <v>0.83620000000000005</v>
      </c>
      <c r="Z65" s="37">
        <f t="shared" si="15"/>
        <v>42034.405657998708</v>
      </c>
      <c r="AA65" s="44">
        <f t="shared" si="16"/>
        <v>0</v>
      </c>
      <c r="AC65" s="48">
        <f t="shared" si="17"/>
        <v>1279.3403587322882</v>
      </c>
    </row>
    <row r="66" spans="1:29" s="14" customFormat="1" x14ac:dyDescent="0.2">
      <c r="A66" s="14" t="str">
        <f t="shared" si="26"/>
        <v>Junho</v>
      </c>
      <c r="B66" s="14">
        <f t="shared" ref="B66:F66" si="99">B54</f>
        <v>30</v>
      </c>
      <c r="C66" s="15">
        <f t="shared" si="99"/>
        <v>2.74</v>
      </c>
      <c r="D66" s="15">
        <f t="shared" si="99"/>
        <v>3.1945151811949071</v>
      </c>
      <c r="E66" s="15">
        <f t="shared" si="99"/>
        <v>3.92</v>
      </c>
      <c r="F66" s="15">
        <f t="shared" si="99"/>
        <v>4.47</v>
      </c>
      <c r="G66" s="16">
        <f t="shared" si="52"/>
        <v>0.98122043164464001</v>
      </c>
      <c r="H66" s="15">
        <f t="shared" si="20"/>
        <v>1.2597120000000002</v>
      </c>
      <c r="I66" s="17">
        <f t="shared" si="86"/>
        <v>0.25645216896000006</v>
      </c>
      <c r="J66" s="14">
        <f t="shared" si="18"/>
        <v>42</v>
      </c>
      <c r="K66" s="25">
        <f t="shared" si="87"/>
        <v>4</v>
      </c>
      <c r="L66" s="18" t="str">
        <f t="shared" ref="L66" si="100">L54</f>
        <v>jun</v>
      </c>
      <c r="M66" s="43">
        <f t="shared" si="21"/>
        <v>1428</v>
      </c>
      <c r="N66" s="53">
        <f t="shared" si="1"/>
        <v>917.78849982831719</v>
      </c>
      <c r="O66" s="43">
        <f t="shared" si="2"/>
        <v>428.4</v>
      </c>
      <c r="P66" s="43">
        <f t="shared" si="89"/>
        <v>489.38849982831721</v>
      </c>
      <c r="Q66" s="43">
        <f t="shared" si="90"/>
        <v>999.6</v>
      </c>
      <c r="R66" s="43">
        <f t="shared" si="91"/>
        <v>-510.21150017168281</v>
      </c>
      <c r="S66" s="43">
        <f t="shared" si="13"/>
        <v>3208.7022749085618</v>
      </c>
      <c r="T66" s="43">
        <f t="shared" si="92"/>
        <v>999.6</v>
      </c>
      <c r="U66" s="19">
        <f t="shared" si="75"/>
        <v>256.34958809241607</v>
      </c>
      <c r="V66" s="20">
        <f t="shared" si="7"/>
        <v>256.34958809241607</v>
      </c>
      <c r="W66" s="20">
        <f t="shared" si="8"/>
        <v>1565.0158003200002</v>
      </c>
      <c r="X66" s="19">
        <f t="shared" si="76"/>
        <v>1308.6662122275841</v>
      </c>
      <c r="Y66" s="38">
        <f t="shared" si="10"/>
        <v>0.83619999999999994</v>
      </c>
      <c r="Z66" s="37">
        <f t="shared" si="15"/>
        <v>43343.071870226289</v>
      </c>
      <c r="AA66" s="44">
        <f t="shared" si="16"/>
        <v>0</v>
      </c>
      <c r="AC66" s="48">
        <f t="shared" si="17"/>
        <v>1308.6662122275841</v>
      </c>
    </row>
    <row r="67" spans="1:29" s="14" customFormat="1" x14ac:dyDescent="0.2">
      <c r="A67" s="14" t="str">
        <f t="shared" si="26"/>
        <v>Julho</v>
      </c>
      <c r="B67" s="14">
        <f t="shared" ref="B67:F67" si="101">B55</f>
        <v>31</v>
      </c>
      <c r="C67" s="15">
        <f t="shared" si="101"/>
        <v>2.91</v>
      </c>
      <c r="D67" s="15">
        <f t="shared" si="101"/>
        <v>3.4272282076395695</v>
      </c>
      <c r="E67" s="15">
        <f t="shared" si="101"/>
        <v>4.18</v>
      </c>
      <c r="F67" s="15">
        <f t="shared" si="101"/>
        <v>4.74</v>
      </c>
      <c r="G67" s="16">
        <f t="shared" si="52"/>
        <v>0.98122043164464001</v>
      </c>
      <c r="H67" s="15">
        <f t="shared" si="20"/>
        <v>1.2597120000000002</v>
      </c>
      <c r="I67" s="17">
        <f t="shared" si="86"/>
        <v>0.25645216896000006</v>
      </c>
      <c r="J67" s="14">
        <f t="shared" si="18"/>
        <v>43</v>
      </c>
      <c r="K67" s="25">
        <f t="shared" si="87"/>
        <v>4</v>
      </c>
      <c r="L67" s="18" t="str">
        <f t="shared" ref="L67" si="102">L55</f>
        <v>jul</v>
      </c>
      <c r="M67" s="43">
        <f t="shared" si="21"/>
        <v>1392</v>
      </c>
      <c r="N67" s="53">
        <f t="shared" si="1"/>
        <v>1017.4688402070219</v>
      </c>
      <c r="O67" s="43">
        <f t="shared" si="2"/>
        <v>417.59999999999997</v>
      </c>
      <c r="P67" s="43">
        <f t="shared" si="89"/>
        <v>599.868840207022</v>
      </c>
      <c r="Q67" s="43">
        <f t="shared" si="90"/>
        <v>974.40000000000009</v>
      </c>
      <c r="R67" s="43">
        <f t="shared" si="91"/>
        <v>-374.53115979297809</v>
      </c>
      <c r="S67" s="43">
        <f t="shared" si="13"/>
        <v>2834.1711151155837</v>
      </c>
      <c r="T67" s="43">
        <f t="shared" si="92"/>
        <v>974.40000000000009</v>
      </c>
      <c r="U67" s="19">
        <f t="shared" si="75"/>
        <v>249.88699343462409</v>
      </c>
      <c r="V67" s="20">
        <f t="shared" si="7"/>
        <v>249.88699343462409</v>
      </c>
      <c r="W67" s="20">
        <f t="shared" si="8"/>
        <v>1525.5616204800001</v>
      </c>
      <c r="X67" s="19">
        <f t="shared" si="76"/>
        <v>1275.6746270453759</v>
      </c>
      <c r="Y67" s="38">
        <f t="shared" si="10"/>
        <v>0.83619999999999994</v>
      </c>
      <c r="Z67" s="37">
        <f t="shared" si="15"/>
        <v>44618.746497271663</v>
      </c>
      <c r="AA67" s="44">
        <f t="shared" si="16"/>
        <v>0</v>
      </c>
      <c r="AC67" s="48">
        <f t="shared" si="17"/>
        <v>1275.6746270453759</v>
      </c>
    </row>
    <row r="68" spans="1:29" s="14" customFormat="1" x14ac:dyDescent="0.2">
      <c r="A68" s="14" t="str">
        <f t="shared" si="26"/>
        <v>Agosto</v>
      </c>
      <c r="B68" s="14">
        <f t="shared" ref="B68:F68" si="103">B56</f>
        <v>31</v>
      </c>
      <c r="C68" s="15">
        <f t="shared" si="103"/>
        <v>3.45</v>
      </c>
      <c r="D68" s="15">
        <f t="shared" si="103"/>
        <v>4.1147894221351615</v>
      </c>
      <c r="E68" s="15">
        <f t="shared" si="103"/>
        <v>4.83</v>
      </c>
      <c r="F68" s="15">
        <f t="shared" si="103"/>
        <v>5.21</v>
      </c>
      <c r="G68" s="16">
        <f t="shared" si="52"/>
        <v>0.98122043164464001</v>
      </c>
      <c r="H68" s="15">
        <f t="shared" si="20"/>
        <v>1.2597120000000002</v>
      </c>
      <c r="I68" s="17">
        <f t="shared" si="86"/>
        <v>0.25645216896000006</v>
      </c>
      <c r="J68" s="14">
        <f t="shared" si="18"/>
        <v>44</v>
      </c>
      <c r="K68" s="25">
        <f t="shared" si="87"/>
        <v>4</v>
      </c>
      <c r="L68" s="18" t="str">
        <f t="shared" ref="L68" si="104">L56</f>
        <v>ago</v>
      </c>
      <c r="M68" s="43">
        <f t="shared" si="21"/>
        <v>1520</v>
      </c>
      <c r="N68" s="53">
        <f t="shared" si="1"/>
        <v>1221.5906754337393</v>
      </c>
      <c r="O68" s="43">
        <f t="shared" si="2"/>
        <v>456</v>
      </c>
      <c r="P68" s="43">
        <f t="shared" si="89"/>
        <v>765.59067543373931</v>
      </c>
      <c r="Q68" s="43">
        <f t="shared" si="90"/>
        <v>1064</v>
      </c>
      <c r="R68" s="43">
        <f t="shared" si="91"/>
        <v>-298.40932456626069</v>
      </c>
      <c r="S68" s="43">
        <f t="shared" si="13"/>
        <v>2535.761790549323</v>
      </c>
      <c r="T68" s="43">
        <f t="shared" si="92"/>
        <v>1064</v>
      </c>
      <c r="U68" s="19">
        <f t="shared" si="75"/>
        <v>272.86510777344006</v>
      </c>
      <c r="V68" s="20">
        <f t="shared" si="7"/>
        <v>272.86510777344006</v>
      </c>
      <c r="W68" s="20">
        <f t="shared" si="8"/>
        <v>1665.8431488000003</v>
      </c>
      <c r="X68" s="19">
        <f t="shared" si="76"/>
        <v>1392.9780410265603</v>
      </c>
      <c r="Y68" s="38">
        <f t="shared" si="10"/>
        <v>0.83619999999999994</v>
      </c>
      <c r="Z68" s="37">
        <f t="shared" si="15"/>
        <v>46011.724538298222</v>
      </c>
      <c r="AA68" s="44">
        <f t="shared" si="16"/>
        <v>0</v>
      </c>
      <c r="AC68" s="48">
        <f t="shared" si="17"/>
        <v>1392.9780410265603</v>
      </c>
    </row>
    <row r="69" spans="1:29" s="14" customFormat="1" x14ac:dyDescent="0.2">
      <c r="A69" s="14" t="str">
        <f t="shared" si="26"/>
        <v>Setembro</v>
      </c>
      <c r="B69" s="14">
        <f t="shared" ref="B69:F69" si="105">B57</f>
        <v>30</v>
      </c>
      <c r="C69" s="15">
        <f t="shared" si="105"/>
        <v>3.82</v>
      </c>
      <c r="D69" s="15">
        <f t="shared" si="105"/>
        <v>4.2417238001958868</v>
      </c>
      <c r="E69" s="15">
        <f t="shared" si="105"/>
        <v>5.12</v>
      </c>
      <c r="F69" s="15">
        <f t="shared" si="105"/>
        <v>5.1100000000000003</v>
      </c>
      <c r="G69" s="16">
        <f t="shared" si="52"/>
        <v>0.98122043164464001</v>
      </c>
      <c r="H69" s="15">
        <f t="shared" si="20"/>
        <v>1.2597120000000002</v>
      </c>
      <c r="I69" s="17">
        <f t="shared" si="86"/>
        <v>0.25645216896000006</v>
      </c>
      <c r="J69" s="14">
        <f t="shared" si="18"/>
        <v>45</v>
      </c>
      <c r="K69" s="25">
        <f t="shared" si="87"/>
        <v>4</v>
      </c>
      <c r="L69" s="18" t="str">
        <f t="shared" ref="L69" si="106">L57</f>
        <v>set</v>
      </c>
      <c r="M69" s="43">
        <f t="shared" si="21"/>
        <v>1400</v>
      </c>
      <c r="N69" s="53">
        <f t="shared" si="1"/>
        <v>1218.6529418250175</v>
      </c>
      <c r="O69" s="43">
        <f t="shared" si="2"/>
        <v>420</v>
      </c>
      <c r="P69" s="43">
        <f t="shared" si="89"/>
        <v>798.65294182501748</v>
      </c>
      <c r="Q69" s="43">
        <f t="shared" si="90"/>
        <v>980</v>
      </c>
      <c r="R69" s="43">
        <f t="shared" si="91"/>
        <v>-181.34705817498252</v>
      </c>
      <c r="S69" s="43">
        <f t="shared" si="13"/>
        <v>2354.4147323743405</v>
      </c>
      <c r="T69" s="43">
        <f t="shared" si="92"/>
        <v>980</v>
      </c>
      <c r="U69" s="19">
        <f t="shared" si="75"/>
        <v>251.32312558080005</v>
      </c>
      <c r="V69" s="20">
        <f t="shared" si="7"/>
        <v>251.32312558080005</v>
      </c>
      <c r="W69" s="20">
        <f t="shared" si="8"/>
        <v>1534.3292160000001</v>
      </c>
      <c r="X69" s="19">
        <f t="shared" si="76"/>
        <v>1283.0060904192001</v>
      </c>
      <c r="Y69" s="38">
        <f t="shared" si="10"/>
        <v>0.83619999999999994</v>
      </c>
      <c r="Z69" s="37">
        <f t="shared" si="15"/>
        <v>47294.730628717421</v>
      </c>
      <c r="AA69" s="44">
        <f t="shared" si="16"/>
        <v>0</v>
      </c>
      <c r="AC69" s="48">
        <f t="shared" si="17"/>
        <v>1283.0060904192001</v>
      </c>
    </row>
    <row r="70" spans="1:29" s="14" customFormat="1" x14ac:dyDescent="0.2">
      <c r="A70" s="14" t="str">
        <f t="shared" si="26"/>
        <v>Outubro</v>
      </c>
      <c r="B70" s="14">
        <f t="shared" ref="B70:F70" si="107">B58</f>
        <v>31</v>
      </c>
      <c r="C70" s="15">
        <f t="shared" si="107"/>
        <v>4.33</v>
      </c>
      <c r="D70" s="15">
        <f t="shared" si="107"/>
        <v>4.8763956904995114</v>
      </c>
      <c r="E70" s="15">
        <f t="shared" si="107"/>
        <v>5.57</v>
      </c>
      <c r="F70" s="15">
        <f t="shared" si="107"/>
        <v>5.17</v>
      </c>
      <c r="G70" s="16">
        <f t="shared" si="52"/>
        <v>0.98122043164464001</v>
      </c>
      <c r="H70" s="15">
        <f t="shared" si="20"/>
        <v>1.2597120000000002</v>
      </c>
      <c r="I70" s="17">
        <f t="shared" si="86"/>
        <v>0.25645216896000006</v>
      </c>
      <c r="J70" s="14">
        <f t="shared" si="18"/>
        <v>46</v>
      </c>
      <c r="K70" s="25">
        <f t="shared" si="87"/>
        <v>4</v>
      </c>
      <c r="L70" s="18" t="str">
        <f t="shared" ref="L70" si="108">L58</f>
        <v>out</v>
      </c>
      <c r="M70" s="43">
        <f t="shared" si="21"/>
        <v>1340</v>
      </c>
      <c r="N70" s="53">
        <f t="shared" si="1"/>
        <v>1447.6948621464107</v>
      </c>
      <c r="O70" s="43">
        <f t="shared" si="2"/>
        <v>402</v>
      </c>
      <c r="P70" s="43">
        <f t="shared" si="89"/>
        <v>1045.6948621464107</v>
      </c>
      <c r="Q70" s="43">
        <f t="shared" si="90"/>
        <v>938</v>
      </c>
      <c r="R70" s="43">
        <f t="shared" si="91"/>
        <v>107.69486214641074</v>
      </c>
      <c r="S70" s="43">
        <f t="shared" si="13"/>
        <v>2462.1095945207512</v>
      </c>
      <c r="T70" s="43">
        <f t="shared" si="92"/>
        <v>938</v>
      </c>
      <c r="U70" s="19">
        <f t="shared" si="75"/>
        <v>240.55213448448006</v>
      </c>
      <c r="V70" s="20">
        <f t="shared" si="7"/>
        <v>240.55213448448006</v>
      </c>
      <c r="W70" s="20">
        <f t="shared" si="8"/>
        <v>1468.5722496000001</v>
      </c>
      <c r="X70" s="19">
        <f t="shared" si="76"/>
        <v>1228.02011511552</v>
      </c>
      <c r="Y70" s="38">
        <f t="shared" si="10"/>
        <v>0.83619999999999994</v>
      </c>
      <c r="Z70" s="37">
        <f t="shared" si="15"/>
        <v>48522.750743832941</v>
      </c>
      <c r="AA70" s="44">
        <f t="shared" si="16"/>
        <v>0</v>
      </c>
      <c r="AC70" s="48">
        <f t="shared" si="17"/>
        <v>1228.02011511552</v>
      </c>
    </row>
    <row r="71" spans="1:29" s="14" customFormat="1" x14ac:dyDescent="0.2">
      <c r="A71" s="14" t="str">
        <f t="shared" si="26"/>
        <v>Novembro</v>
      </c>
      <c r="B71" s="14">
        <f t="shared" ref="B71:F71" si="109">B59</f>
        <v>30</v>
      </c>
      <c r="C71" s="15">
        <f t="shared" si="109"/>
        <v>4.68</v>
      </c>
      <c r="D71" s="15">
        <f t="shared" si="109"/>
        <v>5.5745347698334964</v>
      </c>
      <c r="E71" s="15">
        <f t="shared" si="109"/>
        <v>5.89</v>
      </c>
      <c r="F71" s="15">
        <f t="shared" si="109"/>
        <v>5.23</v>
      </c>
      <c r="G71" s="16">
        <f t="shared" si="52"/>
        <v>0.98122043164464001</v>
      </c>
      <c r="H71" s="15">
        <f t="shared" si="20"/>
        <v>1.2597120000000002</v>
      </c>
      <c r="I71" s="17">
        <f t="shared" si="86"/>
        <v>0.25645216896000006</v>
      </c>
      <c r="J71" s="14">
        <f t="shared" si="18"/>
        <v>47</v>
      </c>
      <c r="K71" s="25">
        <f t="shared" si="87"/>
        <v>4</v>
      </c>
      <c r="L71" s="18" t="str">
        <f t="shared" ref="L71" si="110">L59</f>
        <v>nov</v>
      </c>
      <c r="M71" s="43">
        <f t="shared" si="21"/>
        <v>1288</v>
      </c>
      <c r="N71" s="53">
        <f t="shared" si="1"/>
        <v>1601.5713225480899</v>
      </c>
      <c r="O71" s="43">
        <f t="shared" si="2"/>
        <v>386.4</v>
      </c>
      <c r="P71" s="43">
        <f t="shared" si="89"/>
        <v>1215.1713225480898</v>
      </c>
      <c r="Q71" s="43">
        <f t="shared" si="90"/>
        <v>901.6</v>
      </c>
      <c r="R71" s="43">
        <f t="shared" si="91"/>
        <v>313.57132254808982</v>
      </c>
      <c r="S71" s="43">
        <f t="shared" si="13"/>
        <v>2775.6809170688412</v>
      </c>
      <c r="T71" s="43">
        <f t="shared" si="92"/>
        <v>901.6</v>
      </c>
      <c r="U71" s="19">
        <f t="shared" si="75"/>
        <v>231.21727553433607</v>
      </c>
      <c r="V71" s="20">
        <f t="shared" si="7"/>
        <v>231.21727553433607</v>
      </c>
      <c r="W71" s="20">
        <f t="shared" si="8"/>
        <v>1411.5828787200001</v>
      </c>
      <c r="X71" s="19">
        <f t="shared" si="76"/>
        <v>1180.365603185664</v>
      </c>
      <c r="Y71" s="38">
        <f t="shared" si="10"/>
        <v>0.83619999999999994</v>
      </c>
      <c r="Z71" s="37">
        <f t="shared" si="15"/>
        <v>49703.116347018607</v>
      </c>
      <c r="AA71" s="44">
        <f t="shared" si="16"/>
        <v>0</v>
      </c>
      <c r="AC71" s="48">
        <f t="shared" si="17"/>
        <v>1180.365603185664</v>
      </c>
    </row>
    <row r="72" spans="1:29" s="14" customFormat="1" x14ac:dyDescent="0.2">
      <c r="A72" s="14" t="str">
        <f t="shared" si="26"/>
        <v>Dezembro</v>
      </c>
      <c r="B72" s="14">
        <f t="shared" ref="B72:F72" si="111">B60</f>
        <v>31</v>
      </c>
      <c r="C72" s="15">
        <f t="shared" si="111"/>
        <v>4.8499999999999996</v>
      </c>
      <c r="D72" s="15">
        <f t="shared" si="111"/>
        <v>5.6062683643486775</v>
      </c>
      <c r="E72" s="15">
        <f t="shared" si="111"/>
        <v>6.05</v>
      </c>
      <c r="F72" s="15">
        <f t="shared" si="111"/>
        <v>5.29</v>
      </c>
      <c r="G72" s="16">
        <f t="shared" si="52"/>
        <v>0.98122043164464001</v>
      </c>
      <c r="H72" s="15">
        <f t="shared" si="20"/>
        <v>1.2597120000000002</v>
      </c>
      <c r="I72" s="17">
        <f t="shared" si="86"/>
        <v>0.25645216896000006</v>
      </c>
      <c r="J72" s="14">
        <f t="shared" si="18"/>
        <v>48</v>
      </c>
      <c r="K72" s="25">
        <f t="shared" si="87"/>
        <v>4</v>
      </c>
      <c r="L72" s="18" t="str">
        <f t="shared" ref="L72" si="112">L60</f>
        <v>dez</v>
      </c>
      <c r="M72" s="43">
        <f t="shared" si="21"/>
        <v>1140</v>
      </c>
      <c r="N72" s="53">
        <f t="shared" si="1"/>
        <v>1664.3780410793875</v>
      </c>
      <c r="O72" s="43">
        <f t="shared" si="2"/>
        <v>342</v>
      </c>
      <c r="P72" s="43">
        <f t="shared" si="89"/>
        <v>1322.3780410793875</v>
      </c>
      <c r="Q72" s="43">
        <f t="shared" si="90"/>
        <v>798</v>
      </c>
      <c r="R72" s="43">
        <f t="shared" si="91"/>
        <v>524.37804107938746</v>
      </c>
      <c r="S72" s="43">
        <f t="shared" si="13"/>
        <v>3300.0589581482286</v>
      </c>
      <c r="T72" s="43">
        <f t="shared" si="92"/>
        <v>798</v>
      </c>
      <c r="U72" s="19">
        <f t="shared" si="75"/>
        <v>204.64883083008004</v>
      </c>
      <c r="V72" s="20">
        <f t="shared" si="7"/>
        <v>204.64883083008004</v>
      </c>
      <c r="W72" s="20">
        <f t="shared" si="8"/>
        <v>1249.3823616000002</v>
      </c>
      <c r="X72" s="19">
        <f t="shared" si="76"/>
        <v>1044.7335307699202</v>
      </c>
      <c r="Y72" s="38">
        <f t="shared" si="10"/>
        <v>0.83620000000000005</v>
      </c>
      <c r="Z72" s="37">
        <f t="shared" si="15"/>
        <v>50747.849877788525</v>
      </c>
      <c r="AA72" s="44">
        <f t="shared" si="16"/>
        <v>0</v>
      </c>
      <c r="AC72" s="48">
        <f t="shared" si="17"/>
        <v>1044.7335307699202</v>
      </c>
    </row>
    <row r="73" spans="1:29" s="14" customFormat="1" x14ac:dyDescent="0.2">
      <c r="A73" s="14" t="str">
        <f t="shared" si="26"/>
        <v>Janeiro</v>
      </c>
      <c r="B73" s="14">
        <f t="shared" ref="B73:F73" si="113">B61</f>
        <v>30</v>
      </c>
      <c r="C73" s="15">
        <f t="shared" si="113"/>
        <v>4.87</v>
      </c>
      <c r="D73" s="15">
        <f t="shared" si="113"/>
        <v>5.4581782566111663</v>
      </c>
      <c r="E73" s="15">
        <f t="shared" si="113"/>
        <v>6.01</v>
      </c>
      <c r="F73" s="15">
        <f t="shared" si="113"/>
        <v>5.31</v>
      </c>
      <c r="G73" s="16">
        <f t="shared" si="52"/>
        <v>0.97685988804641122</v>
      </c>
      <c r="H73" s="15">
        <f t="shared" si="20"/>
        <v>1.3604889600000003</v>
      </c>
      <c r="I73" s="17">
        <f t="shared" si="86"/>
        <v>0.27696834247680008</v>
      </c>
      <c r="J73" s="14">
        <f t="shared" si="18"/>
        <v>49</v>
      </c>
      <c r="K73" s="25">
        <f t="shared" si="87"/>
        <v>5</v>
      </c>
      <c r="L73" s="18" t="str">
        <f t="shared" ref="L73" si="114">L61</f>
        <v>jan</v>
      </c>
      <c r="M73" s="43">
        <f t="shared" si="21"/>
        <v>836</v>
      </c>
      <c r="N73" s="53">
        <f t="shared" si="1"/>
        <v>1561.1731173221899</v>
      </c>
      <c r="O73" s="43">
        <f t="shared" si="2"/>
        <v>250.79999999999998</v>
      </c>
      <c r="P73" s="43">
        <f t="shared" ref="P73:P96" si="115">N73-O73</f>
        <v>1310.37311732219</v>
      </c>
      <c r="Q73" s="43">
        <f t="shared" ref="Q73:Q96" si="116">M73-O73</f>
        <v>585.20000000000005</v>
      </c>
      <c r="R73" s="43">
        <f t="shared" ref="R73:R96" si="117">P73-Q73</f>
        <v>725.17311732218991</v>
      </c>
      <c r="S73" s="43">
        <f t="shared" si="13"/>
        <v>4025.2320754704187</v>
      </c>
      <c r="T73" s="43">
        <f t="shared" ref="T73:T96" si="118">MIN(Q73,P73+S72)</f>
        <v>585.20000000000005</v>
      </c>
      <c r="U73" s="19">
        <f t="shared" si="75"/>
        <v>162.08187401742342</v>
      </c>
      <c r="V73" s="20">
        <f t="shared" si="7"/>
        <v>162.08187401742342</v>
      </c>
      <c r="W73" s="20">
        <f t="shared" si="8"/>
        <v>989.51083038720026</v>
      </c>
      <c r="X73" s="19">
        <f t="shared" si="76"/>
        <v>827.42895636977687</v>
      </c>
      <c r="Y73" s="38">
        <f t="shared" si="10"/>
        <v>0.83620000000000005</v>
      </c>
      <c r="Z73" s="37">
        <f t="shared" si="15"/>
        <v>51575.2788341583</v>
      </c>
      <c r="AA73" s="44">
        <f t="shared" si="16"/>
        <v>0</v>
      </c>
      <c r="AC73" s="48">
        <f t="shared" si="17"/>
        <v>827.42895636977687</v>
      </c>
    </row>
    <row r="74" spans="1:29" s="14" customFormat="1" x14ac:dyDescent="0.2">
      <c r="A74" s="14" t="str">
        <f t="shared" si="26"/>
        <v>Fevereiro</v>
      </c>
      <c r="B74" s="14">
        <f t="shared" ref="B74:F74" si="119">B62</f>
        <v>28</v>
      </c>
      <c r="C74" s="15">
        <f t="shared" si="119"/>
        <v>4.75</v>
      </c>
      <c r="D74" s="15">
        <f t="shared" si="119"/>
        <v>5.2254652301665043</v>
      </c>
      <c r="E74" s="15">
        <f t="shared" si="119"/>
        <v>5.82</v>
      </c>
      <c r="F74" s="15">
        <f t="shared" si="119"/>
        <v>5.28</v>
      </c>
      <c r="G74" s="16">
        <f t="shared" si="52"/>
        <v>0.97685988804641122</v>
      </c>
      <c r="H74" s="15">
        <f t="shared" si="20"/>
        <v>1.3604889600000003</v>
      </c>
      <c r="I74" s="17">
        <f t="shared" si="86"/>
        <v>0.27696834247680008</v>
      </c>
      <c r="J74" s="14">
        <f t="shared" si="18"/>
        <v>50</v>
      </c>
      <c r="K74" s="25">
        <f t="shared" si="87"/>
        <v>5</v>
      </c>
      <c r="L74" s="18" t="str">
        <f t="shared" ref="L74" si="120">L62</f>
        <v>fev</v>
      </c>
      <c r="M74" s="43">
        <f t="shared" si="21"/>
        <v>1088</v>
      </c>
      <c r="N74" s="53">
        <f t="shared" si="1"/>
        <v>1394.9707079328509</v>
      </c>
      <c r="O74" s="43">
        <f t="shared" si="2"/>
        <v>326.39999999999998</v>
      </c>
      <c r="P74" s="43">
        <f t="shared" si="115"/>
        <v>1068.5707079328508</v>
      </c>
      <c r="Q74" s="43">
        <f t="shared" si="116"/>
        <v>761.6</v>
      </c>
      <c r="R74" s="43">
        <f t="shared" si="117"/>
        <v>306.97070793285081</v>
      </c>
      <c r="S74" s="43">
        <f t="shared" si="13"/>
        <v>4332.2027834032697</v>
      </c>
      <c r="T74" s="43">
        <f t="shared" si="118"/>
        <v>761.6</v>
      </c>
      <c r="U74" s="19">
        <f t="shared" si="75"/>
        <v>210.93908963033095</v>
      </c>
      <c r="V74" s="20">
        <f t="shared" si="7"/>
        <v>210.93908963033095</v>
      </c>
      <c r="W74" s="20">
        <f t="shared" si="8"/>
        <v>1287.7844299776002</v>
      </c>
      <c r="X74" s="19">
        <f t="shared" si="76"/>
        <v>1076.8453403472693</v>
      </c>
      <c r="Y74" s="38">
        <f t="shared" si="10"/>
        <v>0.83619999999999994</v>
      </c>
      <c r="Z74" s="37">
        <f t="shared" si="15"/>
        <v>52652.124174505567</v>
      </c>
      <c r="AA74" s="44">
        <f t="shared" si="16"/>
        <v>0</v>
      </c>
      <c r="AC74" s="48">
        <f t="shared" si="17"/>
        <v>1076.8453403472693</v>
      </c>
    </row>
    <row r="75" spans="1:29" s="14" customFormat="1" x14ac:dyDescent="0.2">
      <c r="A75" s="14" t="str">
        <f t="shared" si="26"/>
        <v>Março</v>
      </c>
      <c r="B75" s="14">
        <f t="shared" ref="B75:F75" si="121">B63</f>
        <v>31</v>
      </c>
      <c r="C75" s="15">
        <f t="shared" si="121"/>
        <v>4.21</v>
      </c>
      <c r="D75" s="15">
        <f t="shared" si="121"/>
        <v>4.7494613124387861</v>
      </c>
      <c r="E75" s="15">
        <f t="shared" si="121"/>
        <v>5.43</v>
      </c>
      <c r="F75" s="15">
        <f t="shared" si="121"/>
        <v>5.14</v>
      </c>
      <c r="G75" s="16">
        <f t="shared" si="52"/>
        <v>0.97685988804641122</v>
      </c>
      <c r="H75" s="15">
        <f t="shared" si="20"/>
        <v>1.3604889600000003</v>
      </c>
      <c r="I75" s="17">
        <f t="shared" si="86"/>
        <v>0.27696834247680008</v>
      </c>
      <c r="J75" s="14">
        <f t="shared" si="18"/>
        <v>51</v>
      </c>
      <c r="K75" s="25">
        <f t="shared" si="87"/>
        <v>5</v>
      </c>
      <c r="L75" s="18" t="str">
        <f t="shared" ref="L75" si="122">L63</f>
        <v>mar</v>
      </c>
      <c r="M75" s="43">
        <f t="shared" si="21"/>
        <v>1152</v>
      </c>
      <c r="N75" s="53">
        <f t="shared" si="1"/>
        <v>1403.7447428945454</v>
      </c>
      <c r="O75" s="43">
        <f t="shared" si="2"/>
        <v>345.59999999999997</v>
      </c>
      <c r="P75" s="43">
        <f t="shared" si="115"/>
        <v>1058.1447428945455</v>
      </c>
      <c r="Q75" s="43">
        <f t="shared" si="116"/>
        <v>806.40000000000009</v>
      </c>
      <c r="R75" s="43">
        <f t="shared" si="117"/>
        <v>251.74474289454542</v>
      </c>
      <c r="S75" s="43">
        <f t="shared" si="13"/>
        <v>4583.9475262978149</v>
      </c>
      <c r="T75" s="43">
        <f t="shared" si="118"/>
        <v>806.40000000000009</v>
      </c>
      <c r="U75" s="19">
        <f t="shared" si="75"/>
        <v>223.34727137329162</v>
      </c>
      <c r="V75" s="20">
        <f t="shared" si="7"/>
        <v>223.34727137329162</v>
      </c>
      <c r="W75" s="20">
        <f t="shared" si="8"/>
        <v>1363.5364552704002</v>
      </c>
      <c r="X75" s="19">
        <f t="shared" si="76"/>
        <v>1140.1891838971087</v>
      </c>
      <c r="Y75" s="38">
        <f t="shared" si="10"/>
        <v>0.83620000000000005</v>
      </c>
      <c r="Z75" s="37">
        <f t="shared" si="15"/>
        <v>53792.313358402673</v>
      </c>
      <c r="AA75" s="44">
        <f t="shared" si="16"/>
        <v>0</v>
      </c>
      <c r="AC75" s="48">
        <f t="shared" si="17"/>
        <v>1140.1891838971087</v>
      </c>
    </row>
    <row r="76" spans="1:29" s="14" customFormat="1" x14ac:dyDescent="0.2">
      <c r="A76" s="14" t="str">
        <f t="shared" si="26"/>
        <v>Abril</v>
      </c>
      <c r="B76" s="14">
        <f t="shared" ref="B76:F76" si="123">B64</f>
        <v>30</v>
      </c>
      <c r="C76" s="15">
        <f t="shared" si="123"/>
        <v>3.59</v>
      </c>
      <c r="D76" s="15">
        <f t="shared" si="123"/>
        <v>4.1465230166503426</v>
      </c>
      <c r="E76" s="15">
        <f t="shared" si="123"/>
        <v>4.91</v>
      </c>
      <c r="F76" s="15">
        <f t="shared" si="123"/>
        <v>4.97</v>
      </c>
      <c r="G76" s="16">
        <f t="shared" si="52"/>
        <v>0.97685988804641122</v>
      </c>
      <c r="H76" s="15">
        <f t="shared" si="20"/>
        <v>1.3604889600000003</v>
      </c>
      <c r="I76" s="17">
        <f t="shared" si="86"/>
        <v>0.27696834247680008</v>
      </c>
      <c r="J76" s="14">
        <f t="shared" si="18"/>
        <v>52</v>
      </c>
      <c r="K76" s="25">
        <f t="shared" si="87"/>
        <v>5</v>
      </c>
      <c r="L76" s="18" t="str">
        <f t="shared" ref="L76" si="124">L64</f>
        <v>abr</v>
      </c>
      <c r="M76" s="43">
        <f t="shared" si="21"/>
        <v>1000</v>
      </c>
      <c r="N76" s="53">
        <f t="shared" si="1"/>
        <v>1186.0074844773224</v>
      </c>
      <c r="O76" s="43">
        <f t="shared" si="2"/>
        <v>300</v>
      </c>
      <c r="P76" s="43">
        <f t="shared" si="115"/>
        <v>886.00748447732235</v>
      </c>
      <c r="Q76" s="43">
        <f t="shared" si="116"/>
        <v>700</v>
      </c>
      <c r="R76" s="43">
        <f t="shared" si="117"/>
        <v>186.00748447732235</v>
      </c>
      <c r="S76" s="43">
        <f t="shared" si="13"/>
        <v>4769.9550107751375</v>
      </c>
      <c r="T76" s="43">
        <f t="shared" si="118"/>
        <v>700</v>
      </c>
      <c r="U76" s="19">
        <f t="shared" si="75"/>
        <v>193.87783973376006</v>
      </c>
      <c r="V76" s="20">
        <f t="shared" si="7"/>
        <v>193.87783973376006</v>
      </c>
      <c r="W76" s="20">
        <f t="shared" si="8"/>
        <v>1183.6253952000002</v>
      </c>
      <c r="X76" s="19">
        <f t="shared" si="76"/>
        <v>989.7475554662401</v>
      </c>
      <c r="Y76" s="38">
        <f t="shared" si="10"/>
        <v>0.83619999999999994</v>
      </c>
      <c r="Z76" s="37">
        <f t="shared" si="15"/>
        <v>54782.060913868911</v>
      </c>
      <c r="AA76" s="44">
        <f t="shared" si="16"/>
        <v>0</v>
      </c>
      <c r="AC76" s="48">
        <f t="shared" si="17"/>
        <v>989.7475554662401</v>
      </c>
    </row>
    <row r="77" spans="1:29" s="14" customFormat="1" x14ac:dyDescent="0.2">
      <c r="A77" s="14" t="str">
        <f t="shared" si="26"/>
        <v>Maio</v>
      </c>
      <c r="B77" s="14">
        <f t="shared" ref="B77:F77" si="125">B65</f>
        <v>31</v>
      </c>
      <c r="C77" s="15">
        <f t="shared" si="125"/>
        <v>2.98</v>
      </c>
      <c r="D77" s="15">
        <f t="shared" si="125"/>
        <v>3.3849167482859945</v>
      </c>
      <c r="E77" s="15">
        <f t="shared" si="125"/>
        <v>4.25</v>
      </c>
      <c r="F77" s="15">
        <f t="shared" si="125"/>
        <v>4.66</v>
      </c>
      <c r="G77" s="16">
        <f t="shared" si="52"/>
        <v>0.97685988804641122</v>
      </c>
      <c r="H77" s="15">
        <f t="shared" si="20"/>
        <v>1.3604889600000003</v>
      </c>
      <c r="I77" s="17">
        <f t="shared" si="86"/>
        <v>0.27696834247680008</v>
      </c>
      <c r="J77" s="14">
        <f t="shared" si="18"/>
        <v>53</v>
      </c>
      <c r="K77" s="25">
        <f t="shared" si="87"/>
        <v>5</v>
      </c>
      <c r="L77" s="18" t="str">
        <f t="shared" ref="L77" si="126">L65</f>
        <v>mai</v>
      </c>
      <c r="M77" s="43">
        <f t="shared" si="21"/>
        <v>1396</v>
      </c>
      <c r="N77" s="53">
        <f t="shared" si="1"/>
        <v>1000.441687586313</v>
      </c>
      <c r="O77" s="43">
        <f t="shared" si="2"/>
        <v>418.8</v>
      </c>
      <c r="P77" s="43">
        <f t="shared" si="115"/>
        <v>581.64168758631308</v>
      </c>
      <c r="Q77" s="43">
        <f t="shared" si="116"/>
        <v>977.2</v>
      </c>
      <c r="R77" s="43">
        <f t="shared" si="117"/>
        <v>-395.55831241368696</v>
      </c>
      <c r="S77" s="43">
        <f t="shared" si="13"/>
        <v>4374.39669836145</v>
      </c>
      <c r="T77" s="43">
        <f t="shared" si="118"/>
        <v>977.2</v>
      </c>
      <c r="U77" s="19">
        <f t="shared" si="75"/>
        <v>270.65346426832906</v>
      </c>
      <c r="V77" s="20">
        <f t="shared" si="7"/>
        <v>270.65346426832906</v>
      </c>
      <c r="W77" s="20">
        <f t="shared" si="8"/>
        <v>1652.3410516992003</v>
      </c>
      <c r="X77" s="19">
        <f t="shared" si="76"/>
        <v>1381.6875874308712</v>
      </c>
      <c r="Y77" s="38">
        <f t="shared" si="10"/>
        <v>0.83619999999999994</v>
      </c>
      <c r="Z77" s="37">
        <f t="shared" si="15"/>
        <v>56163.748501299779</v>
      </c>
      <c r="AA77" s="44">
        <f t="shared" si="16"/>
        <v>0</v>
      </c>
      <c r="AC77" s="48">
        <f t="shared" si="17"/>
        <v>1381.6875874308712</v>
      </c>
    </row>
    <row r="78" spans="1:29" s="14" customFormat="1" x14ac:dyDescent="0.2">
      <c r="A78" s="14" t="str">
        <f t="shared" si="26"/>
        <v>Junho</v>
      </c>
      <c r="B78" s="14">
        <f t="shared" ref="B78:F78" si="127">B66</f>
        <v>30</v>
      </c>
      <c r="C78" s="15">
        <f t="shared" si="127"/>
        <v>2.74</v>
      </c>
      <c r="D78" s="15">
        <f t="shared" si="127"/>
        <v>3.1945151811949071</v>
      </c>
      <c r="E78" s="15">
        <f t="shared" si="127"/>
        <v>3.92</v>
      </c>
      <c r="F78" s="15">
        <f t="shared" si="127"/>
        <v>4.47</v>
      </c>
      <c r="G78" s="16">
        <f t="shared" si="52"/>
        <v>0.97685988804641122</v>
      </c>
      <c r="H78" s="15">
        <f t="shared" si="20"/>
        <v>1.3604889600000003</v>
      </c>
      <c r="I78" s="17">
        <f t="shared" si="86"/>
        <v>0.27696834247680008</v>
      </c>
      <c r="J78" s="14">
        <f t="shared" si="18"/>
        <v>54</v>
      </c>
      <c r="K78" s="25">
        <f t="shared" si="87"/>
        <v>5</v>
      </c>
      <c r="L78" s="18" t="str">
        <f t="shared" ref="L78" si="128">L66</f>
        <v>jun</v>
      </c>
      <c r="M78" s="43">
        <f t="shared" si="21"/>
        <v>1428</v>
      </c>
      <c r="N78" s="53">
        <f t="shared" si="1"/>
        <v>913.70984773508007</v>
      </c>
      <c r="O78" s="43">
        <f t="shared" si="2"/>
        <v>428.4</v>
      </c>
      <c r="P78" s="43">
        <f t="shared" si="115"/>
        <v>485.3098477350801</v>
      </c>
      <c r="Q78" s="43">
        <f t="shared" si="116"/>
        <v>999.6</v>
      </c>
      <c r="R78" s="43">
        <f t="shared" si="117"/>
        <v>-514.29015226491993</v>
      </c>
      <c r="S78" s="43">
        <f t="shared" si="13"/>
        <v>3860.1065460965301</v>
      </c>
      <c r="T78" s="43">
        <f t="shared" si="118"/>
        <v>999.6</v>
      </c>
      <c r="U78" s="19">
        <f t="shared" si="75"/>
        <v>276.85755513980939</v>
      </c>
      <c r="V78" s="20">
        <f t="shared" si="7"/>
        <v>276.85755513980939</v>
      </c>
      <c r="W78" s="20">
        <f t="shared" si="8"/>
        <v>1690.2170643456002</v>
      </c>
      <c r="X78" s="19">
        <f t="shared" si="76"/>
        <v>1413.3595092057908</v>
      </c>
      <c r="Y78" s="38">
        <f t="shared" si="10"/>
        <v>0.83619999999999994</v>
      </c>
      <c r="Z78" s="37">
        <f t="shared" si="15"/>
        <v>57577.108010505566</v>
      </c>
      <c r="AA78" s="44">
        <f t="shared" si="16"/>
        <v>0</v>
      </c>
      <c r="AC78" s="48">
        <f t="shared" si="17"/>
        <v>1413.3595092057908</v>
      </c>
    </row>
    <row r="79" spans="1:29" s="14" customFormat="1" x14ac:dyDescent="0.2">
      <c r="A79" s="14" t="str">
        <f t="shared" si="26"/>
        <v>Julho</v>
      </c>
      <c r="B79" s="14">
        <f t="shared" ref="B79:F79" si="129">B67</f>
        <v>31</v>
      </c>
      <c r="C79" s="15">
        <f t="shared" si="129"/>
        <v>2.91</v>
      </c>
      <c r="D79" s="15">
        <f t="shared" si="129"/>
        <v>3.4272282076395695</v>
      </c>
      <c r="E79" s="15">
        <f t="shared" si="129"/>
        <v>4.18</v>
      </c>
      <c r="F79" s="15">
        <f t="shared" si="129"/>
        <v>4.74</v>
      </c>
      <c r="G79" s="16">
        <f t="shared" si="52"/>
        <v>0.97685988804641122</v>
      </c>
      <c r="H79" s="15">
        <f t="shared" si="20"/>
        <v>1.3604889600000003</v>
      </c>
      <c r="I79" s="17">
        <f t="shared" si="86"/>
        <v>0.27696834247680008</v>
      </c>
      <c r="J79" s="14">
        <f t="shared" si="18"/>
        <v>55</v>
      </c>
      <c r="K79" s="25">
        <f t="shared" si="87"/>
        <v>5</v>
      </c>
      <c r="L79" s="18" t="str">
        <f t="shared" ref="L79" si="130">L67</f>
        <v>jul</v>
      </c>
      <c r="M79" s="43">
        <f t="shared" si="21"/>
        <v>1392</v>
      </c>
      <c r="N79" s="53">
        <f t="shared" si="1"/>
        <v>1012.9472086811419</v>
      </c>
      <c r="O79" s="43">
        <f t="shared" si="2"/>
        <v>417.59999999999997</v>
      </c>
      <c r="P79" s="43">
        <f t="shared" si="115"/>
        <v>595.34720868114186</v>
      </c>
      <c r="Q79" s="43">
        <f t="shared" si="116"/>
        <v>974.40000000000009</v>
      </c>
      <c r="R79" s="43">
        <f t="shared" si="117"/>
        <v>-379.05279131885823</v>
      </c>
      <c r="S79" s="43">
        <f t="shared" si="13"/>
        <v>3481.0537547776721</v>
      </c>
      <c r="T79" s="43">
        <f t="shared" si="118"/>
        <v>974.40000000000009</v>
      </c>
      <c r="U79" s="19">
        <f t="shared" si="75"/>
        <v>269.87795290939403</v>
      </c>
      <c r="V79" s="20">
        <f t="shared" si="7"/>
        <v>269.87795290939403</v>
      </c>
      <c r="W79" s="20">
        <f t="shared" si="8"/>
        <v>1647.6065501184003</v>
      </c>
      <c r="X79" s="19">
        <f t="shared" si="76"/>
        <v>1377.7285972090062</v>
      </c>
      <c r="Y79" s="38">
        <f t="shared" si="10"/>
        <v>0.83619999999999994</v>
      </c>
      <c r="Z79" s="37">
        <f t="shared" si="15"/>
        <v>58954.836607714569</v>
      </c>
      <c r="AA79" s="44">
        <f t="shared" si="16"/>
        <v>0</v>
      </c>
      <c r="AC79" s="48">
        <f t="shared" si="17"/>
        <v>1377.7285972090062</v>
      </c>
    </row>
    <row r="80" spans="1:29" s="14" customFormat="1" x14ac:dyDescent="0.2">
      <c r="A80" s="14" t="str">
        <f t="shared" si="26"/>
        <v>Agosto</v>
      </c>
      <c r="B80" s="14">
        <f t="shared" ref="B80:F80" si="131">B68</f>
        <v>31</v>
      </c>
      <c r="C80" s="15">
        <f t="shared" si="131"/>
        <v>3.45</v>
      </c>
      <c r="D80" s="15">
        <f t="shared" si="131"/>
        <v>4.1147894221351615</v>
      </c>
      <c r="E80" s="15">
        <f t="shared" si="131"/>
        <v>4.83</v>
      </c>
      <c r="F80" s="15">
        <f t="shared" si="131"/>
        <v>5.21</v>
      </c>
      <c r="G80" s="16">
        <f t="shared" si="52"/>
        <v>0.97685988804641122</v>
      </c>
      <c r="H80" s="15">
        <f t="shared" si="20"/>
        <v>1.3604889600000003</v>
      </c>
      <c r="I80" s="17">
        <f t="shared" si="86"/>
        <v>0.27696834247680008</v>
      </c>
      <c r="J80" s="14">
        <f t="shared" si="18"/>
        <v>56</v>
      </c>
      <c r="K80" s="25">
        <f t="shared" si="87"/>
        <v>5</v>
      </c>
      <c r="L80" s="18" t="str">
        <f t="shared" ref="L80" si="132">L68</f>
        <v>ago</v>
      </c>
      <c r="M80" s="43">
        <f t="shared" si="21"/>
        <v>1520</v>
      </c>
      <c r="N80" s="53">
        <f t="shared" si="1"/>
        <v>1216.1619264721116</v>
      </c>
      <c r="O80" s="43">
        <f t="shared" si="2"/>
        <v>456</v>
      </c>
      <c r="P80" s="43">
        <f t="shared" si="115"/>
        <v>760.16192647211165</v>
      </c>
      <c r="Q80" s="43">
        <f t="shared" si="116"/>
        <v>1064</v>
      </c>
      <c r="R80" s="43">
        <f t="shared" si="117"/>
        <v>-303.83807352788835</v>
      </c>
      <c r="S80" s="43">
        <f t="shared" si="13"/>
        <v>3177.2156812497838</v>
      </c>
      <c r="T80" s="43">
        <f t="shared" si="118"/>
        <v>1064</v>
      </c>
      <c r="U80" s="19">
        <f t="shared" si="75"/>
        <v>294.6943163953153</v>
      </c>
      <c r="V80" s="20">
        <f t="shared" si="7"/>
        <v>294.6943163953153</v>
      </c>
      <c r="W80" s="20">
        <f t="shared" si="8"/>
        <v>1799.1106007040005</v>
      </c>
      <c r="X80" s="19">
        <f t="shared" si="76"/>
        <v>1504.4162843086851</v>
      </c>
      <c r="Y80" s="38">
        <f t="shared" si="10"/>
        <v>0.83619999999999994</v>
      </c>
      <c r="Z80" s="37">
        <f t="shared" si="15"/>
        <v>60459.252892023258</v>
      </c>
      <c r="AA80" s="44">
        <f t="shared" si="16"/>
        <v>0</v>
      </c>
      <c r="AC80" s="48">
        <f t="shared" si="17"/>
        <v>1504.4162843086851</v>
      </c>
    </row>
    <row r="81" spans="1:29" s="14" customFormat="1" x14ac:dyDescent="0.2">
      <c r="A81" s="14" t="str">
        <f t="shared" si="26"/>
        <v>Setembro</v>
      </c>
      <c r="B81" s="14">
        <f t="shared" ref="B81:F81" si="133">B69</f>
        <v>30</v>
      </c>
      <c r="C81" s="15">
        <f t="shared" si="133"/>
        <v>3.82</v>
      </c>
      <c r="D81" s="15">
        <f t="shared" si="133"/>
        <v>4.2417238001958868</v>
      </c>
      <c r="E81" s="15">
        <f t="shared" si="133"/>
        <v>5.12</v>
      </c>
      <c r="F81" s="15">
        <f t="shared" si="133"/>
        <v>5.1100000000000003</v>
      </c>
      <c r="G81" s="16">
        <f t="shared" si="52"/>
        <v>0.97685988804641122</v>
      </c>
      <c r="H81" s="15">
        <f t="shared" si="20"/>
        <v>1.3604889600000003</v>
      </c>
      <c r="I81" s="17">
        <f t="shared" si="86"/>
        <v>0.27696834247680008</v>
      </c>
      <c r="J81" s="14">
        <f t="shared" si="18"/>
        <v>57</v>
      </c>
      <c r="K81" s="25">
        <f t="shared" si="87"/>
        <v>5</v>
      </c>
      <c r="L81" s="18" t="str">
        <f t="shared" ref="L81" si="134">L69</f>
        <v>set</v>
      </c>
      <c r="M81" s="43">
        <f t="shared" si="21"/>
        <v>1400</v>
      </c>
      <c r="N81" s="53">
        <f t="shared" si="1"/>
        <v>1213.237248151547</v>
      </c>
      <c r="O81" s="43">
        <f t="shared" si="2"/>
        <v>420</v>
      </c>
      <c r="P81" s="43">
        <f t="shared" si="115"/>
        <v>793.23724815154696</v>
      </c>
      <c r="Q81" s="43">
        <f t="shared" si="116"/>
        <v>980</v>
      </c>
      <c r="R81" s="43">
        <f t="shared" si="117"/>
        <v>-186.76275184845304</v>
      </c>
      <c r="S81" s="43">
        <f t="shared" si="13"/>
        <v>2990.4529294013309</v>
      </c>
      <c r="T81" s="43">
        <f t="shared" si="118"/>
        <v>980</v>
      </c>
      <c r="U81" s="19">
        <f t="shared" si="75"/>
        <v>271.42897562726409</v>
      </c>
      <c r="V81" s="20">
        <f t="shared" si="7"/>
        <v>271.42897562726409</v>
      </c>
      <c r="W81" s="20">
        <f t="shared" si="8"/>
        <v>1657.0755532800003</v>
      </c>
      <c r="X81" s="19">
        <f t="shared" si="76"/>
        <v>1385.6465776527361</v>
      </c>
      <c r="Y81" s="38">
        <f t="shared" si="10"/>
        <v>0.83619999999999994</v>
      </c>
      <c r="Z81" s="37">
        <f t="shared" si="15"/>
        <v>61844.899469675991</v>
      </c>
      <c r="AA81" s="44">
        <f t="shared" si="16"/>
        <v>0</v>
      </c>
      <c r="AC81" s="48">
        <f t="shared" si="17"/>
        <v>1385.6465776527361</v>
      </c>
    </row>
    <row r="82" spans="1:29" s="14" customFormat="1" x14ac:dyDescent="0.2">
      <c r="A82" s="14" t="str">
        <f t="shared" si="26"/>
        <v>Outubro</v>
      </c>
      <c r="B82" s="14">
        <f t="shared" ref="B82:F82" si="135">B70</f>
        <v>31</v>
      </c>
      <c r="C82" s="15">
        <f t="shared" si="135"/>
        <v>4.33</v>
      </c>
      <c r="D82" s="15">
        <f t="shared" si="135"/>
        <v>4.8763956904995114</v>
      </c>
      <c r="E82" s="15">
        <f t="shared" si="135"/>
        <v>5.57</v>
      </c>
      <c r="F82" s="15">
        <f t="shared" si="135"/>
        <v>5.17</v>
      </c>
      <c r="G82" s="16">
        <f t="shared" si="52"/>
        <v>0.97685988804641122</v>
      </c>
      <c r="H82" s="15">
        <f t="shared" si="20"/>
        <v>1.3604889600000003</v>
      </c>
      <c r="I82" s="17">
        <f t="shared" si="86"/>
        <v>0.27696834247680008</v>
      </c>
      <c r="J82" s="14">
        <f t="shared" si="18"/>
        <v>58</v>
      </c>
      <c r="K82" s="25">
        <f t="shared" si="87"/>
        <v>5</v>
      </c>
      <c r="L82" s="18" t="str">
        <f t="shared" ref="L82" si="136">L70</f>
        <v>out</v>
      </c>
      <c r="M82" s="43">
        <f t="shared" si="21"/>
        <v>1340</v>
      </c>
      <c r="N82" s="53">
        <f t="shared" si="1"/>
        <v>1441.2613061790321</v>
      </c>
      <c r="O82" s="43">
        <f t="shared" si="2"/>
        <v>402</v>
      </c>
      <c r="P82" s="43">
        <f t="shared" si="115"/>
        <v>1039.2613061790321</v>
      </c>
      <c r="Q82" s="43">
        <f t="shared" si="116"/>
        <v>938</v>
      </c>
      <c r="R82" s="43">
        <f t="shared" si="117"/>
        <v>101.26130617903209</v>
      </c>
      <c r="S82" s="43">
        <f t="shared" si="13"/>
        <v>3091.714235580363</v>
      </c>
      <c r="T82" s="43">
        <f t="shared" si="118"/>
        <v>938</v>
      </c>
      <c r="U82" s="19">
        <f t="shared" si="75"/>
        <v>259.79630524323846</v>
      </c>
      <c r="V82" s="20">
        <f t="shared" si="7"/>
        <v>259.79630524323846</v>
      </c>
      <c r="W82" s="20">
        <f t="shared" si="8"/>
        <v>1586.0580295680004</v>
      </c>
      <c r="X82" s="19">
        <f t="shared" si="76"/>
        <v>1326.2617243247619</v>
      </c>
      <c r="Y82" s="38">
        <f t="shared" si="10"/>
        <v>0.83619999999999994</v>
      </c>
      <c r="Z82" s="37">
        <f t="shared" si="15"/>
        <v>63171.16119400075</v>
      </c>
      <c r="AA82" s="44">
        <f t="shared" si="16"/>
        <v>0</v>
      </c>
      <c r="AC82" s="48">
        <f t="shared" si="17"/>
        <v>1326.2617243247619</v>
      </c>
    </row>
    <row r="83" spans="1:29" s="14" customFormat="1" x14ac:dyDescent="0.2">
      <c r="A83" s="14" t="str">
        <f t="shared" si="26"/>
        <v>Novembro</v>
      </c>
      <c r="B83" s="14">
        <f t="shared" ref="B83:F83" si="137">B71</f>
        <v>30</v>
      </c>
      <c r="C83" s="15">
        <f t="shared" si="137"/>
        <v>4.68</v>
      </c>
      <c r="D83" s="15">
        <f t="shared" si="137"/>
        <v>5.5745347698334964</v>
      </c>
      <c r="E83" s="15">
        <f t="shared" si="137"/>
        <v>5.89</v>
      </c>
      <c r="F83" s="15">
        <f t="shared" si="137"/>
        <v>5.23</v>
      </c>
      <c r="G83" s="16">
        <f t="shared" si="52"/>
        <v>0.97685988804641122</v>
      </c>
      <c r="H83" s="15">
        <f t="shared" si="20"/>
        <v>1.3604889600000003</v>
      </c>
      <c r="I83" s="17">
        <f t="shared" si="86"/>
        <v>0.27696834247680008</v>
      </c>
      <c r="J83" s="14">
        <f t="shared" si="18"/>
        <v>59</v>
      </c>
      <c r="K83" s="25">
        <f t="shared" si="87"/>
        <v>5</v>
      </c>
      <c r="L83" s="18" t="str">
        <f t="shared" ref="L83" si="138">L71</f>
        <v>nov</v>
      </c>
      <c r="M83" s="43">
        <f t="shared" si="21"/>
        <v>1288</v>
      </c>
      <c r="N83" s="53">
        <f t="shared" si="1"/>
        <v>1594.4539395906861</v>
      </c>
      <c r="O83" s="43">
        <f t="shared" si="2"/>
        <v>386.4</v>
      </c>
      <c r="P83" s="43">
        <f t="shared" si="115"/>
        <v>1208.0539395906862</v>
      </c>
      <c r="Q83" s="43">
        <f t="shared" si="116"/>
        <v>901.6</v>
      </c>
      <c r="R83" s="43">
        <f t="shared" si="117"/>
        <v>306.45393959068622</v>
      </c>
      <c r="S83" s="43">
        <f t="shared" si="13"/>
        <v>3398.1681751710494</v>
      </c>
      <c r="T83" s="43">
        <f t="shared" si="118"/>
        <v>901.6</v>
      </c>
      <c r="U83" s="19">
        <f t="shared" si="75"/>
        <v>249.71465757708296</v>
      </c>
      <c r="V83" s="20">
        <f t="shared" si="7"/>
        <v>249.71465757708296</v>
      </c>
      <c r="W83" s="20">
        <f t="shared" si="8"/>
        <v>1524.5095090176003</v>
      </c>
      <c r="X83" s="19">
        <f t="shared" si="76"/>
        <v>1274.7948514405173</v>
      </c>
      <c r="Y83" s="38">
        <f t="shared" si="10"/>
        <v>0.83619999999999994</v>
      </c>
      <c r="Z83" s="37">
        <f t="shared" si="15"/>
        <v>64445.956045441264</v>
      </c>
      <c r="AA83" s="44">
        <f t="shared" si="16"/>
        <v>0</v>
      </c>
      <c r="AC83" s="48">
        <f t="shared" si="17"/>
        <v>1274.7948514405173</v>
      </c>
    </row>
    <row r="84" spans="1:29" s="14" customFormat="1" x14ac:dyDescent="0.2">
      <c r="A84" s="14" t="str">
        <f t="shared" si="26"/>
        <v>Dezembro</v>
      </c>
      <c r="B84" s="14">
        <f t="shared" ref="B84:F84" si="139">B72</f>
        <v>31</v>
      </c>
      <c r="C84" s="15">
        <f t="shared" si="139"/>
        <v>4.8499999999999996</v>
      </c>
      <c r="D84" s="15">
        <f t="shared" si="139"/>
        <v>5.6062683643486775</v>
      </c>
      <c r="E84" s="15">
        <f t="shared" si="139"/>
        <v>6.05</v>
      </c>
      <c r="F84" s="15">
        <f t="shared" si="139"/>
        <v>5.29</v>
      </c>
      <c r="G84" s="16">
        <f t="shared" si="52"/>
        <v>0.97685988804641122</v>
      </c>
      <c r="H84" s="15">
        <f t="shared" si="20"/>
        <v>1.3604889600000003</v>
      </c>
      <c r="I84" s="17">
        <f t="shared" si="86"/>
        <v>0.27696834247680008</v>
      </c>
      <c r="J84" s="14">
        <f t="shared" si="18"/>
        <v>60</v>
      </c>
      <c r="K84" s="25">
        <f t="shared" si="87"/>
        <v>5</v>
      </c>
      <c r="L84" s="18" t="str">
        <f t="shared" ref="L84" si="140">L72</f>
        <v>dez</v>
      </c>
      <c r="M84" s="43">
        <f t="shared" si="21"/>
        <v>1140</v>
      </c>
      <c r="N84" s="53">
        <f t="shared" si="1"/>
        <v>1656.9815450648305</v>
      </c>
      <c r="O84" s="43">
        <f t="shared" si="2"/>
        <v>342</v>
      </c>
      <c r="P84" s="43">
        <f t="shared" si="115"/>
        <v>1314.9815450648305</v>
      </c>
      <c r="Q84" s="43">
        <f t="shared" si="116"/>
        <v>798</v>
      </c>
      <c r="R84" s="43">
        <f t="shared" si="117"/>
        <v>516.98154506483047</v>
      </c>
      <c r="S84" s="43">
        <f t="shared" si="13"/>
        <v>3915.1497202358796</v>
      </c>
      <c r="T84" s="43">
        <f t="shared" si="118"/>
        <v>798</v>
      </c>
      <c r="U84" s="19">
        <f t="shared" si="75"/>
        <v>221.02073729648646</v>
      </c>
      <c r="V84" s="20">
        <f t="shared" si="7"/>
        <v>221.02073729648646</v>
      </c>
      <c r="W84" s="20">
        <f t="shared" si="8"/>
        <v>1349.3329505280003</v>
      </c>
      <c r="X84" s="19">
        <f t="shared" si="76"/>
        <v>1128.3122132315139</v>
      </c>
      <c r="Y84" s="38">
        <f t="shared" si="10"/>
        <v>0.83619999999999994</v>
      </c>
      <c r="Z84" s="37">
        <f t="shared" si="15"/>
        <v>65574.268258672775</v>
      </c>
      <c r="AA84" s="44">
        <f t="shared" si="16"/>
        <v>0</v>
      </c>
      <c r="AC84" s="48">
        <f t="shared" si="17"/>
        <v>1128.3122132315139</v>
      </c>
    </row>
    <row r="85" spans="1:29" s="14" customFormat="1" x14ac:dyDescent="0.2">
      <c r="A85" s="14" t="str">
        <f t="shared" si="26"/>
        <v>Janeiro</v>
      </c>
      <c r="B85" s="14">
        <f t="shared" ref="B85:F85" si="141">B73</f>
        <v>30</v>
      </c>
      <c r="C85" s="15">
        <f t="shared" si="141"/>
        <v>4.87</v>
      </c>
      <c r="D85" s="15">
        <f t="shared" si="141"/>
        <v>5.4581782566111663</v>
      </c>
      <c r="E85" s="15">
        <f t="shared" si="141"/>
        <v>6.01</v>
      </c>
      <c r="F85" s="15">
        <f t="shared" si="141"/>
        <v>5.31</v>
      </c>
      <c r="G85" s="16">
        <f t="shared" si="52"/>
        <v>0.97251872270393291</v>
      </c>
      <c r="H85" s="15">
        <f t="shared" si="20"/>
        <v>1.4693280768000003</v>
      </c>
      <c r="I85" s="17">
        <f t="shared" si="86"/>
        <v>0.29912580987494408</v>
      </c>
      <c r="J85" s="14">
        <f t="shared" si="18"/>
        <v>61</v>
      </c>
      <c r="K85" s="25">
        <f t="shared" si="87"/>
        <v>6</v>
      </c>
      <c r="L85" s="18" t="str">
        <f t="shared" ref="L85" si="142">L73</f>
        <v>jan</v>
      </c>
      <c r="M85" s="43">
        <f t="shared" si="21"/>
        <v>836</v>
      </c>
      <c r="N85" s="53">
        <f t="shared" si="1"/>
        <v>1554.2352639888102</v>
      </c>
      <c r="O85" s="43">
        <f t="shared" si="2"/>
        <v>250.79999999999998</v>
      </c>
      <c r="P85" s="43">
        <f t="shared" si="115"/>
        <v>1303.4352639888102</v>
      </c>
      <c r="Q85" s="43">
        <f t="shared" si="116"/>
        <v>585.20000000000005</v>
      </c>
      <c r="R85" s="43">
        <f t="shared" si="117"/>
        <v>718.23526398881017</v>
      </c>
      <c r="S85" s="43">
        <f t="shared" si="13"/>
        <v>4633.38498422469</v>
      </c>
      <c r="T85" s="43">
        <f t="shared" si="118"/>
        <v>585.20000000000005</v>
      </c>
      <c r="U85" s="19">
        <f t="shared" si="75"/>
        <v>175.04842393881728</v>
      </c>
      <c r="V85" s="20">
        <f t="shared" si="7"/>
        <v>175.04842393881728</v>
      </c>
      <c r="W85" s="20">
        <f t="shared" si="8"/>
        <v>1068.6716968181763</v>
      </c>
      <c r="X85" s="19">
        <f t="shared" si="76"/>
        <v>893.62327287935909</v>
      </c>
      <c r="Y85" s="38">
        <f t="shared" si="10"/>
        <v>0.83620000000000005</v>
      </c>
      <c r="Z85" s="37">
        <f t="shared" si="15"/>
        <v>66467.89153155213</v>
      </c>
      <c r="AA85" s="44">
        <f t="shared" si="16"/>
        <v>0</v>
      </c>
      <c r="AC85" s="48">
        <f t="shared" si="17"/>
        <v>893.62327287935909</v>
      </c>
    </row>
    <row r="86" spans="1:29" s="14" customFormat="1" x14ac:dyDescent="0.2">
      <c r="A86" s="14" t="str">
        <f t="shared" si="26"/>
        <v>Fevereiro</v>
      </c>
      <c r="B86" s="14">
        <f t="shared" ref="B86:F86" si="143">B74</f>
        <v>28</v>
      </c>
      <c r="C86" s="15">
        <f t="shared" si="143"/>
        <v>4.75</v>
      </c>
      <c r="D86" s="15">
        <f t="shared" si="143"/>
        <v>5.2254652301665043</v>
      </c>
      <c r="E86" s="15">
        <f t="shared" si="143"/>
        <v>5.82</v>
      </c>
      <c r="F86" s="15">
        <f t="shared" si="143"/>
        <v>5.28</v>
      </c>
      <c r="G86" s="16">
        <f t="shared" si="52"/>
        <v>0.97251872270393291</v>
      </c>
      <c r="H86" s="15">
        <f t="shared" si="20"/>
        <v>1.4693280768000003</v>
      </c>
      <c r="I86" s="17">
        <f t="shared" si="86"/>
        <v>0.29912580987494408</v>
      </c>
      <c r="J86" s="14">
        <f t="shared" si="18"/>
        <v>62</v>
      </c>
      <c r="K86" s="25">
        <f t="shared" si="87"/>
        <v>6</v>
      </c>
      <c r="L86" s="18" t="str">
        <f t="shared" ref="L86" si="144">L74</f>
        <v>fev</v>
      </c>
      <c r="M86" s="43">
        <f t="shared" si="21"/>
        <v>1088</v>
      </c>
      <c r="N86" s="53">
        <f t="shared" si="1"/>
        <v>1388.7714581067974</v>
      </c>
      <c r="O86" s="43">
        <f t="shared" si="2"/>
        <v>326.39999999999998</v>
      </c>
      <c r="P86" s="43">
        <f t="shared" si="115"/>
        <v>1062.3714581067975</v>
      </c>
      <c r="Q86" s="43">
        <f t="shared" si="116"/>
        <v>761.6</v>
      </c>
      <c r="R86" s="43">
        <f t="shared" si="117"/>
        <v>300.77145810679747</v>
      </c>
      <c r="S86" s="43">
        <f t="shared" si="13"/>
        <v>4934.1564423314876</v>
      </c>
      <c r="T86" s="43">
        <f t="shared" si="118"/>
        <v>761.6</v>
      </c>
      <c r="U86" s="19">
        <f t="shared" si="75"/>
        <v>227.81421680075741</v>
      </c>
      <c r="V86" s="20">
        <f t="shared" si="7"/>
        <v>227.81421680075741</v>
      </c>
      <c r="W86" s="20">
        <f t="shared" si="8"/>
        <v>1390.8071843758082</v>
      </c>
      <c r="X86" s="19">
        <f t="shared" si="76"/>
        <v>1162.9929675750509</v>
      </c>
      <c r="Y86" s="38">
        <f t="shared" si="10"/>
        <v>0.83620000000000005</v>
      </c>
      <c r="Z86" s="37">
        <f t="shared" si="15"/>
        <v>67630.884499127176</v>
      </c>
      <c r="AA86" s="44">
        <f t="shared" si="16"/>
        <v>0</v>
      </c>
      <c r="AC86" s="48">
        <f t="shared" si="17"/>
        <v>1162.9929675750509</v>
      </c>
    </row>
    <row r="87" spans="1:29" s="14" customFormat="1" x14ac:dyDescent="0.2">
      <c r="A87" s="14" t="str">
        <f t="shared" si="26"/>
        <v>Março</v>
      </c>
      <c r="B87" s="14">
        <f t="shared" ref="B87:F87" si="145">B75</f>
        <v>31</v>
      </c>
      <c r="C87" s="15">
        <f t="shared" si="145"/>
        <v>4.21</v>
      </c>
      <c r="D87" s="15">
        <f t="shared" si="145"/>
        <v>4.7494613124387861</v>
      </c>
      <c r="E87" s="15">
        <f t="shared" si="145"/>
        <v>5.43</v>
      </c>
      <c r="F87" s="15">
        <f t="shared" si="145"/>
        <v>5.14</v>
      </c>
      <c r="G87" s="16">
        <f t="shared" si="52"/>
        <v>0.97251872270393291</v>
      </c>
      <c r="H87" s="15">
        <f t="shared" si="20"/>
        <v>1.4693280768000003</v>
      </c>
      <c r="I87" s="17">
        <f t="shared" si="86"/>
        <v>0.29912580987494408</v>
      </c>
      <c r="J87" s="14">
        <f t="shared" si="18"/>
        <v>63</v>
      </c>
      <c r="K87" s="25">
        <f t="shared" si="87"/>
        <v>6</v>
      </c>
      <c r="L87" s="18" t="str">
        <f t="shared" ref="L87" si="146">L75</f>
        <v>mar</v>
      </c>
      <c r="M87" s="43">
        <f t="shared" si="21"/>
        <v>1152</v>
      </c>
      <c r="N87" s="53">
        <f t="shared" si="1"/>
        <v>1397.506501257122</v>
      </c>
      <c r="O87" s="43">
        <f t="shared" si="2"/>
        <v>345.59999999999997</v>
      </c>
      <c r="P87" s="43">
        <f t="shared" si="115"/>
        <v>1051.906501257122</v>
      </c>
      <c r="Q87" s="43">
        <f t="shared" si="116"/>
        <v>806.40000000000009</v>
      </c>
      <c r="R87" s="43">
        <f t="shared" si="117"/>
        <v>245.50650125712195</v>
      </c>
      <c r="S87" s="43">
        <f t="shared" si="13"/>
        <v>5179.6629435886098</v>
      </c>
      <c r="T87" s="43">
        <f t="shared" si="118"/>
        <v>806.40000000000009</v>
      </c>
      <c r="U87" s="19">
        <f t="shared" si="75"/>
        <v>241.21505308315494</v>
      </c>
      <c r="V87" s="20">
        <f t="shared" si="7"/>
        <v>241.21505308315494</v>
      </c>
      <c r="W87" s="20">
        <f t="shared" si="8"/>
        <v>1472.6193716920322</v>
      </c>
      <c r="X87" s="19">
        <f t="shared" si="76"/>
        <v>1231.4043186088772</v>
      </c>
      <c r="Y87" s="38">
        <f t="shared" si="10"/>
        <v>0.83619999999999994</v>
      </c>
      <c r="Z87" s="37">
        <f t="shared" si="15"/>
        <v>68862.288817736058</v>
      </c>
      <c r="AA87" s="44">
        <f t="shared" si="16"/>
        <v>0</v>
      </c>
      <c r="AC87" s="48">
        <f t="shared" si="17"/>
        <v>1231.4043186088772</v>
      </c>
    </row>
    <row r="88" spans="1:29" s="14" customFormat="1" x14ac:dyDescent="0.2">
      <c r="A88" s="14" t="str">
        <f t="shared" si="26"/>
        <v>Abril</v>
      </c>
      <c r="B88" s="14">
        <f t="shared" ref="B88:F88" si="147">B76</f>
        <v>30</v>
      </c>
      <c r="C88" s="15">
        <f t="shared" si="147"/>
        <v>3.59</v>
      </c>
      <c r="D88" s="15">
        <f t="shared" si="147"/>
        <v>4.1465230166503426</v>
      </c>
      <c r="E88" s="15">
        <f t="shared" si="147"/>
        <v>4.91</v>
      </c>
      <c r="F88" s="15">
        <f t="shared" si="147"/>
        <v>4.97</v>
      </c>
      <c r="G88" s="16">
        <f t="shared" si="52"/>
        <v>0.97251872270393291</v>
      </c>
      <c r="H88" s="15">
        <f t="shared" si="20"/>
        <v>1.4693280768000003</v>
      </c>
      <c r="I88" s="17">
        <f t="shared" si="86"/>
        <v>0.29912580987494408</v>
      </c>
      <c r="J88" s="14">
        <f t="shared" si="18"/>
        <v>64</v>
      </c>
      <c r="K88" s="25">
        <f t="shared" si="87"/>
        <v>6</v>
      </c>
      <c r="L88" s="18" t="str">
        <f t="shared" ref="L88" si="148">L76</f>
        <v>abr</v>
      </c>
      <c r="M88" s="43">
        <f t="shared" si="21"/>
        <v>1000</v>
      </c>
      <c r="N88" s="53">
        <f t="shared" si="1"/>
        <v>1180.7368672163052</v>
      </c>
      <c r="O88" s="43">
        <f t="shared" si="2"/>
        <v>300</v>
      </c>
      <c r="P88" s="43">
        <f t="shared" si="115"/>
        <v>880.7368672163052</v>
      </c>
      <c r="Q88" s="43">
        <f t="shared" si="116"/>
        <v>700</v>
      </c>
      <c r="R88" s="43">
        <f t="shared" si="117"/>
        <v>180.7368672163052</v>
      </c>
      <c r="S88" s="43">
        <f t="shared" si="13"/>
        <v>5360.3998108049145</v>
      </c>
      <c r="T88" s="43">
        <f t="shared" si="118"/>
        <v>700</v>
      </c>
      <c r="U88" s="19">
        <f t="shared" si="75"/>
        <v>209.38806691246086</v>
      </c>
      <c r="V88" s="20">
        <f t="shared" si="7"/>
        <v>209.38806691246086</v>
      </c>
      <c r="W88" s="20">
        <f t="shared" si="8"/>
        <v>1278.3154268160004</v>
      </c>
      <c r="X88" s="19">
        <f t="shared" si="76"/>
        <v>1068.9273599035396</v>
      </c>
      <c r="Y88" s="38">
        <f t="shared" si="10"/>
        <v>0.83620000000000005</v>
      </c>
      <c r="Z88" s="37">
        <f t="shared" si="15"/>
        <v>69931.216177639595</v>
      </c>
      <c r="AA88" s="44">
        <f t="shared" si="16"/>
        <v>0</v>
      </c>
      <c r="AC88" s="48">
        <f t="shared" si="17"/>
        <v>1068.9273599035396</v>
      </c>
    </row>
    <row r="89" spans="1:29" s="14" customFormat="1" x14ac:dyDescent="0.2">
      <c r="A89" s="14" t="str">
        <f t="shared" si="26"/>
        <v>Maio</v>
      </c>
      <c r="B89" s="14">
        <f t="shared" ref="B89:F89" si="149">B77</f>
        <v>31</v>
      </c>
      <c r="C89" s="15">
        <f t="shared" si="149"/>
        <v>2.98</v>
      </c>
      <c r="D89" s="15">
        <f t="shared" si="149"/>
        <v>3.3849167482859945</v>
      </c>
      <c r="E89" s="15">
        <f t="shared" si="149"/>
        <v>4.25</v>
      </c>
      <c r="F89" s="15">
        <f t="shared" si="149"/>
        <v>4.66</v>
      </c>
      <c r="G89" s="16">
        <f t="shared" si="52"/>
        <v>0.97251872270393291</v>
      </c>
      <c r="H89" s="15">
        <f t="shared" si="20"/>
        <v>1.4693280768000003</v>
      </c>
      <c r="I89" s="17">
        <f t="shared" si="86"/>
        <v>0.29912580987494408</v>
      </c>
      <c r="J89" s="14">
        <f t="shared" si="18"/>
        <v>65</v>
      </c>
      <c r="K89" s="25">
        <f t="shared" si="87"/>
        <v>6</v>
      </c>
      <c r="L89" s="18" t="str">
        <f t="shared" ref="L89" si="150">L77</f>
        <v>mai</v>
      </c>
      <c r="M89" s="43">
        <f t="shared" si="21"/>
        <v>1396</v>
      </c>
      <c r="N89" s="53">
        <f t="shared" ref="N89:N152" si="151">B89*IF($A$6="Curitiba",D89,F89)*0.8*$B$9*G89</f>
        <v>995.99572472667944</v>
      </c>
      <c r="O89" s="43">
        <f t="shared" ref="O89:O152" si="152">MIN($B$11*M89,N89)</f>
        <v>418.8</v>
      </c>
      <c r="P89" s="43">
        <f t="shared" si="115"/>
        <v>577.19572472667937</v>
      </c>
      <c r="Q89" s="43">
        <f t="shared" si="116"/>
        <v>977.2</v>
      </c>
      <c r="R89" s="43">
        <f t="shared" si="117"/>
        <v>-400.00427527332067</v>
      </c>
      <c r="S89" s="43">
        <f t="shared" si="13"/>
        <v>4960.3955355315939</v>
      </c>
      <c r="T89" s="43">
        <f t="shared" si="118"/>
        <v>977.2</v>
      </c>
      <c r="U89" s="19">
        <f t="shared" ref="U89:U96" si="153">T89*I89</f>
        <v>292.30574140979536</v>
      </c>
      <c r="V89" s="20">
        <f t="shared" ref="V89:V152" si="154">IF(U89+((Q89-T89)*$B$2*H89)&lt;$B$5*$B$2*H89,$B$5*$B$2*H89,U89+((Q89-T89)*$B$2*H89))</f>
        <v>292.30574140979536</v>
      </c>
      <c r="W89" s="20">
        <f t="shared" ref="W89:W152" si="155">M89*$B$2*H89</f>
        <v>1784.5283358351364</v>
      </c>
      <c r="X89" s="19">
        <f t="shared" ref="X89:X96" si="156">W89-V89</f>
        <v>1492.222594425341</v>
      </c>
      <c r="Y89" s="38">
        <f t="shared" ref="Y89:Y152" si="157">X89/W89</f>
        <v>0.83619999999999994</v>
      </c>
      <c r="Z89" s="37">
        <f t="shared" si="15"/>
        <v>71423.438772064939</v>
      </c>
      <c r="AA89" s="44">
        <f t="shared" si="16"/>
        <v>0</v>
      </c>
      <c r="AC89" s="48">
        <f t="shared" si="17"/>
        <v>1492.222594425341</v>
      </c>
    </row>
    <row r="90" spans="1:29" s="14" customFormat="1" x14ac:dyDescent="0.2">
      <c r="A90" s="14" t="str">
        <f t="shared" si="26"/>
        <v>Junho</v>
      </c>
      <c r="B90" s="14">
        <f t="shared" ref="B90:F90" si="158">B78</f>
        <v>30</v>
      </c>
      <c r="C90" s="15">
        <f t="shared" si="158"/>
        <v>2.74</v>
      </c>
      <c r="D90" s="15">
        <f t="shared" si="158"/>
        <v>3.1945151811949071</v>
      </c>
      <c r="E90" s="15">
        <f t="shared" si="158"/>
        <v>3.92</v>
      </c>
      <c r="F90" s="15">
        <f t="shared" si="158"/>
        <v>4.47</v>
      </c>
      <c r="G90" s="16">
        <f t="shared" si="52"/>
        <v>0.97251872270393291</v>
      </c>
      <c r="H90" s="15">
        <f t="shared" si="20"/>
        <v>1.4693280768000003</v>
      </c>
      <c r="I90" s="17">
        <f t="shared" si="86"/>
        <v>0.29912580987494408</v>
      </c>
      <c r="J90" s="14">
        <f t="shared" si="18"/>
        <v>66</v>
      </c>
      <c r="K90" s="25">
        <f t="shared" si="87"/>
        <v>6</v>
      </c>
      <c r="L90" s="18" t="str">
        <f t="shared" ref="L90" si="159">L78</f>
        <v>jun</v>
      </c>
      <c r="M90" s="43">
        <f t="shared" si="21"/>
        <v>1428</v>
      </c>
      <c r="N90" s="53">
        <f t="shared" si="151"/>
        <v>909.64932117174533</v>
      </c>
      <c r="O90" s="43">
        <f t="shared" si="152"/>
        <v>428.4</v>
      </c>
      <c r="P90" s="43">
        <f t="shared" si="115"/>
        <v>481.24932117174535</v>
      </c>
      <c r="Q90" s="43">
        <f t="shared" si="116"/>
        <v>999.6</v>
      </c>
      <c r="R90" s="43">
        <f t="shared" si="117"/>
        <v>-518.35067882825467</v>
      </c>
      <c r="S90" s="43">
        <f t="shared" ref="S90:S153" si="160">MAX(0,S89+R90)</f>
        <v>4442.0448567033391</v>
      </c>
      <c r="T90" s="43">
        <f t="shared" si="118"/>
        <v>999.6</v>
      </c>
      <c r="U90" s="19">
        <f t="shared" si="153"/>
        <v>299.00615955099408</v>
      </c>
      <c r="V90" s="20">
        <f t="shared" si="154"/>
        <v>299.00615955099408</v>
      </c>
      <c r="W90" s="20">
        <f t="shared" si="155"/>
        <v>1825.4344294932482</v>
      </c>
      <c r="X90" s="19">
        <f t="shared" si="156"/>
        <v>1526.4282699422542</v>
      </c>
      <c r="Y90" s="38">
        <f t="shared" si="157"/>
        <v>0.83620000000000005</v>
      </c>
      <c r="Z90" s="37">
        <f t="shared" ref="Z90:Z153" si="161">Z89+X90</f>
        <v>72949.867042007187</v>
      </c>
      <c r="AA90" s="44">
        <f t="shared" ref="AA90:AA153" si="162">IF(AND(Z90&gt;0,Z89&lt;0),J90,0)</f>
        <v>0</v>
      </c>
      <c r="AC90" s="48">
        <f t="shared" ref="AC90:AC153" si="163">X90</f>
        <v>1526.4282699422542</v>
      </c>
    </row>
    <row r="91" spans="1:29" s="14" customFormat="1" x14ac:dyDescent="0.2">
      <c r="A91" s="14" t="str">
        <f t="shared" si="26"/>
        <v>Julho</v>
      </c>
      <c r="B91" s="14">
        <f t="shared" ref="B91:F91" si="164">B79</f>
        <v>31</v>
      </c>
      <c r="C91" s="15">
        <f t="shared" si="164"/>
        <v>2.91</v>
      </c>
      <c r="D91" s="15">
        <f t="shared" si="164"/>
        <v>3.4272282076395695</v>
      </c>
      <c r="E91" s="15">
        <f t="shared" si="164"/>
        <v>4.18</v>
      </c>
      <c r="F91" s="15">
        <f t="shared" si="164"/>
        <v>4.74</v>
      </c>
      <c r="G91" s="16">
        <f t="shared" si="52"/>
        <v>0.97251872270393291</v>
      </c>
      <c r="H91" s="15">
        <f t="shared" si="20"/>
        <v>1.4693280768000003</v>
      </c>
      <c r="I91" s="17">
        <f t="shared" si="86"/>
        <v>0.29912580987494408</v>
      </c>
      <c r="J91" s="14">
        <f t="shared" ref="J91:J96" si="165">J90+1</f>
        <v>67</v>
      </c>
      <c r="K91" s="25">
        <f t="shared" si="87"/>
        <v>6</v>
      </c>
      <c r="L91" s="18" t="str">
        <f t="shared" ref="L91" si="166">L79</f>
        <v>jul</v>
      </c>
      <c r="M91" s="43">
        <f t="shared" si="21"/>
        <v>1392</v>
      </c>
      <c r="N91" s="53">
        <f t="shared" si="151"/>
        <v>1008.4456712857628</v>
      </c>
      <c r="O91" s="43">
        <f t="shared" si="152"/>
        <v>417.59999999999997</v>
      </c>
      <c r="P91" s="43">
        <f t="shared" si="115"/>
        <v>590.84567128576282</v>
      </c>
      <c r="Q91" s="43">
        <f t="shared" si="116"/>
        <v>974.40000000000009</v>
      </c>
      <c r="R91" s="43">
        <f t="shared" si="117"/>
        <v>-383.55432871423727</v>
      </c>
      <c r="S91" s="43">
        <f t="shared" si="160"/>
        <v>4058.4905279891018</v>
      </c>
      <c r="T91" s="43">
        <f t="shared" si="118"/>
        <v>974.40000000000009</v>
      </c>
      <c r="U91" s="19">
        <f t="shared" si="153"/>
        <v>291.46818914214555</v>
      </c>
      <c r="V91" s="20">
        <f t="shared" si="154"/>
        <v>291.46818914214555</v>
      </c>
      <c r="W91" s="20">
        <f t="shared" si="155"/>
        <v>1779.4150741278722</v>
      </c>
      <c r="X91" s="19">
        <f t="shared" si="156"/>
        <v>1487.9468849857267</v>
      </c>
      <c r="Y91" s="38">
        <f t="shared" si="157"/>
        <v>0.83619999999999994</v>
      </c>
      <c r="Z91" s="37">
        <f t="shared" si="161"/>
        <v>74437.813926992909</v>
      </c>
      <c r="AA91" s="44">
        <f t="shared" si="162"/>
        <v>0</v>
      </c>
      <c r="AC91" s="48">
        <f t="shared" si="163"/>
        <v>1487.9468849857267</v>
      </c>
    </row>
    <row r="92" spans="1:29" s="14" customFormat="1" x14ac:dyDescent="0.2">
      <c r="A92" s="14" t="str">
        <f t="shared" si="26"/>
        <v>Agosto</v>
      </c>
      <c r="B92" s="14">
        <f t="shared" ref="B92:F92" si="167">B80</f>
        <v>31</v>
      </c>
      <c r="C92" s="15">
        <f t="shared" si="167"/>
        <v>3.45</v>
      </c>
      <c r="D92" s="15">
        <f t="shared" si="167"/>
        <v>4.1147894221351615</v>
      </c>
      <c r="E92" s="15">
        <f t="shared" si="167"/>
        <v>4.83</v>
      </c>
      <c r="F92" s="15">
        <f t="shared" si="167"/>
        <v>5.21</v>
      </c>
      <c r="G92" s="16">
        <f t="shared" si="52"/>
        <v>0.97251872270393291</v>
      </c>
      <c r="H92" s="15">
        <f t="shared" si="20"/>
        <v>1.4693280768000003</v>
      </c>
      <c r="I92" s="17">
        <f t="shared" si="86"/>
        <v>0.29912580987494408</v>
      </c>
      <c r="J92" s="14">
        <f t="shared" si="165"/>
        <v>68</v>
      </c>
      <c r="K92" s="25">
        <f t="shared" si="87"/>
        <v>6</v>
      </c>
      <c r="L92" s="18" t="str">
        <f t="shared" ref="L92" si="168">L80</f>
        <v>ago</v>
      </c>
      <c r="M92" s="43">
        <f t="shared" si="21"/>
        <v>1520</v>
      </c>
      <c r="N92" s="53">
        <f t="shared" si="151"/>
        <v>1210.7573028708696</v>
      </c>
      <c r="O92" s="43">
        <f t="shared" si="152"/>
        <v>456</v>
      </c>
      <c r="P92" s="43">
        <f t="shared" si="115"/>
        <v>754.75730287086958</v>
      </c>
      <c r="Q92" s="43">
        <f t="shared" si="116"/>
        <v>1064</v>
      </c>
      <c r="R92" s="43">
        <f t="shared" si="117"/>
        <v>-309.24269712913042</v>
      </c>
      <c r="S92" s="43">
        <f t="shared" si="160"/>
        <v>3749.2478308599711</v>
      </c>
      <c r="T92" s="43">
        <f t="shared" si="118"/>
        <v>1064</v>
      </c>
      <c r="U92" s="19">
        <f t="shared" si="153"/>
        <v>318.2698617069405</v>
      </c>
      <c r="V92" s="20">
        <f t="shared" si="154"/>
        <v>318.2698617069405</v>
      </c>
      <c r="W92" s="20">
        <f t="shared" si="155"/>
        <v>1943.0394487603205</v>
      </c>
      <c r="X92" s="19">
        <f t="shared" si="156"/>
        <v>1624.7695870533801</v>
      </c>
      <c r="Y92" s="38">
        <f t="shared" si="157"/>
        <v>0.83620000000000005</v>
      </c>
      <c r="Z92" s="37">
        <f t="shared" si="161"/>
        <v>76062.583514046288</v>
      </c>
      <c r="AA92" s="44">
        <f t="shared" si="162"/>
        <v>0</v>
      </c>
      <c r="AC92" s="48">
        <f t="shared" si="163"/>
        <v>1624.7695870533801</v>
      </c>
    </row>
    <row r="93" spans="1:29" s="14" customFormat="1" x14ac:dyDescent="0.2">
      <c r="A93" s="14" t="str">
        <f t="shared" si="26"/>
        <v>Setembro</v>
      </c>
      <c r="B93" s="14">
        <f t="shared" ref="B93:F93" si="169">B81</f>
        <v>30</v>
      </c>
      <c r="C93" s="15">
        <f t="shared" si="169"/>
        <v>3.82</v>
      </c>
      <c r="D93" s="15">
        <f t="shared" si="169"/>
        <v>4.2417238001958868</v>
      </c>
      <c r="E93" s="15">
        <f t="shared" si="169"/>
        <v>5.12</v>
      </c>
      <c r="F93" s="15">
        <f t="shared" si="169"/>
        <v>5.1100000000000003</v>
      </c>
      <c r="G93" s="16">
        <f t="shared" si="52"/>
        <v>0.97251872270393291</v>
      </c>
      <c r="H93" s="15">
        <f t="shared" si="20"/>
        <v>1.4693280768000003</v>
      </c>
      <c r="I93" s="17">
        <f t="shared" si="86"/>
        <v>0.29912580987494408</v>
      </c>
      <c r="J93" s="14">
        <f t="shared" si="165"/>
        <v>69</v>
      </c>
      <c r="K93" s="25">
        <f t="shared" si="87"/>
        <v>6</v>
      </c>
      <c r="L93" s="18" t="str">
        <f t="shared" ref="L93" si="170">L81</f>
        <v>set</v>
      </c>
      <c r="M93" s="43">
        <f t="shared" si="21"/>
        <v>1400</v>
      </c>
      <c r="N93" s="53">
        <f t="shared" si="151"/>
        <v>1207.8456218207616</v>
      </c>
      <c r="O93" s="43">
        <f t="shared" si="152"/>
        <v>420</v>
      </c>
      <c r="P93" s="43">
        <f t="shared" si="115"/>
        <v>787.84562182076161</v>
      </c>
      <c r="Q93" s="43">
        <f t="shared" si="116"/>
        <v>980</v>
      </c>
      <c r="R93" s="43">
        <f t="shared" si="117"/>
        <v>-192.15437817923839</v>
      </c>
      <c r="S93" s="43">
        <f t="shared" si="160"/>
        <v>3557.0934526807328</v>
      </c>
      <c r="T93" s="43">
        <f t="shared" si="118"/>
        <v>980</v>
      </c>
      <c r="U93" s="19">
        <f t="shared" si="153"/>
        <v>293.14329367744517</v>
      </c>
      <c r="V93" s="20">
        <f t="shared" si="154"/>
        <v>293.14329367744517</v>
      </c>
      <c r="W93" s="20">
        <f t="shared" si="155"/>
        <v>1789.6415975424004</v>
      </c>
      <c r="X93" s="19">
        <f t="shared" si="156"/>
        <v>1496.4983038649552</v>
      </c>
      <c r="Y93" s="38">
        <f t="shared" si="157"/>
        <v>0.83620000000000005</v>
      </c>
      <c r="Z93" s="37">
        <f t="shared" si="161"/>
        <v>77559.081817911239</v>
      </c>
      <c r="AA93" s="44">
        <f t="shared" si="162"/>
        <v>0</v>
      </c>
      <c r="AC93" s="48">
        <f t="shared" si="163"/>
        <v>1496.4983038649552</v>
      </c>
    </row>
    <row r="94" spans="1:29" s="14" customFormat="1" x14ac:dyDescent="0.2">
      <c r="A94" s="14" t="str">
        <f t="shared" si="26"/>
        <v>Outubro</v>
      </c>
      <c r="B94" s="14">
        <f t="shared" ref="B94:F94" si="171">B82</f>
        <v>31</v>
      </c>
      <c r="C94" s="15">
        <f t="shared" si="171"/>
        <v>4.33</v>
      </c>
      <c r="D94" s="15">
        <f t="shared" si="171"/>
        <v>4.8763956904995114</v>
      </c>
      <c r="E94" s="15">
        <f t="shared" si="171"/>
        <v>5.57</v>
      </c>
      <c r="F94" s="15">
        <f t="shared" si="171"/>
        <v>5.17</v>
      </c>
      <c r="G94" s="16">
        <f t="shared" si="52"/>
        <v>0.97251872270393291</v>
      </c>
      <c r="H94" s="15">
        <f t="shared" si="20"/>
        <v>1.4693280768000003</v>
      </c>
      <c r="I94" s="17">
        <f t="shared" si="86"/>
        <v>0.29912580987494408</v>
      </c>
      <c r="J94" s="14">
        <f t="shared" si="165"/>
        <v>70</v>
      </c>
      <c r="K94" s="25">
        <f t="shared" si="87"/>
        <v>6</v>
      </c>
      <c r="L94" s="18" t="str">
        <f t="shared" ref="L94" si="172">L82</f>
        <v>out</v>
      </c>
      <c r="M94" s="43">
        <f t="shared" si="21"/>
        <v>1340</v>
      </c>
      <c r="N94" s="53">
        <f t="shared" si="151"/>
        <v>1434.8563409343724</v>
      </c>
      <c r="O94" s="43">
        <f t="shared" si="152"/>
        <v>402</v>
      </c>
      <c r="P94" s="43">
        <f t="shared" si="115"/>
        <v>1032.8563409343724</v>
      </c>
      <c r="Q94" s="43">
        <f t="shared" si="116"/>
        <v>938</v>
      </c>
      <c r="R94" s="43">
        <f t="shared" si="117"/>
        <v>94.856340934372383</v>
      </c>
      <c r="S94" s="43">
        <f t="shared" si="160"/>
        <v>3651.9497936151051</v>
      </c>
      <c r="T94" s="43">
        <f t="shared" si="118"/>
        <v>938</v>
      </c>
      <c r="U94" s="19">
        <f t="shared" si="153"/>
        <v>280.58000966269753</v>
      </c>
      <c r="V94" s="20">
        <f t="shared" si="154"/>
        <v>280.58000966269753</v>
      </c>
      <c r="W94" s="20">
        <f t="shared" si="155"/>
        <v>1712.9426719334404</v>
      </c>
      <c r="X94" s="19">
        <f t="shared" si="156"/>
        <v>1432.3626622707429</v>
      </c>
      <c r="Y94" s="38">
        <f t="shared" si="157"/>
        <v>0.83620000000000005</v>
      </c>
      <c r="Z94" s="37">
        <f t="shared" si="161"/>
        <v>78991.444480181977</v>
      </c>
      <c r="AA94" s="44">
        <f t="shared" si="162"/>
        <v>0</v>
      </c>
      <c r="AC94" s="48">
        <f t="shared" si="163"/>
        <v>1432.3626622707429</v>
      </c>
    </row>
    <row r="95" spans="1:29" s="14" customFormat="1" x14ac:dyDescent="0.2">
      <c r="A95" s="14" t="str">
        <f t="shared" si="26"/>
        <v>Novembro</v>
      </c>
      <c r="B95" s="14">
        <f t="shared" ref="B95:F95" si="173">B83</f>
        <v>30</v>
      </c>
      <c r="C95" s="15">
        <f t="shared" si="173"/>
        <v>4.68</v>
      </c>
      <c r="D95" s="15">
        <f t="shared" si="173"/>
        <v>5.5745347698334964</v>
      </c>
      <c r="E95" s="15">
        <f t="shared" si="173"/>
        <v>5.89</v>
      </c>
      <c r="F95" s="15">
        <f t="shared" si="173"/>
        <v>5.23</v>
      </c>
      <c r="G95" s="16">
        <f t="shared" si="52"/>
        <v>0.97251872270393291</v>
      </c>
      <c r="H95" s="15">
        <f t="shared" si="20"/>
        <v>1.4693280768000003</v>
      </c>
      <c r="I95" s="17">
        <f t="shared" si="86"/>
        <v>0.29912580987494408</v>
      </c>
      <c r="J95" s="14">
        <f t="shared" si="165"/>
        <v>71</v>
      </c>
      <c r="K95" s="25">
        <f t="shared" si="87"/>
        <v>6</v>
      </c>
      <c r="L95" s="18" t="str">
        <f t="shared" ref="L95" si="174">L83</f>
        <v>nov</v>
      </c>
      <c r="M95" s="43">
        <f t="shared" si="21"/>
        <v>1288</v>
      </c>
      <c r="N95" s="53">
        <f t="shared" si="151"/>
        <v>1587.3681862831452</v>
      </c>
      <c r="O95" s="43">
        <f t="shared" si="152"/>
        <v>386.4</v>
      </c>
      <c r="P95" s="43">
        <f t="shared" si="115"/>
        <v>1200.9681862831453</v>
      </c>
      <c r="Q95" s="43">
        <f t="shared" si="116"/>
        <v>901.6</v>
      </c>
      <c r="R95" s="43">
        <f t="shared" si="117"/>
        <v>299.36818628314529</v>
      </c>
      <c r="S95" s="43">
        <f t="shared" si="160"/>
        <v>3951.3179798982505</v>
      </c>
      <c r="T95" s="43">
        <f t="shared" si="118"/>
        <v>901.6</v>
      </c>
      <c r="U95" s="19">
        <f t="shared" si="153"/>
        <v>269.69183018324958</v>
      </c>
      <c r="V95" s="20">
        <f t="shared" si="154"/>
        <v>269.69183018324958</v>
      </c>
      <c r="W95" s="20">
        <f t="shared" si="155"/>
        <v>1646.4702697390082</v>
      </c>
      <c r="X95" s="19">
        <f t="shared" si="156"/>
        <v>1376.7784395557587</v>
      </c>
      <c r="Y95" s="38">
        <f t="shared" si="157"/>
        <v>0.83620000000000005</v>
      </c>
      <c r="Z95" s="37">
        <f t="shared" si="161"/>
        <v>80368.222919737731</v>
      </c>
      <c r="AA95" s="44">
        <f t="shared" si="162"/>
        <v>0</v>
      </c>
      <c r="AC95" s="48">
        <f t="shared" si="163"/>
        <v>1376.7784395557587</v>
      </c>
    </row>
    <row r="96" spans="1:29" s="14" customFormat="1" x14ac:dyDescent="0.2">
      <c r="A96" s="14" t="str">
        <f t="shared" si="26"/>
        <v>Dezembro</v>
      </c>
      <c r="B96" s="14">
        <f t="shared" ref="B96:F96" si="175">B84</f>
        <v>31</v>
      </c>
      <c r="C96" s="15">
        <f t="shared" si="175"/>
        <v>4.8499999999999996</v>
      </c>
      <c r="D96" s="15">
        <f t="shared" si="175"/>
        <v>5.6062683643486775</v>
      </c>
      <c r="E96" s="15">
        <f t="shared" si="175"/>
        <v>6.05</v>
      </c>
      <c r="F96" s="15">
        <f t="shared" si="175"/>
        <v>5.29</v>
      </c>
      <c r="G96" s="16">
        <f t="shared" si="52"/>
        <v>0.97251872270393291</v>
      </c>
      <c r="H96" s="15">
        <f t="shared" si="20"/>
        <v>1.4693280768000003</v>
      </c>
      <c r="I96" s="17">
        <f t="shared" si="86"/>
        <v>0.29912580987494408</v>
      </c>
      <c r="J96" s="14">
        <f t="shared" si="165"/>
        <v>72</v>
      </c>
      <c r="K96" s="26">
        <f t="shared" si="87"/>
        <v>6</v>
      </c>
      <c r="L96" s="18" t="str">
        <f t="shared" ref="L96" si="176">L84</f>
        <v>dez</v>
      </c>
      <c r="M96" s="43">
        <f t="shared" si="21"/>
        <v>1140</v>
      </c>
      <c r="N96" s="54">
        <f t="shared" si="151"/>
        <v>1649.6179190785624</v>
      </c>
      <c r="O96" s="55">
        <f t="shared" si="152"/>
        <v>342</v>
      </c>
      <c r="P96" s="55">
        <f t="shared" si="115"/>
        <v>1307.6179190785624</v>
      </c>
      <c r="Q96" s="43">
        <f t="shared" si="116"/>
        <v>798</v>
      </c>
      <c r="R96" s="43">
        <f t="shared" si="117"/>
        <v>509.61791907856241</v>
      </c>
      <c r="S96" s="43">
        <f t="shared" si="160"/>
        <v>4460.9358989768134</v>
      </c>
      <c r="T96" s="43">
        <f t="shared" si="118"/>
        <v>798</v>
      </c>
      <c r="U96" s="23">
        <f t="shared" si="153"/>
        <v>238.70239628020539</v>
      </c>
      <c r="V96" s="24">
        <f t="shared" si="154"/>
        <v>238.70239628020539</v>
      </c>
      <c r="W96" s="24">
        <f t="shared" si="155"/>
        <v>1457.2795865702403</v>
      </c>
      <c r="X96" s="23">
        <f t="shared" si="156"/>
        <v>1218.5771902900349</v>
      </c>
      <c r="Y96" s="38">
        <f t="shared" si="157"/>
        <v>0.83619999999999994</v>
      </c>
      <c r="Z96" s="37">
        <f t="shared" si="161"/>
        <v>81586.800110027762</v>
      </c>
      <c r="AA96" s="44">
        <f t="shared" si="162"/>
        <v>0</v>
      </c>
      <c r="AC96" s="48">
        <f t="shared" si="163"/>
        <v>1218.5771902900349</v>
      </c>
    </row>
    <row r="97" spans="1:29" x14ac:dyDescent="0.2">
      <c r="A97" s="14" t="str">
        <f t="shared" si="26"/>
        <v>Janeiro</v>
      </c>
      <c r="B97" s="14">
        <f t="shared" si="26"/>
        <v>30</v>
      </c>
      <c r="C97" s="15">
        <f t="shared" si="26"/>
        <v>4.87</v>
      </c>
      <c r="D97" s="15">
        <f t="shared" si="26"/>
        <v>5.4581782566111663</v>
      </c>
      <c r="E97" s="15">
        <f t="shared" si="26"/>
        <v>6.01</v>
      </c>
      <c r="F97" s="57">
        <f t="shared" si="26"/>
        <v>5.31</v>
      </c>
      <c r="G97" s="16">
        <f t="shared" ref="G97:G160" si="177">(1-1%)*(1-0.4444%)^K73</f>
        <v>0.96819684950023666</v>
      </c>
      <c r="H97" s="15">
        <f t="shared" si="20"/>
        <v>1.5868743229440005</v>
      </c>
      <c r="I97" s="17">
        <f t="shared" si="86"/>
        <v>0.32305587466493962</v>
      </c>
      <c r="J97" s="14">
        <f t="shared" ref="J97:J160" si="178">J96+1</f>
        <v>73</v>
      </c>
      <c r="K97" s="25">
        <f t="shared" si="87"/>
        <v>7</v>
      </c>
      <c r="L97" s="18" t="str">
        <f t="shared" ref="L97" si="179">L85</f>
        <v>jan</v>
      </c>
      <c r="M97" s="43">
        <f t="shared" si="21"/>
        <v>836</v>
      </c>
      <c r="N97" s="53">
        <f t="shared" si="151"/>
        <v>1547.3282424756439</v>
      </c>
      <c r="O97" s="43">
        <f t="shared" si="152"/>
        <v>250.79999999999998</v>
      </c>
      <c r="P97" s="43">
        <f t="shared" ref="P97:P160" si="180">N97-O97</f>
        <v>1296.528242475644</v>
      </c>
      <c r="Q97" s="43">
        <f t="shared" ref="Q97:Q160" si="181">M97-O97</f>
        <v>585.20000000000005</v>
      </c>
      <c r="R97" s="43">
        <f t="shared" ref="R97:R160" si="182">P97-Q97</f>
        <v>711.32824247564395</v>
      </c>
      <c r="S97" s="43">
        <f t="shared" si="160"/>
        <v>5172.2641414524569</v>
      </c>
      <c r="T97" s="43">
        <f t="shared" ref="T97:T160" si="183">MIN(Q97,P97+S96)</f>
        <v>585.20000000000005</v>
      </c>
      <c r="U97" s="50">
        <f t="shared" ref="U97:U160" si="184">T97*I97</f>
        <v>189.05229785392268</v>
      </c>
      <c r="V97" s="20">
        <f t="shared" si="154"/>
        <v>189.05229785392268</v>
      </c>
      <c r="W97" s="20">
        <f t="shared" si="155"/>
        <v>1154.1654325636305</v>
      </c>
      <c r="X97" s="19">
        <f t="shared" ref="X97:X160" si="185">W97-V97</f>
        <v>965.11313470970777</v>
      </c>
      <c r="Y97" s="46">
        <f t="shared" si="157"/>
        <v>0.83619999999999994</v>
      </c>
      <c r="Z97" s="19">
        <f t="shared" si="161"/>
        <v>82551.913244737472</v>
      </c>
      <c r="AA97" s="18">
        <f t="shared" si="162"/>
        <v>0</v>
      </c>
      <c r="AC97" s="48">
        <f t="shared" si="163"/>
        <v>965.11313470970777</v>
      </c>
    </row>
    <row r="98" spans="1:29" x14ac:dyDescent="0.2">
      <c r="A98" s="14" t="str">
        <f t="shared" ref="A98:F113" si="186">A86</f>
        <v>Fevereiro</v>
      </c>
      <c r="B98" s="14">
        <f t="shared" si="186"/>
        <v>28</v>
      </c>
      <c r="C98" s="15">
        <f t="shared" si="186"/>
        <v>4.75</v>
      </c>
      <c r="D98" s="15">
        <f t="shared" si="186"/>
        <v>5.2254652301665043</v>
      </c>
      <c r="E98" s="15">
        <f t="shared" si="186"/>
        <v>5.82</v>
      </c>
      <c r="F98" s="57">
        <f t="shared" si="186"/>
        <v>5.28</v>
      </c>
      <c r="G98" s="16">
        <f t="shared" si="177"/>
        <v>0.96819684950023666</v>
      </c>
      <c r="H98" s="15">
        <f t="shared" si="20"/>
        <v>1.5868743229440005</v>
      </c>
      <c r="I98" s="17">
        <f t="shared" si="86"/>
        <v>0.32305587466493962</v>
      </c>
      <c r="J98" s="14">
        <f t="shared" si="178"/>
        <v>74</v>
      </c>
      <c r="K98" s="25">
        <f t="shared" si="87"/>
        <v>7</v>
      </c>
      <c r="L98" s="18" t="str">
        <f t="shared" ref="L98" si="187">L86</f>
        <v>fev</v>
      </c>
      <c r="M98" s="43">
        <f t="shared" si="21"/>
        <v>1088</v>
      </c>
      <c r="N98" s="53">
        <f t="shared" si="151"/>
        <v>1382.5997577469707</v>
      </c>
      <c r="O98" s="43">
        <f t="shared" si="152"/>
        <v>326.39999999999998</v>
      </c>
      <c r="P98" s="43">
        <f t="shared" si="180"/>
        <v>1056.1997577469706</v>
      </c>
      <c r="Q98" s="43">
        <f t="shared" si="181"/>
        <v>761.6</v>
      </c>
      <c r="R98" s="43">
        <f t="shared" si="182"/>
        <v>294.59975774697057</v>
      </c>
      <c r="S98" s="43">
        <f t="shared" si="160"/>
        <v>5466.8638991994276</v>
      </c>
      <c r="T98" s="43">
        <f t="shared" si="183"/>
        <v>761.6</v>
      </c>
      <c r="U98" s="50">
        <f t="shared" si="184"/>
        <v>246.03935414481802</v>
      </c>
      <c r="V98" s="20">
        <f t="shared" si="154"/>
        <v>246.03935414481802</v>
      </c>
      <c r="W98" s="20">
        <f t="shared" si="155"/>
        <v>1502.0717591258731</v>
      </c>
      <c r="X98" s="19">
        <f t="shared" si="185"/>
        <v>1256.0324049810552</v>
      </c>
      <c r="Y98" s="38">
        <f t="shared" si="157"/>
        <v>0.83620000000000005</v>
      </c>
      <c r="Z98" s="37">
        <f t="shared" si="161"/>
        <v>83807.945649718531</v>
      </c>
      <c r="AA98" s="44">
        <f t="shared" si="162"/>
        <v>0</v>
      </c>
      <c r="AC98" s="48">
        <f t="shared" si="163"/>
        <v>1256.0324049810552</v>
      </c>
    </row>
    <row r="99" spans="1:29" x14ac:dyDescent="0.2">
      <c r="A99" s="14" t="str">
        <f t="shared" si="186"/>
        <v>Março</v>
      </c>
      <c r="B99" s="14">
        <f t="shared" si="186"/>
        <v>31</v>
      </c>
      <c r="C99" s="15">
        <f t="shared" si="186"/>
        <v>4.21</v>
      </c>
      <c r="D99" s="15">
        <f t="shared" si="186"/>
        <v>4.7494613124387861</v>
      </c>
      <c r="E99" s="15">
        <f t="shared" si="186"/>
        <v>5.43</v>
      </c>
      <c r="F99" s="57">
        <f t="shared" si="186"/>
        <v>5.14</v>
      </c>
      <c r="G99" s="16">
        <f t="shared" si="177"/>
        <v>0.96819684950023666</v>
      </c>
      <c r="H99" s="15">
        <f t="shared" si="20"/>
        <v>1.5868743229440005</v>
      </c>
      <c r="I99" s="17">
        <f t="shared" si="86"/>
        <v>0.32305587466493962</v>
      </c>
      <c r="J99" s="14">
        <f t="shared" si="178"/>
        <v>75</v>
      </c>
      <c r="K99" s="25">
        <f t="shared" si="87"/>
        <v>7</v>
      </c>
      <c r="L99" s="18" t="str">
        <f t="shared" ref="L99" si="188">L87</f>
        <v>mar</v>
      </c>
      <c r="M99" s="43">
        <f t="shared" si="21"/>
        <v>1152</v>
      </c>
      <c r="N99" s="53">
        <f t="shared" si="151"/>
        <v>1391.2959823655353</v>
      </c>
      <c r="O99" s="43">
        <f t="shared" si="152"/>
        <v>345.59999999999997</v>
      </c>
      <c r="P99" s="43">
        <f t="shared" si="180"/>
        <v>1045.6959823655354</v>
      </c>
      <c r="Q99" s="43">
        <f t="shared" si="181"/>
        <v>806.40000000000009</v>
      </c>
      <c r="R99" s="43">
        <f t="shared" si="182"/>
        <v>239.29598236553534</v>
      </c>
      <c r="S99" s="43">
        <f t="shared" si="160"/>
        <v>5706.1598815649631</v>
      </c>
      <c r="T99" s="43">
        <f t="shared" si="183"/>
        <v>806.40000000000009</v>
      </c>
      <c r="U99" s="50">
        <f t="shared" si="184"/>
        <v>260.51225732980737</v>
      </c>
      <c r="V99" s="20">
        <f t="shared" si="154"/>
        <v>260.51225732980737</v>
      </c>
      <c r="W99" s="20">
        <f t="shared" si="155"/>
        <v>1590.4289214273952</v>
      </c>
      <c r="X99" s="19">
        <f t="shared" si="185"/>
        <v>1329.9166640975877</v>
      </c>
      <c r="Y99" s="38">
        <f t="shared" si="157"/>
        <v>0.83619999999999994</v>
      </c>
      <c r="Z99" s="37">
        <f t="shared" si="161"/>
        <v>85137.86231381612</v>
      </c>
      <c r="AA99" s="44">
        <f t="shared" si="162"/>
        <v>0</v>
      </c>
      <c r="AC99" s="48">
        <f t="shared" si="163"/>
        <v>1329.9166640975877</v>
      </c>
    </row>
    <row r="100" spans="1:29" x14ac:dyDescent="0.2">
      <c r="A100" s="14" t="str">
        <f t="shared" si="186"/>
        <v>Abril</v>
      </c>
      <c r="B100" s="14">
        <f t="shared" si="186"/>
        <v>30</v>
      </c>
      <c r="C100" s="15">
        <f t="shared" si="186"/>
        <v>3.59</v>
      </c>
      <c r="D100" s="15">
        <f t="shared" si="186"/>
        <v>4.1465230166503426</v>
      </c>
      <c r="E100" s="15">
        <f t="shared" si="186"/>
        <v>4.91</v>
      </c>
      <c r="F100" s="57">
        <f t="shared" si="186"/>
        <v>4.97</v>
      </c>
      <c r="G100" s="16">
        <f t="shared" si="177"/>
        <v>0.96819684950023666</v>
      </c>
      <c r="H100" s="15">
        <f t="shared" si="20"/>
        <v>1.5868743229440005</v>
      </c>
      <c r="I100" s="17">
        <f t="shared" si="86"/>
        <v>0.32305587466493962</v>
      </c>
      <c r="J100" s="14">
        <f t="shared" si="178"/>
        <v>76</v>
      </c>
      <c r="K100" s="25">
        <f t="shared" si="87"/>
        <v>7</v>
      </c>
      <c r="L100" s="18" t="str">
        <f t="shared" ref="L100" si="189">L88</f>
        <v>abr</v>
      </c>
      <c r="M100" s="43">
        <f t="shared" si="21"/>
        <v>1000</v>
      </c>
      <c r="N100" s="53">
        <f t="shared" si="151"/>
        <v>1175.4896725783958</v>
      </c>
      <c r="O100" s="43">
        <f t="shared" si="152"/>
        <v>300</v>
      </c>
      <c r="P100" s="43">
        <f t="shared" si="180"/>
        <v>875.48967257839581</v>
      </c>
      <c r="Q100" s="43">
        <f t="shared" si="181"/>
        <v>700</v>
      </c>
      <c r="R100" s="43">
        <f t="shared" si="182"/>
        <v>175.48967257839581</v>
      </c>
      <c r="S100" s="43">
        <f t="shared" si="160"/>
        <v>5881.6495541433587</v>
      </c>
      <c r="T100" s="43">
        <f t="shared" si="183"/>
        <v>700</v>
      </c>
      <c r="U100" s="50">
        <f t="shared" si="184"/>
        <v>226.13911226545773</v>
      </c>
      <c r="V100" s="20">
        <f t="shared" si="154"/>
        <v>226.13911226545773</v>
      </c>
      <c r="W100" s="20">
        <f t="shared" si="155"/>
        <v>1380.5806609612805</v>
      </c>
      <c r="X100" s="19">
        <f t="shared" si="185"/>
        <v>1154.4415486958228</v>
      </c>
      <c r="Y100" s="38">
        <f t="shared" si="157"/>
        <v>0.83620000000000005</v>
      </c>
      <c r="Z100" s="37">
        <f t="shared" si="161"/>
        <v>86292.303862511937</v>
      </c>
      <c r="AA100" s="44">
        <f t="shared" si="162"/>
        <v>0</v>
      </c>
      <c r="AC100" s="48">
        <f t="shared" si="163"/>
        <v>1154.4415486958228</v>
      </c>
    </row>
    <row r="101" spans="1:29" x14ac:dyDescent="0.2">
      <c r="A101" s="14" t="str">
        <f t="shared" si="186"/>
        <v>Maio</v>
      </c>
      <c r="B101" s="14">
        <f t="shared" si="186"/>
        <v>31</v>
      </c>
      <c r="C101" s="15">
        <f t="shared" si="186"/>
        <v>2.98</v>
      </c>
      <c r="D101" s="15">
        <f t="shared" si="186"/>
        <v>3.3849167482859945</v>
      </c>
      <c r="E101" s="15">
        <f t="shared" si="186"/>
        <v>4.25</v>
      </c>
      <c r="F101" s="57">
        <f t="shared" si="186"/>
        <v>4.66</v>
      </c>
      <c r="G101" s="16">
        <f t="shared" si="177"/>
        <v>0.96819684950023666</v>
      </c>
      <c r="H101" s="15">
        <f t="shared" ref="H101:H164" si="190">(1+$B$13)^K89</f>
        <v>1.5868743229440005</v>
      </c>
      <c r="I101" s="17">
        <f t="shared" si="86"/>
        <v>0.32305587466493962</v>
      </c>
      <c r="J101" s="14">
        <f t="shared" si="178"/>
        <v>77</v>
      </c>
      <c r="K101" s="25">
        <f t="shared" si="87"/>
        <v>7</v>
      </c>
      <c r="L101" s="18" t="str">
        <f t="shared" ref="L101" si="191">L89</f>
        <v>mai</v>
      </c>
      <c r="M101" s="43">
        <f t="shared" ref="M101:M164" si="192">M89*(1+$B$14)</f>
        <v>1396</v>
      </c>
      <c r="N101" s="53">
        <f t="shared" si="151"/>
        <v>991.56951972599404</v>
      </c>
      <c r="O101" s="43">
        <f t="shared" si="152"/>
        <v>418.8</v>
      </c>
      <c r="P101" s="43">
        <f t="shared" si="180"/>
        <v>572.76951972599409</v>
      </c>
      <c r="Q101" s="43">
        <f t="shared" si="181"/>
        <v>977.2</v>
      </c>
      <c r="R101" s="43">
        <f t="shared" si="182"/>
        <v>-404.43048027400596</v>
      </c>
      <c r="S101" s="43">
        <f t="shared" si="160"/>
        <v>5477.2190738693525</v>
      </c>
      <c r="T101" s="43">
        <f t="shared" si="183"/>
        <v>977.2</v>
      </c>
      <c r="U101" s="50">
        <f t="shared" si="184"/>
        <v>315.69020072257899</v>
      </c>
      <c r="V101" s="20">
        <f t="shared" si="154"/>
        <v>315.69020072257899</v>
      </c>
      <c r="W101" s="20">
        <f t="shared" si="155"/>
        <v>1927.2906027019476</v>
      </c>
      <c r="X101" s="19">
        <f t="shared" si="185"/>
        <v>1611.6004019793686</v>
      </c>
      <c r="Y101" s="38">
        <f t="shared" si="157"/>
        <v>0.83620000000000005</v>
      </c>
      <c r="Z101" s="37">
        <f t="shared" si="161"/>
        <v>87903.904264491299</v>
      </c>
      <c r="AA101" s="44">
        <f t="shared" si="162"/>
        <v>0</v>
      </c>
      <c r="AC101" s="48">
        <f t="shared" si="163"/>
        <v>1611.6004019793686</v>
      </c>
    </row>
    <row r="102" spans="1:29" x14ac:dyDescent="0.2">
      <c r="A102" s="14" t="str">
        <f t="shared" si="186"/>
        <v>Junho</v>
      </c>
      <c r="B102" s="14">
        <f t="shared" si="186"/>
        <v>30</v>
      </c>
      <c r="C102" s="15">
        <f t="shared" si="186"/>
        <v>2.74</v>
      </c>
      <c r="D102" s="15">
        <f t="shared" si="186"/>
        <v>3.1945151811949071</v>
      </c>
      <c r="E102" s="15">
        <f t="shared" si="186"/>
        <v>3.92</v>
      </c>
      <c r="F102" s="57">
        <f t="shared" si="186"/>
        <v>4.47</v>
      </c>
      <c r="G102" s="16">
        <f t="shared" si="177"/>
        <v>0.96819684950023666</v>
      </c>
      <c r="H102" s="15">
        <f t="shared" si="190"/>
        <v>1.5868743229440005</v>
      </c>
      <c r="I102" s="17">
        <f t="shared" si="86"/>
        <v>0.32305587466493962</v>
      </c>
      <c r="J102" s="14">
        <f t="shared" si="178"/>
        <v>78</v>
      </c>
      <c r="K102" s="25">
        <f t="shared" si="87"/>
        <v>7</v>
      </c>
      <c r="L102" s="18" t="str">
        <f t="shared" ref="L102" si="193">L90</f>
        <v>jun</v>
      </c>
      <c r="M102" s="43">
        <f t="shared" si="192"/>
        <v>1428</v>
      </c>
      <c r="N102" s="53">
        <f t="shared" si="151"/>
        <v>905.60683958845812</v>
      </c>
      <c r="O102" s="43">
        <f t="shared" si="152"/>
        <v>428.4</v>
      </c>
      <c r="P102" s="43">
        <f t="shared" si="180"/>
        <v>477.20683958845814</v>
      </c>
      <c r="Q102" s="43">
        <f t="shared" si="181"/>
        <v>999.6</v>
      </c>
      <c r="R102" s="43">
        <f t="shared" si="182"/>
        <v>-522.39316041154188</v>
      </c>
      <c r="S102" s="43">
        <f t="shared" si="160"/>
        <v>4954.8259134578111</v>
      </c>
      <c r="T102" s="43">
        <f t="shared" si="183"/>
        <v>999.6</v>
      </c>
      <c r="U102" s="50">
        <f t="shared" si="184"/>
        <v>322.92665231507368</v>
      </c>
      <c r="V102" s="20">
        <f t="shared" si="154"/>
        <v>322.92665231507368</v>
      </c>
      <c r="W102" s="20">
        <f t="shared" si="155"/>
        <v>1971.4691838527083</v>
      </c>
      <c r="X102" s="19">
        <f t="shared" si="185"/>
        <v>1648.5425315376347</v>
      </c>
      <c r="Y102" s="38">
        <f t="shared" si="157"/>
        <v>0.83619999999999994</v>
      </c>
      <c r="Z102" s="37">
        <f t="shared" si="161"/>
        <v>89552.446796028933</v>
      </c>
      <c r="AA102" s="44">
        <f t="shared" si="162"/>
        <v>0</v>
      </c>
      <c r="AC102" s="48">
        <f t="shared" si="163"/>
        <v>1648.5425315376347</v>
      </c>
    </row>
    <row r="103" spans="1:29" x14ac:dyDescent="0.2">
      <c r="A103" s="14" t="str">
        <f t="shared" si="186"/>
        <v>Julho</v>
      </c>
      <c r="B103" s="14">
        <f t="shared" si="186"/>
        <v>31</v>
      </c>
      <c r="C103" s="15">
        <f t="shared" si="186"/>
        <v>2.91</v>
      </c>
      <c r="D103" s="15">
        <f t="shared" si="186"/>
        <v>3.4272282076395695</v>
      </c>
      <c r="E103" s="15">
        <f t="shared" si="186"/>
        <v>4.18</v>
      </c>
      <c r="F103" s="57">
        <f t="shared" si="186"/>
        <v>4.74</v>
      </c>
      <c r="G103" s="16">
        <f t="shared" si="177"/>
        <v>0.96819684950023666</v>
      </c>
      <c r="H103" s="15">
        <f t="shared" si="190"/>
        <v>1.5868743229440005</v>
      </c>
      <c r="I103" s="17">
        <f t="shared" si="86"/>
        <v>0.32305587466493962</v>
      </c>
      <c r="J103" s="14">
        <f t="shared" si="178"/>
        <v>79</v>
      </c>
      <c r="K103" s="25">
        <f t="shared" si="87"/>
        <v>7</v>
      </c>
      <c r="L103" s="18" t="str">
        <f t="shared" ref="L103" si="194">L91</f>
        <v>jul</v>
      </c>
      <c r="M103" s="43">
        <f t="shared" si="192"/>
        <v>1392</v>
      </c>
      <c r="N103" s="53">
        <f t="shared" si="151"/>
        <v>1003.9641387225689</v>
      </c>
      <c r="O103" s="43">
        <f t="shared" si="152"/>
        <v>417.59999999999997</v>
      </c>
      <c r="P103" s="43">
        <f t="shared" si="180"/>
        <v>586.3641387225689</v>
      </c>
      <c r="Q103" s="43">
        <f t="shared" si="181"/>
        <v>974.40000000000009</v>
      </c>
      <c r="R103" s="43">
        <f t="shared" si="182"/>
        <v>-388.0358612774312</v>
      </c>
      <c r="S103" s="43">
        <f t="shared" si="160"/>
        <v>4566.7900521803804</v>
      </c>
      <c r="T103" s="43">
        <f t="shared" si="183"/>
        <v>974.40000000000009</v>
      </c>
      <c r="U103" s="50">
        <f t="shared" si="184"/>
        <v>314.78564427351722</v>
      </c>
      <c r="V103" s="20">
        <f t="shared" si="154"/>
        <v>314.78564427351722</v>
      </c>
      <c r="W103" s="20">
        <f t="shared" si="155"/>
        <v>1921.7682800581024</v>
      </c>
      <c r="X103" s="19">
        <f t="shared" si="185"/>
        <v>1606.9826357845852</v>
      </c>
      <c r="Y103" s="38">
        <f t="shared" si="157"/>
        <v>0.83620000000000005</v>
      </c>
      <c r="Z103" s="37">
        <f t="shared" si="161"/>
        <v>91159.429431813522</v>
      </c>
      <c r="AA103" s="44">
        <f t="shared" si="162"/>
        <v>0</v>
      </c>
      <c r="AC103" s="48">
        <f t="shared" si="163"/>
        <v>1606.9826357845852</v>
      </c>
    </row>
    <row r="104" spans="1:29" x14ac:dyDescent="0.2">
      <c r="A104" s="14" t="str">
        <f t="shared" si="186"/>
        <v>Agosto</v>
      </c>
      <c r="B104" s="14">
        <f t="shared" si="186"/>
        <v>31</v>
      </c>
      <c r="C104" s="15">
        <f t="shared" si="186"/>
        <v>3.45</v>
      </c>
      <c r="D104" s="15">
        <f t="shared" si="186"/>
        <v>4.1147894221351615</v>
      </c>
      <c r="E104" s="15">
        <f t="shared" si="186"/>
        <v>4.83</v>
      </c>
      <c r="F104" s="57">
        <f t="shared" si="186"/>
        <v>5.21</v>
      </c>
      <c r="G104" s="16">
        <f t="shared" si="177"/>
        <v>0.96819684950023666</v>
      </c>
      <c r="H104" s="15">
        <f t="shared" si="190"/>
        <v>1.5868743229440005</v>
      </c>
      <c r="I104" s="17">
        <f t="shared" si="86"/>
        <v>0.32305587466493962</v>
      </c>
      <c r="J104" s="14">
        <f t="shared" si="178"/>
        <v>80</v>
      </c>
      <c r="K104" s="25">
        <f t="shared" si="87"/>
        <v>7</v>
      </c>
      <c r="L104" s="18" t="str">
        <f t="shared" ref="L104" si="195">L92</f>
        <v>ago</v>
      </c>
      <c r="M104" s="43">
        <f t="shared" si="192"/>
        <v>1520</v>
      </c>
      <c r="N104" s="53">
        <f t="shared" si="151"/>
        <v>1205.3766974169114</v>
      </c>
      <c r="O104" s="43">
        <f t="shared" si="152"/>
        <v>456</v>
      </c>
      <c r="P104" s="43">
        <f t="shared" si="180"/>
        <v>749.37669741691138</v>
      </c>
      <c r="Q104" s="43">
        <f t="shared" si="181"/>
        <v>1064</v>
      </c>
      <c r="R104" s="43">
        <f t="shared" si="182"/>
        <v>-314.62330258308862</v>
      </c>
      <c r="S104" s="43">
        <f t="shared" si="160"/>
        <v>4252.1667495972915</v>
      </c>
      <c r="T104" s="43">
        <f t="shared" si="183"/>
        <v>1064</v>
      </c>
      <c r="U104" s="50">
        <f t="shared" si="184"/>
        <v>343.73145064349575</v>
      </c>
      <c r="V104" s="20">
        <f t="shared" si="154"/>
        <v>343.73145064349575</v>
      </c>
      <c r="W104" s="20">
        <f t="shared" si="155"/>
        <v>2098.4826046611465</v>
      </c>
      <c r="X104" s="19">
        <f t="shared" si="185"/>
        <v>1754.7511540176508</v>
      </c>
      <c r="Y104" s="38">
        <f t="shared" si="157"/>
        <v>0.83620000000000005</v>
      </c>
      <c r="Z104" s="37">
        <f t="shared" si="161"/>
        <v>92914.180585831171</v>
      </c>
      <c r="AA104" s="44">
        <f t="shared" si="162"/>
        <v>0</v>
      </c>
      <c r="AC104" s="48">
        <f t="shared" si="163"/>
        <v>1754.7511540176508</v>
      </c>
    </row>
    <row r="105" spans="1:29" x14ac:dyDescent="0.2">
      <c r="A105" s="14" t="str">
        <f t="shared" si="186"/>
        <v>Setembro</v>
      </c>
      <c r="B105" s="14">
        <f t="shared" si="186"/>
        <v>30</v>
      </c>
      <c r="C105" s="15">
        <f t="shared" si="186"/>
        <v>3.82</v>
      </c>
      <c r="D105" s="15">
        <f t="shared" si="186"/>
        <v>4.2417238001958868</v>
      </c>
      <c r="E105" s="15">
        <f t="shared" si="186"/>
        <v>5.12</v>
      </c>
      <c r="F105" s="57">
        <f t="shared" si="186"/>
        <v>5.1100000000000003</v>
      </c>
      <c r="G105" s="16">
        <f t="shared" si="177"/>
        <v>0.96819684950023666</v>
      </c>
      <c r="H105" s="15">
        <f t="shared" si="190"/>
        <v>1.5868743229440005</v>
      </c>
      <c r="I105" s="17">
        <f t="shared" si="86"/>
        <v>0.32305587466493962</v>
      </c>
      <c r="J105" s="14">
        <f t="shared" si="178"/>
        <v>81</v>
      </c>
      <c r="K105" s="25">
        <f t="shared" si="87"/>
        <v>7</v>
      </c>
      <c r="L105" s="18" t="str">
        <f t="shared" ref="L105" si="196">L93</f>
        <v>set</v>
      </c>
      <c r="M105" s="43">
        <f t="shared" si="192"/>
        <v>1400</v>
      </c>
      <c r="N105" s="53">
        <f t="shared" si="151"/>
        <v>1202.4779558773901</v>
      </c>
      <c r="O105" s="43">
        <f t="shared" si="152"/>
        <v>420</v>
      </c>
      <c r="P105" s="43">
        <f t="shared" si="180"/>
        <v>782.47795587739006</v>
      </c>
      <c r="Q105" s="43">
        <f t="shared" si="181"/>
        <v>980</v>
      </c>
      <c r="R105" s="43">
        <f t="shared" si="182"/>
        <v>-197.52204412260994</v>
      </c>
      <c r="S105" s="43">
        <f t="shared" si="160"/>
        <v>4054.6447054746814</v>
      </c>
      <c r="T105" s="43">
        <f t="shared" si="183"/>
        <v>980</v>
      </c>
      <c r="U105" s="50">
        <f t="shared" si="184"/>
        <v>316.59475717164082</v>
      </c>
      <c r="V105" s="20">
        <f t="shared" si="154"/>
        <v>316.59475717164082</v>
      </c>
      <c r="W105" s="20">
        <f t="shared" si="155"/>
        <v>1932.8129253457926</v>
      </c>
      <c r="X105" s="19">
        <f t="shared" si="185"/>
        <v>1616.2181681741517</v>
      </c>
      <c r="Y105" s="38">
        <f t="shared" si="157"/>
        <v>0.83620000000000005</v>
      </c>
      <c r="Z105" s="37">
        <f t="shared" si="161"/>
        <v>94530.39875400532</v>
      </c>
      <c r="AA105" s="44">
        <f t="shared" si="162"/>
        <v>0</v>
      </c>
      <c r="AC105" s="48">
        <f t="shared" si="163"/>
        <v>1616.2181681741517</v>
      </c>
    </row>
    <row r="106" spans="1:29" x14ac:dyDescent="0.2">
      <c r="A106" s="14" t="str">
        <f t="shared" si="186"/>
        <v>Outubro</v>
      </c>
      <c r="B106" s="14">
        <f t="shared" si="186"/>
        <v>31</v>
      </c>
      <c r="C106" s="15">
        <f t="shared" si="186"/>
        <v>4.33</v>
      </c>
      <c r="D106" s="15">
        <f t="shared" si="186"/>
        <v>4.8763956904995114</v>
      </c>
      <c r="E106" s="15">
        <f t="shared" si="186"/>
        <v>5.57</v>
      </c>
      <c r="F106" s="57">
        <f t="shared" si="186"/>
        <v>5.17</v>
      </c>
      <c r="G106" s="16">
        <f t="shared" si="177"/>
        <v>0.96819684950023666</v>
      </c>
      <c r="H106" s="15">
        <f t="shared" si="190"/>
        <v>1.5868743229440005</v>
      </c>
      <c r="I106" s="17">
        <f t="shared" si="86"/>
        <v>0.32305587466493962</v>
      </c>
      <c r="J106" s="14">
        <f t="shared" si="178"/>
        <v>82</v>
      </c>
      <c r="K106" s="25">
        <f t="shared" si="87"/>
        <v>7</v>
      </c>
      <c r="L106" s="18" t="str">
        <f t="shared" ref="L106" si="197">L94</f>
        <v>out</v>
      </c>
      <c r="M106" s="43">
        <f t="shared" si="192"/>
        <v>1340</v>
      </c>
      <c r="N106" s="53">
        <f t="shared" si="151"/>
        <v>1428.4798393552601</v>
      </c>
      <c r="O106" s="43">
        <f t="shared" si="152"/>
        <v>402</v>
      </c>
      <c r="P106" s="43">
        <f t="shared" si="180"/>
        <v>1026.4798393552601</v>
      </c>
      <c r="Q106" s="43">
        <f t="shared" si="181"/>
        <v>938</v>
      </c>
      <c r="R106" s="43">
        <f t="shared" si="182"/>
        <v>88.479839355260083</v>
      </c>
      <c r="S106" s="43">
        <f t="shared" si="160"/>
        <v>4143.1245448299414</v>
      </c>
      <c r="T106" s="43">
        <f t="shared" si="183"/>
        <v>938</v>
      </c>
      <c r="U106" s="50">
        <f t="shared" si="184"/>
        <v>303.02641043571339</v>
      </c>
      <c r="V106" s="20">
        <f t="shared" si="154"/>
        <v>303.02641043571339</v>
      </c>
      <c r="W106" s="20">
        <f t="shared" si="155"/>
        <v>1849.9780856881157</v>
      </c>
      <c r="X106" s="19">
        <f t="shared" si="185"/>
        <v>1546.9516752524023</v>
      </c>
      <c r="Y106" s="38">
        <f t="shared" si="157"/>
        <v>0.83619999999999994</v>
      </c>
      <c r="Z106" s="37">
        <f t="shared" si="161"/>
        <v>96077.350429257727</v>
      </c>
      <c r="AA106" s="44">
        <f t="shared" si="162"/>
        <v>0</v>
      </c>
      <c r="AC106" s="48">
        <f t="shared" si="163"/>
        <v>1546.9516752524023</v>
      </c>
    </row>
    <row r="107" spans="1:29" x14ac:dyDescent="0.2">
      <c r="A107" s="14" t="str">
        <f t="shared" si="186"/>
        <v>Novembro</v>
      </c>
      <c r="B107" s="14">
        <f t="shared" si="186"/>
        <v>30</v>
      </c>
      <c r="C107" s="15">
        <f t="shared" si="186"/>
        <v>4.68</v>
      </c>
      <c r="D107" s="15">
        <f t="shared" si="186"/>
        <v>5.5745347698334964</v>
      </c>
      <c r="E107" s="15">
        <f t="shared" si="186"/>
        <v>5.89</v>
      </c>
      <c r="F107" s="57">
        <f t="shared" si="186"/>
        <v>5.23</v>
      </c>
      <c r="G107" s="16">
        <f t="shared" si="177"/>
        <v>0.96819684950023666</v>
      </c>
      <c r="H107" s="15">
        <f t="shared" si="190"/>
        <v>1.5868743229440005</v>
      </c>
      <c r="I107" s="17">
        <f t="shared" si="86"/>
        <v>0.32305587466493962</v>
      </c>
      <c r="J107" s="14">
        <f t="shared" si="178"/>
        <v>83</v>
      </c>
      <c r="K107" s="25">
        <f t="shared" si="87"/>
        <v>7</v>
      </c>
      <c r="L107" s="18" t="str">
        <f t="shared" ref="L107" si="198">L95</f>
        <v>nov</v>
      </c>
      <c r="M107" s="43">
        <f t="shared" si="192"/>
        <v>1288</v>
      </c>
      <c r="N107" s="53">
        <f t="shared" si="151"/>
        <v>1580.3139220633027</v>
      </c>
      <c r="O107" s="43">
        <f t="shared" si="152"/>
        <v>386.4</v>
      </c>
      <c r="P107" s="43">
        <f t="shared" si="180"/>
        <v>1193.9139220633028</v>
      </c>
      <c r="Q107" s="43">
        <f t="shared" si="181"/>
        <v>901.6</v>
      </c>
      <c r="R107" s="43">
        <f t="shared" si="182"/>
        <v>292.31392206330281</v>
      </c>
      <c r="S107" s="43">
        <f t="shared" si="160"/>
        <v>4435.4384668932444</v>
      </c>
      <c r="T107" s="43">
        <f t="shared" si="183"/>
        <v>901.6</v>
      </c>
      <c r="U107" s="50">
        <f t="shared" si="184"/>
        <v>291.26717659790955</v>
      </c>
      <c r="V107" s="20">
        <f t="shared" si="154"/>
        <v>291.26717659790955</v>
      </c>
      <c r="W107" s="20">
        <f t="shared" si="155"/>
        <v>1778.1878913181292</v>
      </c>
      <c r="X107" s="19">
        <f t="shared" si="185"/>
        <v>1486.9207147202196</v>
      </c>
      <c r="Y107" s="38">
        <f t="shared" si="157"/>
        <v>0.83619999999999994</v>
      </c>
      <c r="Z107" s="37">
        <f t="shared" si="161"/>
        <v>97564.271143977952</v>
      </c>
      <c r="AA107" s="44">
        <f t="shared" si="162"/>
        <v>0</v>
      </c>
      <c r="AC107" s="48">
        <f t="shared" si="163"/>
        <v>1486.9207147202196</v>
      </c>
    </row>
    <row r="108" spans="1:29" x14ac:dyDescent="0.2">
      <c r="A108" s="14" t="str">
        <f t="shared" si="186"/>
        <v>Dezembro</v>
      </c>
      <c r="B108" s="14">
        <f t="shared" si="186"/>
        <v>31</v>
      </c>
      <c r="C108" s="15">
        <f t="shared" si="186"/>
        <v>4.8499999999999996</v>
      </c>
      <c r="D108" s="15">
        <f t="shared" si="186"/>
        <v>5.6062683643486775</v>
      </c>
      <c r="E108" s="15">
        <f t="shared" si="186"/>
        <v>6.05</v>
      </c>
      <c r="F108" s="57">
        <f t="shared" si="186"/>
        <v>5.29</v>
      </c>
      <c r="G108" s="16">
        <f t="shared" si="177"/>
        <v>0.96819684950023666</v>
      </c>
      <c r="H108" s="15">
        <f t="shared" si="190"/>
        <v>1.5868743229440005</v>
      </c>
      <c r="I108" s="17">
        <f t="shared" si="86"/>
        <v>0.32305587466493962</v>
      </c>
      <c r="J108" s="14">
        <f t="shared" si="178"/>
        <v>84</v>
      </c>
      <c r="K108" s="25">
        <f t="shared" si="87"/>
        <v>7</v>
      </c>
      <c r="L108" s="18" t="str">
        <f t="shared" ref="L108" si="199">L96</f>
        <v>dez</v>
      </c>
      <c r="M108" s="43">
        <f t="shared" si="192"/>
        <v>1140</v>
      </c>
      <c r="N108" s="53">
        <f t="shared" si="151"/>
        <v>1642.2870170461772</v>
      </c>
      <c r="O108" s="43">
        <f t="shared" si="152"/>
        <v>342</v>
      </c>
      <c r="P108" s="43">
        <f t="shared" si="180"/>
        <v>1300.2870170461772</v>
      </c>
      <c r="Q108" s="43">
        <f t="shared" si="181"/>
        <v>798</v>
      </c>
      <c r="R108" s="43">
        <f t="shared" si="182"/>
        <v>502.2870170461772</v>
      </c>
      <c r="S108" s="43">
        <f t="shared" si="160"/>
        <v>4937.7254839394218</v>
      </c>
      <c r="T108" s="43">
        <f t="shared" si="183"/>
        <v>798</v>
      </c>
      <c r="U108" s="50">
        <f t="shared" si="184"/>
        <v>257.79858798262183</v>
      </c>
      <c r="V108" s="20">
        <f t="shared" si="154"/>
        <v>257.79858798262183</v>
      </c>
      <c r="W108" s="20">
        <f t="shared" si="155"/>
        <v>1573.8619534958598</v>
      </c>
      <c r="X108" s="19">
        <f t="shared" si="185"/>
        <v>1316.0633655132378</v>
      </c>
      <c r="Y108" s="38">
        <f t="shared" si="157"/>
        <v>0.83619999999999994</v>
      </c>
      <c r="Z108" s="37">
        <f t="shared" si="161"/>
        <v>98880.334509491193</v>
      </c>
      <c r="AA108" s="44">
        <f t="shared" si="162"/>
        <v>0</v>
      </c>
      <c r="AC108" s="48">
        <f t="shared" si="163"/>
        <v>1316.0633655132378</v>
      </c>
    </row>
    <row r="109" spans="1:29" x14ac:dyDescent="0.2">
      <c r="A109" s="14" t="str">
        <f t="shared" si="186"/>
        <v>Janeiro</v>
      </c>
      <c r="B109" s="14">
        <f t="shared" si="186"/>
        <v>30</v>
      </c>
      <c r="C109" s="15">
        <f t="shared" si="186"/>
        <v>4.87</v>
      </c>
      <c r="D109" s="15">
        <f t="shared" si="186"/>
        <v>5.4581782566111663</v>
      </c>
      <c r="E109" s="15">
        <f t="shared" si="186"/>
        <v>6.01</v>
      </c>
      <c r="F109" s="57">
        <f t="shared" si="186"/>
        <v>5.31</v>
      </c>
      <c r="G109" s="16">
        <f t="shared" si="177"/>
        <v>0.96389418270105753</v>
      </c>
      <c r="H109" s="15">
        <f t="shared" si="190"/>
        <v>1.7138242687795207</v>
      </c>
      <c r="I109" s="17">
        <f t="shared" si="86"/>
        <v>0.34890034463813485</v>
      </c>
      <c r="J109" s="14">
        <f t="shared" si="178"/>
        <v>85</v>
      </c>
      <c r="K109" s="25">
        <f t="shared" si="87"/>
        <v>8</v>
      </c>
      <c r="L109" s="18" t="str">
        <f t="shared" ref="L109" si="200">L97</f>
        <v>jan</v>
      </c>
      <c r="M109" s="43">
        <f t="shared" si="192"/>
        <v>836</v>
      </c>
      <c r="N109" s="53">
        <f t="shared" si="151"/>
        <v>1540.451915766082</v>
      </c>
      <c r="O109" s="43">
        <f t="shared" si="152"/>
        <v>250.79999999999998</v>
      </c>
      <c r="P109" s="43">
        <f t="shared" si="180"/>
        <v>1289.6519157660821</v>
      </c>
      <c r="Q109" s="43">
        <f t="shared" si="181"/>
        <v>585.20000000000005</v>
      </c>
      <c r="R109" s="43">
        <f t="shared" si="182"/>
        <v>704.45191576608204</v>
      </c>
      <c r="S109" s="43">
        <f t="shared" si="160"/>
        <v>5642.1773997055043</v>
      </c>
      <c r="T109" s="43">
        <f t="shared" si="183"/>
        <v>585.20000000000005</v>
      </c>
      <c r="U109" s="50">
        <f t="shared" si="184"/>
        <v>204.17648168223653</v>
      </c>
      <c r="V109" s="20">
        <f t="shared" si="154"/>
        <v>204.17648168223653</v>
      </c>
      <c r="W109" s="20">
        <f t="shared" si="155"/>
        <v>1246.4986671687211</v>
      </c>
      <c r="X109" s="19">
        <f t="shared" si="185"/>
        <v>1042.3221854864846</v>
      </c>
      <c r="Y109" s="38">
        <f t="shared" si="157"/>
        <v>0.83620000000000005</v>
      </c>
      <c r="Z109" s="37">
        <f t="shared" si="161"/>
        <v>99922.656694977675</v>
      </c>
      <c r="AA109" s="44">
        <f t="shared" si="162"/>
        <v>0</v>
      </c>
      <c r="AC109" s="48">
        <f t="shared" si="163"/>
        <v>1042.3221854864846</v>
      </c>
    </row>
    <row r="110" spans="1:29" x14ac:dyDescent="0.2">
      <c r="A110" s="14" t="str">
        <f t="shared" si="186"/>
        <v>Fevereiro</v>
      </c>
      <c r="B110" s="14">
        <f t="shared" si="186"/>
        <v>28</v>
      </c>
      <c r="C110" s="15">
        <f t="shared" si="186"/>
        <v>4.75</v>
      </c>
      <c r="D110" s="15">
        <f t="shared" si="186"/>
        <v>5.2254652301665043</v>
      </c>
      <c r="E110" s="15">
        <f t="shared" si="186"/>
        <v>5.82</v>
      </c>
      <c r="F110" s="57">
        <f t="shared" si="186"/>
        <v>5.28</v>
      </c>
      <c r="G110" s="16">
        <f t="shared" si="177"/>
        <v>0.96389418270105753</v>
      </c>
      <c r="H110" s="15">
        <f t="shared" si="190"/>
        <v>1.7138242687795207</v>
      </c>
      <c r="I110" s="17">
        <f t="shared" si="86"/>
        <v>0.34890034463813485</v>
      </c>
      <c r="J110" s="14">
        <f t="shared" si="178"/>
        <v>86</v>
      </c>
      <c r="K110" s="25">
        <f t="shared" si="87"/>
        <v>8</v>
      </c>
      <c r="L110" s="18" t="str">
        <f t="shared" ref="L110" si="201">L98</f>
        <v>fev</v>
      </c>
      <c r="M110" s="43">
        <f t="shared" si="192"/>
        <v>1088</v>
      </c>
      <c r="N110" s="53">
        <f t="shared" si="151"/>
        <v>1376.4554844235431</v>
      </c>
      <c r="O110" s="43">
        <f t="shared" si="152"/>
        <v>326.39999999999998</v>
      </c>
      <c r="P110" s="43">
        <f t="shared" si="180"/>
        <v>1050.055484423543</v>
      </c>
      <c r="Q110" s="43">
        <f t="shared" si="181"/>
        <v>761.6</v>
      </c>
      <c r="R110" s="43">
        <f t="shared" si="182"/>
        <v>288.455484423543</v>
      </c>
      <c r="S110" s="43">
        <f t="shared" si="160"/>
        <v>5930.6328841290469</v>
      </c>
      <c r="T110" s="43">
        <f t="shared" si="183"/>
        <v>761.6</v>
      </c>
      <c r="U110" s="50">
        <f t="shared" si="184"/>
        <v>265.72250247640352</v>
      </c>
      <c r="V110" s="20">
        <f t="shared" si="154"/>
        <v>265.72250247640352</v>
      </c>
      <c r="W110" s="20">
        <f t="shared" si="155"/>
        <v>1622.237499855943</v>
      </c>
      <c r="X110" s="19">
        <f t="shared" si="185"/>
        <v>1356.5149973795396</v>
      </c>
      <c r="Y110" s="38">
        <f t="shared" si="157"/>
        <v>0.83620000000000005</v>
      </c>
      <c r="Z110" s="37">
        <f t="shared" si="161"/>
        <v>101279.17169235721</v>
      </c>
      <c r="AA110" s="44">
        <f t="shared" si="162"/>
        <v>0</v>
      </c>
      <c r="AC110" s="48">
        <f t="shared" si="163"/>
        <v>1356.5149973795396</v>
      </c>
    </row>
    <row r="111" spans="1:29" x14ac:dyDescent="0.2">
      <c r="A111" s="14" t="str">
        <f t="shared" si="186"/>
        <v>Março</v>
      </c>
      <c r="B111" s="14">
        <f t="shared" si="186"/>
        <v>31</v>
      </c>
      <c r="C111" s="15">
        <f t="shared" si="186"/>
        <v>4.21</v>
      </c>
      <c r="D111" s="15">
        <f t="shared" si="186"/>
        <v>4.7494613124387861</v>
      </c>
      <c r="E111" s="15">
        <f t="shared" si="186"/>
        <v>5.43</v>
      </c>
      <c r="F111" s="57">
        <f t="shared" si="186"/>
        <v>5.14</v>
      </c>
      <c r="G111" s="16">
        <f t="shared" si="177"/>
        <v>0.96389418270105753</v>
      </c>
      <c r="H111" s="15">
        <f t="shared" si="190"/>
        <v>1.7138242687795207</v>
      </c>
      <c r="I111" s="17">
        <f t="shared" si="86"/>
        <v>0.34890034463813485</v>
      </c>
      <c r="J111" s="14">
        <f t="shared" si="178"/>
        <v>87</v>
      </c>
      <c r="K111" s="25">
        <f t="shared" si="87"/>
        <v>8</v>
      </c>
      <c r="L111" s="18" t="str">
        <f t="shared" ref="L111" si="202">L99</f>
        <v>mar</v>
      </c>
      <c r="M111" s="43">
        <f t="shared" si="192"/>
        <v>1152</v>
      </c>
      <c r="N111" s="53">
        <f t="shared" si="151"/>
        <v>1385.1130630199027</v>
      </c>
      <c r="O111" s="43">
        <f t="shared" si="152"/>
        <v>345.59999999999997</v>
      </c>
      <c r="P111" s="43">
        <f t="shared" si="180"/>
        <v>1039.5130630199028</v>
      </c>
      <c r="Q111" s="43">
        <f t="shared" si="181"/>
        <v>806.40000000000009</v>
      </c>
      <c r="R111" s="43">
        <f t="shared" si="182"/>
        <v>233.11306301990271</v>
      </c>
      <c r="S111" s="43">
        <f t="shared" si="160"/>
        <v>6163.7459471489492</v>
      </c>
      <c r="T111" s="43">
        <f t="shared" si="183"/>
        <v>806.40000000000009</v>
      </c>
      <c r="U111" s="50">
        <f t="shared" si="184"/>
        <v>281.35323791619197</v>
      </c>
      <c r="V111" s="20">
        <f t="shared" si="154"/>
        <v>281.35323791619197</v>
      </c>
      <c r="W111" s="20">
        <f t="shared" si="155"/>
        <v>1717.6632351415867</v>
      </c>
      <c r="X111" s="19">
        <f t="shared" si="185"/>
        <v>1436.3099972253947</v>
      </c>
      <c r="Y111" s="38">
        <f t="shared" si="157"/>
        <v>0.83619999999999994</v>
      </c>
      <c r="Z111" s="37">
        <f t="shared" si="161"/>
        <v>102715.48168958261</v>
      </c>
      <c r="AA111" s="44">
        <f t="shared" si="162"/>
        <v>0</v>
      </c>
      <c r="AC111" s="48">
        <f t="shared" si="163"/>
        <v>1436.3099972253947</v>
      </c>
    </row>
    <row r="112" spans="1:29" x14ac:dyDescent="0.2">
      <c r="A112" s="14" t="str">
        <f t="shared" si="186"/>
        <v>Abril</v>
      </c>
      <c r="B112" s="14">
        <f t="shared" si="186"/>
        <v>30</v>
      </c>
      <c r="C112" s="15">
        <f t="shared" si="186"/>
        <v>3.59</v>
      </c>
      <c r="D112" s="15">
        <f t="shared" si="186"/>
        <v>4.1465230166503426</v>
      </c>
      <c r="E112" s="15">
        <f t="shared" si="186"/>
        <v>4.91</v>
      </c>
      <c r="F112" s="57">
        <f t="shared" si="186"/>
        <v>4.97</v>
      </c>
      <c r="G112" s="16">
        <f t="shared" si="177"/>
        <v>0.96389418270105753</v>
      </c>
      <c r="H112" s="15">
        <f t="shared" si="190"/>
        <v>1.7138242687795207</v>
      </c>
      <c r="I112" s="17">
        <f t="shared" si="86"/>
        <v>0.34890034463813485</v>
      </c>
      <c r="J112" s="14">
        <f t="shared" si="178"/>
        <v>88</v>
      </c>
      <c r="K112" s="25">
        <f t="shared" si="87"/>
        <v>8</v>
      </c>
      <c r="L112" s="18" t="str">
        <f t="shared" ref="L112" si="203">L100</f>
        <v>abr</v>
      </c>
      <c r="M112" s="43">
        <f t="shared" si="192"/>
        <v>1000</v>
      </c>
      <c r="N112" s="53">
        <f t="shared" si="151"/>
        <v>1170.2657964734574</v>
      </c>
      <c r="O112" s="43">
        <f t="shared" si="152"/>
        <v>300</v>
      </c>
      <c r="P112" s="43">
        <f t="shared" si="180"/>
        <v>870.26579647345739</v>
      </c>
      <c r="Q112" s="43">
        <f t="shared" si="181"/>
        <v>700</v>
      </c>
      <c r="R112" s="43">
        <f t="shared" si="182"/>
        <v>170.26579647345739</v>
      </c>
      <c r="S112" s="43">
        <f t="shared" si="160"/>
        <v>6334.0117436224064</v>
      </c>
      <c r="T112" s="43">
        <f t="shared" si="183"/>
        <v>700</v>
      </c>
      <c r="U112" s="50">
        <f t="shared" si="184"/>
        <v>244.23024124669439</v>
      </c>
      <c r="V112" s="20">
        <f t="shared" si="154"/>
        <v>244.23024124669439</v>
      </c>
      <c r="W112" s="20">
        <f t="shared" si="155"/>
        <v>1491.0271138381829</v>
      </c>
      <c r="X112" s="19">
        <f t="shared" si="185"/>
        <v>1246.7968725914884</v>
      </c>
      <c r="Y112" s="38">
        <f t="shared" si="157"/>
        <v>0.83619999999999994</v>
      </c>
      <c r="Z112" s="37">
        <f t="shared" si="161"/>
        <v>103962.27856217409</v>
      </c>
      <c r="AA112" s="44">
        <f t="shared" si="162"/>
        <v>0</v>
      </c>
      <c r="AC112" s="48">
        <f t="shared" si="163"/>
        <v>1246.7968725914884</v>
      </c>
    </row>
    <row r="113" spans="1:29" x14ac:dyDescent="0.2">
      <c r="A113" s="14" t="str">
        <f t="shared" si="186"/>
        <v>Maio</v>
      </c>
      <c r="B113" s="14">
        <f t="shared" si="186"/>
        <v>31</v>
      </c>
      <c r="C113" s="15">
        <f t="shared" si="186"/>
        <v>2.98</v>
      </c>
      <c r="D113" s="15">
        <f t="shared" si="186"/>
        <v>3.3849167482859945</v>
      </c>
      <c r="E113" s="15">
        <f t="shared" si="186"/>
        <v>4.25</v>
      </c>
      <c r="F113" s="57">
        <f t="shared" si="186"/>
        <v>4.66</v>
      </c>
      <c r="G113" s="16">
        <f t="shared" si="177"/>
        <v>0.96389418270105753</v>
      </c>
      <c r="H113" s="15">
        <f t="shared" si="190"/>
        <v>1.7138242687795207</v>
      </c>
      <c r="I113" s="17">
        <f t="shared" si="86"/>
        <v>0.34890034463813485</v>
      </c>
      <c r="J113" s="14">
        <f t="shared" si="178"/>
        <v>89</v>
      </c>
      <c r="K113" s="25">
        <f t="shared" si="87"/>
        <v>8</v>
      </c>
      <c r="L113" s="18" t="str">
        <f t="shared" ref="L113" si="204">L101</f>
        <v>mai</v>
      </c>
      <c r="M113" s="43">
        <f t="shared" si="192"/>
        <v>1396</v>
      </c>
      <c r="N113" s="53">
        <f t="shared" si="151"/>
        <v>987.16298478033173</v>
      </c>
      <c r="O113" s="43">
        <f t="shared" si="152"/>
        <v>418.8</v>
      </c>
      <c r="P113" s="43">
        <f t="shared" si="180"/>
        <v>568.36298478033177</v>
      </c>
      <c r="Q113" s="43">
        <f t="shared" si="181"/>
        <v>977.2</v>
      </c>
      <c r="R113" s="43">
        <f t="shared" si="182"/>
        <v>-408.83701521966827</v>
      </c>
      <c r="S113" s="43">
        <f t="shared" si="160"/>
        <v>5925.1747284027379</v>
      </c>
      <c r="T113" s="43">
        <f t="shared" si="183"/>
        <v>977.2</v>
      </c>
      <c r="U113" s="50">
        <f t="shared" si="184"/>
        <v>340.94541678038541</v>
      </c>
      <c r="V113" s="20">
        <f t="shared" si="154"/>
        <v>340.94541678038541</v>
      </c>
      <c r="W113" s="20">
        <f t="shared" si="155"/>
        <v>2081.4738509181034</v>
      </c>
      <c r="X113" s="19">
        <f t="shared" si="185"/>
        <v>1740.528434137718</v>
      </c>
      <c r="Y113" s="38">
        <f t="shared" si="157"/>
        <v>0.83619999999999994</v>
      </c>
      <c r="Z113" s="37">
        <f t="shared" si="161"/>
        <v>105702.8069963118</v>
      </c>
      <c r="AA113" s="44">
        <f t="shared" si="162"/>
        <v>0</v>
      </c>
      <c r="AC113" s="48">
        <f t="shared" si="163"/>
        <v>1740.528434137718</v>
      </c>
    </row>
    <row r="114" spans="1:29" x14ac:dyDescent="0.2">
      <c r="A114" s="14" t="str">
        <f t="shared" ref="A114:F129" si="205">A102</f>
        <v>Junho</v>
      </c>
      <c r="B114" s="14">
        <f t="shared" si="205"/>
        <v>30</v>
      </c>
      <c r="C114" s="15">
        <f t="shared" si="205"/>
        <v>2.74</v>
      </c>
      <c r="D114" s="15">
        <f t="shared" si="205"/>
        <v>3.1945151811949071</v>
      </c>
      <c r="E114" s="15">
        <f t="shared" si="205"/>
        <v>3.92</v>
      </c>
      <c r="F114" s="57">
        <f t="shared" si="205"/>
        <v>4.47</v>
      </c>
      <c r="G114" s="16">
        <f t="shared" si="177"/>
        <v>0.96389418270105753</v>
      </c>
      <c r="H114" s="15">
        <f t="shared" si="190"/>
        <v>1.7138242687795207</v>
      </c>
      <c r="I114" s="17">
        <f t="shared" si="86"/>
        <v>0.34890034463813485</v>
      </c>
      <c r="J114" s="14">
        <f t="shared" si="178"/>
        <v>90</v>
      </c>
      <c r="K114" s="25">
        <f t="shared" si="87"/>
        <v>8</v>
      </c>
      <c r="L114" s="18" t="str">
        <f t="shared" ref="L114" si="206">L102</f>
        <v>jun</v>
      </c>
      <c r="M114" s="43">
        <f t="shared" si="192"/>
        <v>1428</v>
      </c>
      <c r="N114" s="53">
        <f t="shared" si="151"/>
        <v>901.58232279332697</v>
      </c>
      <c r="O114" s="43">
        <f t="shared" si="152"/>
        <v>428.4</v>
      </c>
      <c r="P114" s="43">
        <f t="shared" si="180"/>
        <v>473.18232279332699</v>
      </c>
      <c r="Q114" s="43">
        <f t="shared" si="181"/>
        <v>999.6</v>
      </c>
      <c r="R114" s="43">
        <f t="shared" si="182"/>
        <v>-526.41767720667303</v>
      </c>
      <c r="S114" s="43">
        <f t="shared" si="160"/>
        <v>5398.7570511960648</v>
      </c>
      <c r="T114" s="43">
        <f t="shared" si="183"/>
        <v>999.6</v>
      </c>
      <c r="U114" s="50">
        <f t="shared" si="184"/>
        <v>348.76078450027961</v>
      </c>
      <c r="V114" s="20">
        <f t="shared" si="154"/>
        <v>348.76078450027961</v>
      </c>
      <c r="W114" s="20">
        <f t="shared" si="155"/>
        <v>2129.1867185609253</v>
      </c>
      <c r="X114" s="19">
        <f t="shared" si="185"/>
        <v>1780.4259340606457</v>
      </c>
      <c r="Y114" s="38">
        <f t="shared" si="157"/>
        <v>0.83619999999999994</v>
      </c>
      <c r="Z114" s="37">
        <f t="shared" si="161"/>
        <v>107483.23293037245</v>
      </c>
      <c r="AA114" s="44">
        <f t="shared" si="162"/>
        <v>0</v>
      </c>
      <c r="AC114" s="48">
        <f t="shared" si="163"/>
        <v>1780.4259340606457</v>
      </c>
    </row>
    <row r="115" spans="1:29" x14ac:dyDescent="0.2">
      <c r="A115" s="14" t="str">
        <f t="shared" si="205"/>
        <v>Julho</v>
      </c>
      <c r="B115" s="14">
        <f t="shared" si="205"/>
        <v>31</v>
      </c>
      <c r="C115" s="15">
        <f t="shared" si="205"/>
        <v>2.91</v>
      </c>
      <c r="D115" s="15">
        <f t="shared" si="205"/>
        <v>3.4272282076395695</v>
      </c>
      <c r="E115" s="15">
        <f t="shared" si="205"/>
        <v>4.18</v>
      </c>
      <c r="F115" s="57">
        <f t="shared" si="205"/>
        <v>4.74</v>
      </c>
      <c r="G115" s="16">
        <f t="shared" si="177"/>
        <v>0.96389418270105753</v>
      </c>
      <c r="H115" s="15">
        <f t="shared" si="190"/>
        <v>1.7138242687795207</v>
      </c>
      <c r="I115" s="17">
        <f t="shared" si="86"/>
        <v>0.34890034463813485</v>
      </c>
      <c r="J115" s="14">
        <f t="shared" si="178"/>
        <v>91</v>
      </c>
      <c r="K115" s="25">
        <f t="shared" si="87"/>
        <v>8</v>
      </c>
      <c r="L115" s="18" t="str">
        <f t="shared" ref="L115" si="207">L103</f>
        <v>jul</v>
      </c>
      <c r="M115" s="43">
        <f t="shared" si="192"/>
        <v>1392</v>
      </c>
      <c r="N115" s="53">
        <f t="shared" si="151"/>
        <v>999.50252209008579</v>
      </c>
      <c r="O115" s="43">
        <f t="shared" si="152"/>
        <v>417.59999999999997</v>
      </c>
      <c r="P115" s="43">
        <f t="shared" si="180"/>
        <v>581.90252209008577</v>
      </c>
      <c r="Q115" s="43">
        <f t="shared" si="181"/>
        <v>974.40000000000009</v>
      </c>
      <c r="R115" s="43">
        <f t="shared" si="182"/>
        <v>-392.49747790991432</v>
      </c>
      <c r="S115" s="43">
        <f t="shared" si="160"/>
        <v>5006.25957328615</v>
      </c>
      <c r="T115" s="43">
        <f t="shared" si="183"/>
        <v>974.40000000000009</v>
      </c>
      <c r="U115" s="50">
        <f t="shared" si="184"/>
        <v>339.96849581539863</v>
      </c>
      <c r="V115" s="20">
        <f t="shared" si="154"/>
        <v>339.96849581539863</v>
      </c>
      <c r="W115" s="20">
        <f t="shared" si="155"/>
        <v>2075.5097424627506</v>
      </c>
      <c r="X115" s="19">
        <f t="shared" si="185"/>
        <v>1735.541246647352</v>
      </c>
      <c r="Y115" s="38">
        <f t="shared" si="157"/>
        <v>0.83619999999999994</v>
      </c>
      <c r="Z115" s="37">
        <f t="shared" si="161"/>
        <v>109218.7741770198</v>
      </c>
      <c r="AA115" s="44">
        <f t="shared" si="162"/>
        <v>0</v>
      </c>
      <c r="AC115" s="48">
        <f t="shared" si="163"/>
        <v>1735.541246647352</v>
      </c>
    </row>
    <row r="116" spans="1:29" x14ac:dyDescent="0.2">
      <c r="A116" s="14" t="str">
        <f t="shared" si="205"/>
        <v>Agosto</v>
      </c>
      <c r="B116" s="14">
        <f t="shared" si="205"/>
        <v>31</v>
      </c>
      <c r="C116" s="15">
        <f t="shared" si="205"/>
        <v>3.45</v>
      </c>
      <c r="D116" s="15">
        <f t="shared" si="205"/>
        <v>4.1147894221351615</v>
      </c>
      <c r="E116" s="15">
        <f t="shared" si="205"/>
        <v>4.83</v>
      </c>
      <c r="F116" s="57">
        <f t="shared" si="205"/>
        <v>5.21</v>
      </c>
      <c r="G116" s="16">
        <f t="shared" si="177"/>
        <v>0.96389418270105753</v>
      </c>
      <c r="H116" s="15">
        <f t="shared" si="190"/>
        <v>1.7138242687795207</v>
      </c>
      <c r="I116" s="17">
        <f t="shared" si="86"/>
        <v>0.34890034463813485</v>
      </c>
      <c r="J116" s="14">
        <f t="shared" si="178"/>
        <v>92</v>
      </c>
      <c r="K116" s="25">
        <f t="shared" si="87"/>
        <v>8</v>
      </c>
      <c r="L116" s="18" t="str">
        <f t="shared" ref="L116" si="208">L104</f>
        <v>ago</v>
      </c>
      <c r="M116" s="43">
        <f t="shared" si="192"/>
        <v>1520</v>
      </c>
      <c r="N116" s="53">
        <f t="shared" si="151"/>
        <v>1200.0200033735907</v>
      </c>
      <c r="O116" s="43">
        <f t="shared" si="152"/>
        <v>456</v>
      </c>
      <c r="P116" s="43">
        <f t="shared" si="180"/>
        <v>744.02000337359073</v>
      </c>
      <c r="Q116" s="43">
        <f t="shared" si="181"/>
        <v>1064</v>
      </c>
      <c r="R116" s="43">
        <f t="shared" si="182"/>
        <v>-319.97999662640927</v>
      </c>
      <c r="S116" s="43">
        <f t="shared" si="160"/>
        <v>4686.279576659741</v>
      </c>
      <c r="T116" s="43">
        <f t="shared" si="183"/>
        <v>1064</v>
      </c>
      <c r="U116" s="50">
        <f t="shared" si="184"/>
        <v>371.22996669497547</v>
      </c>
      <c r="V116" s="20">
        <f t="shared" si="154"/>
        <v>371.22996669497547</v>
      </c>
      <c r="W116" s="20">
        <f t="shared" si="155"/>
        <v>2266.3612130340384</v>
      </c>
      <c r="X116" s="19">
        <f t="shared" si="185"/>
        <v>1895.131246339063</v>
      </c>
      <c r="Y116" s="38">
        <f t="shared" si="157"/>
        <v>0.83620000000000005</v>
      </c>
      <c r="Z116" s="37">
        <f t="shared" si="161"/>
        <v>111113.90542335887</v>
      </c>
      <c r="AA116" s="44">
        <f t="shared" si="162"/>
        <v>0</v>
      </c>
      <c r="AC116" s="48">
        <f t="shared" si="163"/>
        <v>1895.131246339063</v>
      </c>
    </row>
    <row r="117" spans="1:29" x14ac:dyDescent="0.2">
      <c r="A117" s="14" t="str">
        <f t="shared" si="205"/>
        <v>Setembro</v>
      </c>
      <c r="B117" s="14">
        <f t="shared" si="205"/>
        <v>30</v>
      </c>
      <c r="C117" s="15">
        <f t="shared" si="205"/>
        <v>3.82</v>
      </c>
      <c r="D117" s="15">
        <f t="shared" si="205"/>
        <v>4.2417238001958868</v>
      </c>
      <c r="E117" s="15">
        <f t="shared" si="205"/>
        <v>5.12</v>
      </c>
      <c r="F117" s="57">
        <f t="shared" si="205"/>
        <v>5.1100000000000003</v>
      </c>
      <c r="G117" s="16">
        <f t="shared" si="177"/>
        <v>0.96389418270105753</v>
      </c>
      <c r="H117" s="15">
        <f t="shared" si="190"/>
        <v>1.7138242687795207</v>
      </c>
      <c r="I117" s="17">
        <f t="shared" si="86"/>
        <v>0.34890034463813485</v>
      </c>
      <c r="J117" s="14">
        <f t="shared" si="178"/>
        <v>93</v>
      </c>
      <c r="K117" s="25">
        <f t="shared" si="87"/>
        <v>8</v>
      </c>
      <c r="L117" s="18" t="str">
        <f t="shared" ref="L117" si="209">L105</f>
        <v>set</v>
      </c>
      <c r="M117" s="43">
        <f t="shared" si="192"/>
        <v>1400</v>
      </c>
      <c r="N117" s="53">
        <f t="shared" si="151"/>
        <v>1197.1341438414709</v>
      </c>
      <c r="O117" s="43">
        <f t="shared" si="152"/>
        <v>420</v>
      </c>
      <c r="P117" s="43">
        <f t="shared" si="180"/>
        <v>777.13414384147086</v>
      </c>
      <c r="Q117" s="43">
        <f t="shared" si="181"/>
        <v>980</v>
      </c>
      <c r="R117" s="43">
        <f t="shared" si="182"/>
        <v>-202.86585615852914</v>
      </c>
      <c r="S117" s="43">
        <f t="shared" si="160"/>
        <v>4483.4137205012121</v>
      </c>
      <c r="T117" s="43">
        <f t="shared" si="183"/>
        <v>980</v>
      </c>
      <c r="U117" s="50">
        <f t="shared" si="184"/>
        <v>341.92233774537215</v>
      </c>
      <c r="V117" s="20">
        <f t="shared" si="154"/>
        <v>341.92233774537215</v>
      </c>
      <c r="W117" s="20">
        <f t="shared" si="155"/>
        <v>2087.4379593734561</v>
      </c>
      <c r="X117" s="19">
        <f t="shared" si="185"/>
        <v>1745.5156216280839</v>
      </c>
      <c r="Y117" s="38">
        <f t="shared" si="157"/>
        <v>0.83619999999999994</v>
      </c>
      <c r="Z117" s="37">
        <f t="shared" si="161"/>
        <v>112859.42104498696</v>
      </c>
      <c r="AA117" s="44">
        <f t="shared" si="162"/>
        <v>0</v>
      </c>
      <c r="AC117" s="48">
        <f t="shared" si="163"/>
        <v>1745.5156216280839</v>
      </c>
    </row>
    <row r="118" spans="1:29" x14ac:dyDescent="0.2">
      <c r="A118" s="14" t="str">
        <f t="shared" si="205"/>
        <v>Outubro</v>
      </c>
      <c r="B118" s="14">
        <f t="shared" si="205"/>
        <v>31</v>
      </c>
      <c r="C118" s="15">
        <f t="shared" si="205"/>
        <v>4.33</v>
      </c>
      <c r="D118" s="15">
        <f t="shared" si="205"/>
        <v>4.8763956904995114</v>
      </c>
      <c r="E118" s="15">
        <f t="shared" si="205"/>
        <v>5.57</v>
      </c>
      <c r="F118" s="57">
        <f t="shared" si="205"/>
        <v>5.17</v>
      </c>
      <c r="G118" s="16">
        <f t="shared" si="177"/>
        <v>0.96389418270105753</v>
      </c>
      <c r="H118" s="15">
        <f t="shared" si="190"/>
        <v>1.7138242687795207</v>
      </c>
      <c r="I118" s="17">
        <f t="shared" si="86"/>
        <v>0.34890034463813485</v>
      </c>
      <c r="J118" s="14">
        <f t="shared" si="178"/>
        <v>94</v>
      </c>
      <c r="K118" s="25">
        <f t="shared" si="87"/>
        <v>8</v>
      </c>
      <c r="L118" s="18" t="str">
        <f t="shared" ref="L118" si="210">L106</f>
        <v>out</v>
      </c>
      <c r="M118" s="43">
        <f t="shared" si="192"/>
        <v>1340</v>
      </c>
      <c r="N118" s="53">
        <f t="shared" si="151"/>
        <v>1422.1316749491652</v>
      </c>
      <c r="O118" s="43">
        <f t="shared" si="152"/>
        <v>402</v>
      </c>
      <c r="P118" s="43">
        <f t="shared" si="180"/>
        <v>1020.1316749491652</v>
      </c>
      <c r="Q118" s="43">
        <f t="shared" si="181"/>
        <v>938</v>
      </c>
      <c r="R118" s="43">
        <f t="shared" si="182"/>
        <v>82.131674949165244</v>
      </c>
      <c r="S118" s="43">
        <f t="shared" si="160"/>
        <v>4565.5453954503773</v>
      </c>
      <c r="T118" s="43">
        <f t="shared" si="183"/>
        <v>938</v>
      </c>
      <c r="U118" s="50">
        <f t="shared" si="184"/>
        <v>327.26852327057048</v>
      </c>
      <c r="V118" s="20">
        <f t="shared" si="154"/>
        <v>327.26852327057048</v>
      </c>
      <c r="W118" s="20">
        <f t="shared" si="155"/>
        <v>1997.9763325431652</v>
      </c>
      <c r="X118" s="19">
        <f t="shared" si="185"/>
        <v>1670.7078092725947</v>
      </c>
      <c r="Y118" s="38">
        <f t="shared" si="157"/>
        <v>0.83619999999999994</v>
      </c>
      <c r="Z118" s="37">
        <f t="shared" si="161"/>
        <v>114530.12885425956</v>
      </c>
      <c r="AA118" s="44">
        <f t="shared" si="162"/>
        <v>0</v>
      </c>
      <c r="AC118" s="48">
        <f t="shared" si="163"/>
        <v>1670.7078092725947</v>
      </c>
    </row>
    <row r="119" spans="1:29" x14ac:dyDescent="0.2">
      <c r="A119" s="14" t="str">
        <f t="shared" si="205"/>
        <v>Novembro</v>
      </c>
      <c r="B119" s="14">
        <f t="shared" si="205"/>
        <v>30</v>
      </c>
      <c r="C119" s="15">
        <f t="shared" si="205"/>
        <v>4.68</v>
      </c>
      <c r="D119" s="15">
        <f t="shared" si="205"/>
        <v>5.5745347698334964</v>
      </c>
      <c r="E119" s="15">
        <f t="shared" si="205"/>
        <v>5.89</v>
      </c>
      <c r="F119" s="57">
        <f t="shared" si="205"/>
        <v>5.23</v>
      </c>
      <c r="G119" s="16">
        <f t="shared" si="177"/>
        <v>0.96389418270105753</v>
      </c>
      <c r="H119" s="15">
        <f t="shared" si="190"/>
        <v>1.7138242687795207</v>
      </c>
      <c r="I119" s="17">
        <f t="shared" si="86"/>
        <v>0.34890034463813485</v>
      </c>
      <c r="J119" s="14">
        <f t="shared" si="178"/>
        <v>95</v>
      </c>
      <c r="K119" s="25">
        <f t="shared" si="87"/>
        <v>8</v>
      </c>
      <c r="L119" s="18" t="str">
        <f t="shared" ref="L119" si="211">L107</f>
        <v>nov</v>
      </c>
      <c r="M119" s="43">
        <f t="shared" si="192"/>
        <v>1288</v>
      </c>
      <c r="N119" s="53">
        <f t="shared" si="151"/>
        <v>1573.2910069936534</v>
      </c>
      <c r="O119" s="43">
        <f t="shared" si="152"/>
        <v>386.4</v>
      </c>
      <c r="P119" s="43">
        <f t="shared" si="180"/>
        <v>1186.8910069936533</v>
      </c>
      <c r="Q119" s="43">
        <f t="shared" si="181"/>
        <v>901.6</v>
      </c>
      <c r="R119" s="43">
        <f t="shared" si="182"/>
        <v>285.29100699365324</v>
      </c>
      <c r="S119" s="43">
        <f t="shared" si="160"/>
        <v>4850.8364024440307</v>
      </c>
      <c r="T119" s="43">
        <f t="shared" si="183"/>
        <v>901.6</v>
      </c>
      <c r="U119" s="50">
        <f t="shared" si="184"/>
        <v>314.5685507257424</v>
      </c>
      <c r="V119" s="20">
        <f t="shared" si="154"/>
        <v>314.5685507257424</v>
      </c>
      <c r="W119" s="20">
        <f t="shared" si="155"/>
        <v>1920.4429226235795</v>
      </c>
      <c r="X119" s="19">
        <f t="shared" si="185"/>
        <v>1605.8743718978371</v>
      </c>
      <c r="Y119" s="38">
        <f t="shared" si="157"/>
        <v>0.83619999999999994</v>
      </c>
      <c r="Z119" s="37">
        <f t="shared" si="161"/>
        <v>116136.00322615739</v>
      </c>
      <c r="AA119" s="44">
        <f t="shared" si="162"/>
        <v>0</v>
      </c>
      <c r="AC119" s="48">
        <f t="shared" si="163"/>
        <v>1605.8743718978371</v>
      </c>
    </row>
    <row r="120" spans="1:29" x14ac:dyDescent="0.2">
      <c r="A120" s="14" t="str">
        <f t="shared" si="205"/>
        <v>Dezembro</v>
      </c>
      <c r="B120" s="14">
        <f t="shared" si="205"/>
        <v>31</v>
      </c>
      <c r="C120" s="15">
        <f t="shared" si="205"/>
        <v>4.8499999999999996</v>
      </c>
      <c r="D120" s="15">
        <f t="shared" si="205"/>
        <v>5.6062683643486775</v>
      </c>
      <c r="E120" s="15">
        <f t="shared" si="205"/>
        <v>6.05</v>
      </c>
      <c r="F120" s="57">
        <f t="shared" si="205"/>
        <v>5.29</v>
      </c>
      <c r="G120" s="16">
        <f t="shared" si="177"/>
        <v>0.96389418270105753</v>
      </c>
      <c r="H120" s="15">
        <f t="shared" si="190"/>
        <v>1.7138242687795207</v>
      </c>
      <c r="I120" s="17">
        <f t="shared" si="86"/>
        <v>0.34890034463813485</v>
      </c>
      <c r="J120" s="14">
        <f t="shared" si="178"/>
        <v>96</v>
      </c>
      <c r="K120" s="25">
        <f t="shared" si="87"/>
        <v>8</v>
      </c>
      <c r="L120" s="18" t="str">
        <f t="shared" ref="L120" si="212">L108</f>
        <v>dez</v>
      </c>
      <c r="M120" s="43">
        <f t="shared" si="192"/>
        <v>1140</v>
      </c>
      <c r="N120" s="53">
        <f t="shared" si="151"/>
        <v>1634.988693542424</v>
      </c>
      <c r="O120" s="43">
        <f t="shared" si="152"/>
        <v>342</v>
      </c>
      <c r="P120" s="43">
        <f t="shared" si="180"/>
        <v>1292.988693542424</v>
      </c>
      <c r="Q120" s="43">
        <f t="shared" si="181"/>
        <v>798</v>
      </c>
      <c r="R120" s="43">
        <f t="shared" si="182"/>
        <v>494.98869354242402</v>
      </c>
      <c r="S120" s="43">
        <f t="shared" si="160"/>
        <v>5345.8250959864545</v>
      </c>
      <c r="T120" s="43">
        <f t="shared" si="183"/>
        <v>798</v>
      </c>
      <c r="U120" s="50">
        <f t="shared" si="184"/>
        <v>278.42247502123161</v>
      </c>
      <c r="V120" s="20">
        <f t="shared" si="154"/>
        <v>278.42247502123161</v>
      </c>
      <c r="W120" s="20">
        <f t="shared" si="155"/>
        <v>1699.7709097755285</v>
      </c>
      <c r="X120" s="19">
        <f t="shared" si="185"/>
        <v>1421.3484347542969</v>
      </c>
      <c r="Y120" s="38">
        <f t="shared" si="157"/>
        <v>0.83620000000000005</v>
      </c>
      <c r="Z120" s="37">
        <f t="shared" si="161"/>
        <v>117557.35166091169</v>
      </c>
      <c r="AA120" s="44">
        <f t="shared" si="162"/>
        <v>0</v>
      </c>
      <c r="AC120" s="48">
        <f t="shared" si="163"/>
        <v>1421.3484347542969</v>
      </c>
    </row>
    <row r="121" spans="1:29" x14ac:dyDescent="0.2">
      <c r="A121" s="14" t="str">
        <f t="shared" si="205"/>
        <v>Janeiro</v>
      </c>
      <c r="B121" s="14">
        <f t="shared" si="205"/>
        <v>30</v>
      </c>
      <c r="C121" s="15">
        <f t="shared" si="205"/>
        <v>4.87</v>
      </c>
      <c r="D121" s="15">
        <f t="shared" si="205"/>
        <v>5.4581782566111663</v>
      </c>
      <c r="E121" s="15">
        <f t="shared" si="205"/>
        <v>6.01</v>
      </c>
      <c r="F121" s="57">
        <f t="shared" si="205"/>
        <v>5.31</v>
      </c>
      <c r="G121" s="16">
        <f t="shared" si="177"/>
        <v>0.95961063695313409</v>
      </c>
      <c r="H121" s="15">
        <f t="shared" si="190"/>
        <v>1.8509302102818823</v>
      </c>
      <c r="I121" s="17">
        <f t="shared" si="86"/>
        <v>0.37681237220918562</v>
      </c>
      <c r="J121" s="14">
        <f t="shared" si="178"/>
        <v>97</v>
      </c>
      <c r="K121" s="25">
        <f t="shared" si="87"/>
        <v>9</v>
      </c>
      <c r="L121" s="18" t="str">
        <f t="shared" ref="L121" si="213">L109</f>
        <v>jan</v>
      </c>
      <c r="M121" s="43">
        <f t="shared" si="192"/>
        <v>836</v>
      </c>
      <c r="N121" s="53">
        <f t="shared" si="151"/>
        <v>1533.6061474524176</v>
      </c>
      <c r="O121" s="43">
        <f t="shared" si="152"/>
        <v>250.79999999999998</v>
      </c>
      <c r="P121" s="43">
        <f t="shared" si="180"/>
        <v>1282.8061474524177</v>
      </c>
      <c r="Q121" s="43">
        <f t="shared" si="181"/>
        <v>585.20000000000005</v>
      </c>
      <c r="R121" s="43">
        <f t="shared" si="182"/>
        <v>697.60614745241764</v>
      </c>
      <c r="S121" s="43">
        <f t="shared" si="160"/>
        <v>6043.4312434388721</v>
      </c>
      <c r="T121" s="43">
        <f t="shared" si="183"/>
        <v>585.20000000000005</v>
      </c>
      <c r="U121" s="50">
        <f t="shared" si="184"/>
        <v>220.51060021681545</v>
      </c>
      <c r="V121" s="20">
        <f t="shared" si="154"/>
        <v>220.51060021681545</v>
      </c>
      <c r="W121" s="20">
        <f t="shared" si="155"/>
        <v>1346.2185605422187</v>
      </c>
      <c r="X121" s="19">
        <f t="shared" si="185"/>
        <v>1125.7079603254033</v>
      </c>
      <c r="Y121" s="38">
        <f t="shared" si="157"/>
        <v>0.83620000000000005</v>
      </c>
      <c r="Z121" s="37">
        <f t="shared" si="161"/>
        <v>118683.0596212371</v>
      </c>
      <c r="AA121" s="44">
        <f t="shared" si="162"/>
        <v>0</v>
      </c>
      <c r="AC121" s="48">
        <f t="shared" si="163"/>
        <v>1125.7079603254033</v>
      </c>
    </row>
    <row r="122" spans="1:29" x14ac:dyDescent="0.2">
      <c r="A122" s="14" t="str">
        <f t="shared" si="205"/>
        <v>Fevereiro</v>
      </c>
      <c r="B122" s="14">
        <f t="shared" si="205"/>
        <v>28</v>
      </c>
      <c r="C122" s="15">
        <f t="shared" si="205"/>
        <v>4.75</v>
      </c>
      <c r="D122" s="15">
        <f t="shared" si="205"/>
        <v>5.2254652301665043</v>
      </c>
      <c r="E122" s="15">
        <f t="shared" si="205"/>
        <v>5.82</v>
      </c>
      <c r="F122" s="57">
        <f t="shared" si="205"/>
        <v>5.28</v>
      </c>
      <c r="G122" s="16">
        <f t="shared" si="177"/>
        <v>0.95961063695313409</v>
      </c>
      <c r="H122" s="15">
        <f t="shared" si="190"/>
        <v>1.8509302102818823</v>
      </c>
      <c r="I122" s="17">
        <f t="shared" si="86"/>
        <v>0.37681237220918562</v>
      </c>
      <c r="J122" s="14">
        <f t="shared" si="178"/>
        <v>98</v>
      </c>
      <c r="K122" s="25">
        <f t="shared" si="87"/>
        <v>9</v>
      </c>
      <c r="L122" s="18" t="str">
        <f t="shared" ref="L122" si="214">L110</f>
        <v>fev</v>
      </c>
      <c r="M122" s="43">
        <f t="shared" si="192"/>
        <v>1088</v>
      </c>
      <c r="N122" s="53">
        <f t="shared" si="151"/>
        <v>1370.338516250765</v>
      </c>
      <c r="O122" s="43">
        <f t="shared" si="152"/>
        <v>326.39999999999998</v>
      </c>
      <c r="P122" s="43">
        <f t="shared" si="180"/>
        <v>1043.9385162507651</v>
      </c>
      <c r="Q122" s="43">
        <f t="shared" si="181"/>
        <v>761.6</v>
      </c>
      <c r="R122" s="43">
        <f t="shared" si="182"/>
        <v>282.33851625076511</v>
      </c>
      <c r="S122" s="43">
        <f t="shared" si="160"/>
        <v>6325.7697596896369</v>
      </c>
      <c r="T122" s="43">
        <f t="shared" si="183"/>
        <v>761.6</v>
      </c>
      <c r="U122" s="50">
        <f t="shared" si="184"/>
        <v>286.98030267451577</v>
      </c>
      <c r="V122" s="20">
        <f t="shared" si="154"/>
        <v>286.98030267451577</v>
      </c>
      <c r="W122" s="20">
        <f t="shared" si="155"/>
        <v>1752.0164998444184</v>
      </c>
      <c r="X122" s="19">
        <f t="shared" si="185"/>
        <v>1465.0361971699026</v>
      </c>
      <c r="Y122" s="38">
        <f t="shared" si="157"/>
        <v>0.83619999999999994</v>
      </c>
      <c r="Z122" s="37">
        <f t="shared" si="161"/>
        <v>120148.095818407</v>
      </c>
      <c r="AA122" s="44">
        <f t="shared" si="162"/>
        <v>0</v>
      </c>
      <c r="AC122" s="48">
        <f t="shared" si="163"/>
        <v>1465.0361971699026</v>
      </c>
    </row>
    <row r="123" spans="1:29" x14ac:dyDescent="0.2">
      <c r="A123" s="14" t="str">
        <f t="shared" si="205"/>
        <v>Março</v>
      </c>
      <c r="B123" s="14">
        <f t="shared" si="205"/>
        <v>31</v>
      </c>
      <c r="C123" s="15">
        <f t="shared" si="205"/>
        <v>4.21</v>
      </c>
      <c r="D123" s="15">
        <f t="shared" si="205"/>
        <v>4.7494613124387861</v>
      </c>
      <c r="E123" s="15">
        <f t="shared" si="205"/>
        <v>5.43</v>
      </c>
      <c r="F123" s="57">
        <f t="shared" si="205"/>
        <v>5.14</v>
      </c>
      <c r="G123" s="16">
        <f t="shared" si="177"/>
        <v>0.95961063695313409</v>
      </c>
      <c r="H123" s="15">
        <f t="shared" si="190"/>
        <v>1.8509302102818823</v>
      </c>
      <c r="I123" s="17">
        <f t="shared" si="86"/>
        <v>0.37681237220918562</v>
      </c>
      <c r="J123" s="14">
        <f t="shared" si="178"/>
        <v>99</v>
      </c>
      <c r="K123" s="25">
        <f t="shared" si="87"/>
        <v>9</v>
      </c>
      <c r="L123" s="18" t="str">
        <f t="shared" ref="L123" si="215">L111</f>
        <v>mar</v>
      </c>
      <c r="M123" s="43">
        <f t="shared" si="192"/>
        <v>1152</v>
      </c>
      <c r="N123" s="53">
        <f t="shared" si="151"/>
        <v>1378.9576205678425</v>
      </c>
      <c r="O123" s="43">
        <f t="shared" si="152"/>
        <v>345.59999999999997</v>
      </c>
      <c r="P123" s="43">
        <f t="shared" si="180"/>
        <v>1033.3576205678426</v>
      </c>
      <c r="Q123" s="43">
        <f t="shared" si="181"/>
        <v>806.40000000000009</v>
      </c>
      <c r="R123" s="43">
        <f t="shared" si="182"/>
        <v>226.95762056784247</v>
      </c>
      <c r="S123" s="43">
        <f t="shared" si="160"/>
        <v>6552.7273802574791</v>
      </c>
      <c r="T123" s="43">
        <f t="shared" si="183"/>
        <v>806.40000000000009</v>
      </c>
      <c r="U123" s="50">
        <f t="shared" si="184"/>
        <v>303.86149694948733</v>
      </c>
      <c r="V123" s="20">
        <f t="shared" si="154"/>
        <v>303.86149694948733</v>
      </c>
      <c r="W123" s="20">
        <f t="shared" si="155"/>
        <v>1855.0762939529138</v>
      </c>
      <c r="X123" s="19">
        <f t="shared" si="185"/>
        <v>1551.2147970034266</v>
      </c>
      <c r="Y123" s="38">
        <f t="shared" si="157"/>
        <v>0.83620000000000005</v>
      </c>
      <c r="Z123" s="37">
        <f t="shared" si="161"/>
        <v>121699.31061541043</v>
      </c>
      <c r="AA123" s="44">
        <f t="shared" si="162"/>
        <v>0</v>
      </c>
      <c r="AC123" s="48">
        <f t="shared" si="163"/>
        <v>1551.2147970034266</v>
      </c>
    </row>
    <row r="124" spans="1:29" x14ac:dyDescent="0.2">
      <c r="A124" s="14" t="str">
        <f t="shared" si="205"/>
        <v>Abril</v>
      </c>
      <c r="B124" s="14">
        <f t="shared" si="205"/>
        <v>30</v>
      </c>
      <c r="C124" s="15">
        <f t="shared" si="205"/>
        <v>3.59</v>
      </c>
      <c r="D124" s="15">
        <f t="shared" si="205"/>
        <v>4.1465230166503426</v>
      </c>
      <c r="E124" s="15">
        <f t="shared" si="205"/>
        <v>4.91</v>
      </c>
      <c r="F124" s="57">
        <f t="shared" si="205"/>
        <v>4.97</v>
      </c>
      <c r="G124" s="16">
        <f t="shared" si="177"/>
        <v>0.95961063695313409</v>
      </c>
      <c r="H124" s="15">
        <f t="shared" si="190"/>
        <v>1.8509302102818823</v>
      </c>
      <c r="I124" s="17">
        <f t="shared" si="86"/>
        <v>0.37681237220918562</v>
      </c>
      <c r="J124" s="14">
        <f t="shared" si="178"/>
        <v>100</v>
      </c>
      <c r="K124" s="25">
        <f t="shared" si="87"/>
        <v>9</v>
      </c>
      <c r="L124" s="18" t="str">
        <f t="shared" ref="L124" si="216">L112</f>
        <v>abr</v>
      </c>
      <c r="M124" s="43">
        <f t="shared" si="192"/>
        <v>1000</v>
      </c>
      <c r="N124" s="53">
        <f t="shared" si="151"/>
        <v>1165.0651352739294</v>
      </c>
      <c r="O124" s="43">
        <f t="shared" si="152"/>
        <v>300</v>
      </c>
      <c r="P124" s="43">
        <f t="shared" si="180"/>
        <v>865.0651352739294</v>
      </c>
      <c r="Q124" s="43">
        <f t="shared" si="181"/>
        <v>700</v>
      </c>
      <c r="R124" s="43">
        <f t="shared" si="182"/>
        <v>165.0651352739294</v>
      </c>
      <c r="S124" s="43">
        <f t="shared" si="160"/>
        <v>6717.7925155314088</v>
      </c>
      <c r="T124" s="43">
        <f t="shared" si="183"/>
        <v>700</v>
      </c>
      <c r="U124" s="50">
        <f t="shared" si="184"/>
        <v>263.76866054642994</v>
      </c>
      <c r="V124" s="20">
        <f t="shared" si="154"/>
        <v>263.76866054642994</v>
      </c>
      <c r="W124" s="20">
        <f t="shared" si="155"/>
        <v>1610.3092829452376</v>
      </c>
      <c r="X124" s="19">
        <f t="shared" si="185"/>
        <v>1346.5406223988075</v>
      </c>
      <c r="Y124" s="38">
        <f t="shared" si="157"/>
        <v>0.83619999999999994</v>
      </c>
      <c r="Z124" s="37">
        <f t="shared" si="161"/>
        <v>123045.85123780924</v>
      </c>
      <c r="AA124" s="44">
        <f t="shared" si="162"/>
        <v>0</v>
      </c>
      <c r="AC124" s="48">
        <f t="shared" si="163"/>
        <v>1346.5406223988075</v>
      </c>
    </row>
    <row r="125" spans="1:29" x14ac:dyDescent="0.2">
      <c r="A125" s="14" t="str">
        <f t="shared" si="205"/>
        <v>Maio</v>
      </c>
      <c r="B125" s="14">
        <f t="shared" si="205"/>
        <v>31</v>
      </c>
      <c r="C125" s="15">
        <f t="shared" si="205"/>
        <v>2.98</v>
      </c>
      <c r="D125" s="15">
        <f t="shared" si="205"/>
        <v>3.3849167482859945</v>
      </c>
      <c r="E125" s="15">
        <f t="shared" si="205"/>
        <v>4.25</v>
      </c>
      <c r="F125" s="57">
        <f t="shared" si="205"/>
        <v>4.66</v>
      </c>
      <c r="G125" s="16">
        <f t="shared" si="177"/>
        <v>0.95961063695313409</v>
      </c>
      <c r="H125" s="15">
        <f t="shared" si="190"/>
        <v>1.8509302102818823</v>
      </c>
      <c r="I125" s="17">
        <f t="shared" si="86"/>
        <v>0.37681237220918562</v>
      </c>
      <c r="J125" s="14">
        <f t="shared" si="178"/>
        <v>101</v>
      </c>
      <c r="K125" s="25">
        <f t="shared" si="87"/>
        <v>9</v>
      </c>
      <c r="L125" s="18" t="str">
        <f t="shared" ref="L125" si="217">L113</f>
        <v>mai</v>
      </c>
      <c r="M125" s="43">
        <f t="shared" si="192"/>
        <v>1396</v>
      </c>
      <c r="N125" s="53">
        <f t="shared" si="151"/>
        <v>982.7760324759679</v>
      </c>
      <c r="O125" s="43">
        <f t="shared" si="152"/>
        <v>418.8</v>
      </c>
      <c r="P125" s="43">
        <f t="shared" si="180"/>
        <v>563.97603247596794</v>
      </c>
      <c r="Q125" s="43">
        <f t="shared" si="181"/>
        <v>977.2</v>
      </c>
      <c r="R125" s="43">
        <f t="shared" si="182"/>
        <v>-413.2239675240321</v>
      </c>
      <c r="S125" s="43">
        <f t="shared" si="160"/>
        <v>6304.5685480073771</v>
      </c>
      <c r="T125" s="43">
        <f t="shared" si="183"/>
        <v>977.2</v>
      </c>
      <c r="U125" s="50">
        <f t="shared" si="184"/>
        <v>368.22105012281622</v>
      </c>
      <c r="V125" s="20">
        <f t="shared" si="154"/>
        <v>368.22105012281622</v>
      </c>
      <c r="W125" s="20">
        <f t="shared" si="155"/>
        <v>2247.9917589915517</v>
      </c>
      <c r="X125" s="19">
        <f t="shared" si="185"/>
        <v>1879.7707088687355</v>
      </c>
      <c r="Y125" s="38">
        <f t="shared" si="157"/>
        <v>0.83619999999999994</v>
      </c>
      <c r="Z125" s="37">
        <f t="shared" si="161"/>
        <v>124925.62194667797</v>
      </c>
      <c r="AA125" s="44">
        <f t="shared" si="162"/>
        <v>0</v>
      </c>
      <c r="AC125" s="48">
        <f t="shared" si="163"/>
        <v>1879.7707088687355</v>
      </c>
    </row>
    <row r="126" spans="1:29" x14ac:dyDescent="0.2">
      <c r="A126" s="14" t="str">
        <f t="shared" si="205"/>
        <v>Junho</v>
      </c>
      <c r="B126" s="14">
        <f t="shared" si="205"/>
        <v>30</v>
      </c>
      <c r="C126" s="15">
        <f t="shared" si="205"/>
        <v>2.74</v>
      </c>
      <c r="D126" s="15">
        <f t="shared" si="205"/>
        <v>3.1945151811949071</v>
      </c>
      <c r="E126" s="15">
        <f t="shared" si="205"/>
        <v>3.92</v>
      </c>
      <c r="F126" s="57">
        <f t="shared" si="205"/>
        <v>4.47</v>
      </c>
      <c r="G126" s="16">
        <f t="shared" si="177"/>
        <v>0.95961063695313409</v>
      </c>
      <c r="H126" s="15">
        <f t="shared" si="190"/>
        <v>1.8509302102818823</v>
      </c>
      <c r="I126" s="17">
        <f t="shared" ref="I126:I189" si="218">$F$2*$B$2*H126*$G$6</f>
        <v>0.37681237220918562</v>
      </c>
      <c r="J126" s="14">
        <f t="shared" si="178"/>
        <v>102</v>
      </c>
      <c r="K126" s="25">
        <f t="shared" ref="K126:K189" si="219">K114+1</f>
        <v>9</v>
      </c>
      <c r="L126" s="18" t="str">
        <f t="shared" ref="L126" si="220">L114</f>
        <v>jun</v>
      </c>
      <c r="M126" s="43">
        <f t="shared" si="192"/>
        <v>1428</v>
      </c>
      <c r="N126" s="53">
        <f t="shared" si="151"/>
        <v>897.5756909508334</v>
      </c>
      <c r="O126" s="43">
        <f t="shared" si="152"/>
        <v>428.4</v>
      </c>
      <c r="P126" s="43">
        <f t="shared" si="180"/>
        <v>469.17569095083343</v>
      </c>
      <c r="Q126" s="43">
        <f t="shared" si="181"/>
        <v>999.6</v>
      </c>
      <c r="R126" s="43">
        <f t="shared" si="182"/>
        <v>-530.4243090491666</v>
      </c>
      <c r="S126" s="43">
        <f t="shared" si="160"/>
        <v>5774.1442389582107</v>
      </c>
      <c r="T126" s="43">
        <f t="shared" si="183"/>
        <v>999.6</v>
      </c>
      <c r="U126" s="50">
        <f t="shared" si="184"/>
        <v>376.66164726030195</v>
      </c>
      <c r="V126" s="20">
        <f t="shared" si="154"/>
        <v>376.66164726030195</v>
      </c>
      <c r="W126" s="20">
        <f t="shared" si="155"/>
        <v>2299.5216560457993</v>
      </c>
      <c r="X126" s="19">
        <f t="shared" si="185"/>
        <v>1922.8600087854975</v>
      </c>
      <c r="Y126" s="38">
        <f t="shared" si="157"/>
        <v>0.83620000000000005</v>
      </c>
      <c r="Z126" s="37">
        <f t="shared" si="161"/>
        <v>126848.48195546347</v>
      </c>
      <c r="AA126" s="44">
        <f t="shared" si="162"/>
        <v>0</v>
      </c>
      <c r="AC126" s="48">
        <f t="shared" si="163"/>
        <v>1922.8600087854975</v>
      </c>
    </row>
    <row r="127" spans="1:29" x14ac:dyDescent="0.2">
      <c r="A127" s="14" t="str">
        <f t="shared" si="205"/>
        <v>Julho</v>
      </c>
      <c r="B127" s="14">
        <f t="shared" si="205"/>
        <v>31</v>
      </c>
      <c r="C127" s="15">
        <f t="shared" si="205"/>
        <v>2.91</v>
      </c>
      <c r="D127" s="15">
        <f t="shared" si="205"/>
        <v>3.4272282076395695</v>
      </c>
      <c r="E127" s="15">
        <f t="shared" si="205"/>
        <v>4.18</v>
      </c>
      <c r="F127" s="57">
        <f t="shared" si="205"/>
        <v>4.74</v>
      </c>
      <c r="G127" s="16">
        <f t="shared" si="177"/>
        <v>0.95961063695313409</v>
      </c>
      <c r="H127" s="15">
        <f t="shared" si="190"/>
        <v>1.8509302102818823</v>
      </c>
      <c r="I127" s="17">
        <f t="shared" si="218"/>
        <v>0.37681237220918562</v>
      </c>
      <c r="J127" s="14">
        <f t="shared" si="178"/>
        <v>103</v>
      </c>
      <c r="K127" s="25">
        <f t="shared" si="219"/>
        <v>9</v>
      </c>
      <c r="L127" s="18" t="str">
        <f t="shared" ref="L127" si="221">L115</f>
        <v>jul</v>
      </c>
      <c r="M127" s="43">
        <f t="shared" si="192"/>
        <v>1392</v>
      </c>
      <c r="N127" s="53">
        <f t="shared" si="151"/>
        <v>995.06073288191749</v>
      </c>
      <c r="O127" s="43">
        <f t="shared" si="152"/>
        <v>417.59999999999997</v>
      </c>
      <c r="P127" s="43">
        <f t="shared" si="180"/>
        <v>577.46073288191747</v>
      </c>
      <c r="Q127" s="43">
        <f t="shared" si="181"/>
        <v>974.40000000000009</v>
      </c>
      <c r="R127" s="43">
        <f t="shared" si="182"/>
        <v>-396.93926711808263</v>
      </c>
      <c r="S127" s="43">
        <f t="shared" si="160"/>
        <v>5377.2049718401286</v>
      </c>
      <c r="T127" s="43">
        <f t="shared" si="183"/>
        <v>974.40000000000009</v>
      </c>
      <c r="U127" s="50">
        <f t="shared" si="184"/>
        <v>367.16597548063049</v>
      </c>
      <c r="V127" s="20">
        <f t="shared" si="154"/>
        <v>367.16597548063049</v>
      </c>
      <c r="W127" s="20">
        <f t="shared" si="155"/>
        <v>2241.5505218597705</v>
      </c>
      <c r="X127" s="19">
        <f t="shared" si="185"/>
        <v>1874.3845463791399</v>
      </c>
      <c r="Y127" s="38">
        <f t="shared" si="157"/>
        <v>0.83619999999999994</v>
      </c>
      <c r="Z127" s="37">
        <f t="shared" si="161"/>
        <v>128722.86650184261</v>
      </c>
      <c r="AA127" s="44">
        <f t="shared" si="162"/>
        <v>0</v>
      </c>
      <c r="AC127" s="48">
        <f t="shared" si="163"/>
        <v>1874.3845463791399</v>
      </c>
    </row>
    <row r="128" spans="1:29" x14ac:dyDescent="0.2">
      <c r="A128" s="14" t="str">
        <f t="shared" si="205"/>
        <v>Agosto</v>
      </c>
      <c r="B128" s="14">
        <f t="shared" si="205"/>
        <v>31</v>
      </c>
      <c r="C128" s="15">
        <f t="shared" si="205"/>
        <v>3.45</v>
      </c>
      <c r="D128" s="15">
        <f t="shared" si="205"/>
        <v>4.1147894221351615</v>
      </c>
      <c r="E128" s="15">
        <f t="shared" si="205"/>
        <v>4.83</v>
      </c>
      <c r="F128" s="57">
        <f t="shared" si="205"/>
        <v>5.21</v>
      </c>
      <c r="G128" s="16">
        <f t="shared" si="177"/>
        <v>0.95961063695313409</v>
      </c>
      <c r="H128" s="15">
        <f t="shared" si="190"/>
        <v>1.8509302102818823</v>
      </c>
      <c r="I128" s="17">
        <f t="shared" si="218"/>
        <v>0.37681237220918562</v>
      </c>
      <c r="J128" s="14">
        <f t="shared" si="178"/>
        <v>104</v>
      </c>
      <c r="K128" s="25">
        <f t="shared" si="219"/>
        <v>9</v>
      </c>
      <c r="L128" s="18" t="str">
        <f t="shared" ref="L128" si="222">L116</f>
        <v>ago</v>
      </c>
      <c r="M128" s="43">
        <f t="shared" si="192"/>
        <v>1520</v>
      </c>
      <c r="N128" s="53">
        <f t="shared" si="151"/>
        <v>1194.6871144785985</v>
      </c>
      <c r="O128" s="43">
        <f t="shared" si="152"/>
        <v>456</v>
      </c>
      <c r="P128" s="43">
        <f t="shared" si="180"/>
        <v>738.68711447859846</v>
      </c>
      <c r="Q128" s="43">
        <f t="shared" si="181"/>
        <v>1064</v>
      </c>
      <c r="R128" s="43">
        <f t="shared" si="182"/>
        <v>-325.31288552140154</v>
      </c>
      <c r="S128" s="43">
        <f t="shared" si="160"/>
        <v>5051.8920863187268</v>
      </c>
      <c r="T128" s="43">
        <f t="shared" si="183"/>
        <v>1064</v>
      </c>
      <c r="U128" s="50">
        <f t="shared" si="184"/>
        <v>400.9283640305735</v>
      </c>
      <c r="V128" s="20">
        <f t="shared" si="154"/>
        <v>400.9283640305735</v>
      </c>
      <c r="W128" s="20">
        <f t="shared" si="155"/>
        <v>2447.6701100767614</v>
      </c>
      <c r="X128" s="19">
        <f t="shared" si="185"/>
        <v>2046.7417460461879</v>
      </c>
      <c r="Y128" s="38">
        <f t="shared" si="157"/>
        <v>0.83620000000000005</v>
      </c>
      <c r="Z128" s="37">
        <f t="shared" si="161"/>
        <v>130769.6082478888</v>
      </c>
      <c r="AA128" s="44">
        <f t="shared" si="162"/>
        <v>0</v>
      </c>
      <c r="AC128" s="48">
        <f t="shared" si="163"/>
        <v>2046.7417460461879</v>
      </c>
    </row>
    <row r="129" spans="1:29" x14ac:dyDescent="0.2">
      <c r="A129" s="14" t="str">
        <f t="shared" si="205"/>
        <v>Setembro</v>
      </c>
      <c r="B129" s="14">
        <f t="shared" si="205"/>
        <v>30</v>
      </c>
      <c r="C129" s="15">
        <f t="shared" si="205"/>
        <v>3.82</v>
      </c>
      <c r="D129" s="15">
        <f t="shared" si="205"/>
        <v>4.2417238001958868</v>
      </c>
      <c r="E129" s="15">
        <f t="shared" si="205"/>
        <v>5.12</v>
      </c>
      <c r="F129" s="57">
        <f t="shared" si="205"/>
        <v>5.1100000000000003</v>
      </c>
      <c r="G129" s="16">
        <f t="shared" si="177"/>
        <v>0.95961063695313409</v>
      </c>
      <c r="H129" s="15">
        <f t="shared" si="190"/>
        <v>1.8509302102818823</v>
      </c>
      <c r="I129" s="17">
        <f t="shared" si="218"/>
        <v>0.37681237220918562</v>
      </c>
      <c r="J129" s="14">
        <f t="shared" si="178"/>
        <v>105</v>
      </c>
      <c r="K129" s="25">
        <f t="shared" si="219"/>
        <v>9</v>
      </c>
      <c r="L129" s="18" t="str">
        <f t="shared" ref="L129" si="223">L117</f>
        <v>set</v>
      </c>
      <c r="M129" s="43">
        <f t="shared" si="192"/>
        <v>1400</v>
      </c>
      <c r="N129" s="53">
        <f t="shared" si="151"/>
        <v>1191.8140797062395</v>
      </c>
      <c r="O129" s="43">
        <f t="shared" si="152"/>
        <v>420</v>
      </c>
      <c r="P129" s="43">
        <f t="shared" si="180"/>
        <v>771.81407970623945</v>
      </c>
      <c r="Q129" s="43">
        <f t="shared" si="181"/>
        <v>980</v>
      </c>
      <c r="R129" s="43">
        <f t="shared" si="182"/>
        <v>-208.18592029376055</v>
      </c>
      <c r="S129" s="43">
        <f t="shared" si="160"/>
        <v>4843.7061660249665</v>
      </c>
      <c r="T129" s="43">
        <f t="shared" si="183"/>
        <v>980</v>
      </c>
      <c r="U129" s="50">
        <f t="shared" si="184"/>
        <v>369.2761247650019</v>
      </c>
      <c r="V129" s="20">
        <f t="shared" si="154"/>
        <v>369.2761247650019</v>
      </c>
      <c r="W129" s="20">
        <f t="shared" si="155"/>
        <v>2254.4329961233325</v>
      </c>
      <c r="X129" s="19">
        <f t="shared" si="185"/>
        <v>1885.1568713583306</v>
      </c>
      <c r="Y129" s="38">
        <f t="shared" si="157"/>
        <v>0.83619999999999994</v>
      </c>
      <c r="Z129" s="37">
        <f t="shared" si="161"/>
        <v>132654.76511924714</v>
      </c>
      <c r="AA129" s="44">
        <f t="shared" si="162"/>
        <v>0</v>
      </c>
      <c r="AC129" s="48">
        <f t="shared" si="163"/>
        <v>1885.1568713583306</v>
      </c>
    </row>
    <row r="130" spans="1:29" x14ac:dyDescent="0.2">
      <c r="A130" s="14" t="str">
        <f t="shared" ref="A130:F145" si="224">A118</f>
        <v>Outubro</v>
      </c>
      <c r="B130" s="14">
        <f t="shared" si="224"/>
        <v>31</v>
      </c>
      <c r="C130" s="15">
        <f t="shared" si="224"/>
        <v>4.33</v>
      </c>
      <c r="D130" s="15">
        <f t="shared" si="224"/>
        <v>4.8763956904995114</v>
      </c>
      <c r="E130" s="15">
        <f t="shared" si="224"/>
        <v>5.57</v>
      </c>
      <c r="F130" s="57">
        <f t="shared" si="224"/>
        <v>5.17</v>
      </c>
      <c r="G130" s="16">
        <f t="shared" si="177"/>
        <v>0.95961063695313409</v>
      </c>
      <c r="H130" s="15">
        <f t="shared" si="190"/>
        <v>1.8509302102818823</v>
      </c>
      <c r="I130" s="17">
        <f t="shared" si="218"/>
        <v>0.37681237220918562</v>
      </c>
      <c r="J130" s="14">
        <f t="shared" si="178"/>
        <v>106</v>
      </c>
      <c r="K130" s="25">
        <f t="shared" si="219"/>
        <v>9</v>
      </c>
      <c r="L130" s="18" t="str">
        <f t="shared" ref="L130" si="225">L118</f>
        <v>out</v>
      </c>
      <c r="M130" s="43">
        <f t="shared" si="192"/>
        <v>1340</v>
      </c>
      <c r="N130" s="53">
        <f t="shared" si="151"/>
        <v>1415.8117217856911</v>
      </c>
      <c r="O130" s="43">
        <f t="shared" si="152"/>
        <v>402</v>
      </c>
      <c r="P130" s="43">
        <f t="shared" si="180"/>
        <v>1013.8117217856911</v>
      </c>
      <c r="Q130" s="43">
        <f t="shared" si="181"/>
        <v>938</v>
      </c>
      <c r="R130" s="43">
        <f t="shared" si="182"/>
        <v>75.811721785691134</v>
      </c>
      <c r="S130" s="43">
        <f t="shared" si="160"/>
        <v>4919.5178878106581</v>
      </c>
      <c r="T130" s="43">
        <f t="shared" si="183"/>
        <v>938</v>
      </c>
      <c r="U130" s="50">
        <f t="shared" si="184"/>
        <v>353.45000513221612</v>
      </c>
      <c r="V130" s="20">
        <f t="shared" si="154"/>
        <v>353.45000513221612</v>
      </c>
      <c r="W130" s="20">
        <f t="shared" si="155"/>
        <v>2157.8144391466185</v>
      </c>
      <c r="X130" s="19">
        <f t="shared" si="185"/>
        <v>1804.3644340144024</v>
      </c>
      <c r="Y130" s="38">
        <f t="shared" si="157"/>
        <v>0.83619999999999994</v>
      </c>
      <c r="Z130" s="37">
        <f t="shared" si="161"/>
        <v>134459.12955326153</v>
      </c>
      <c r="AA130" s="44">
        <f t="shared" si="162"/>
        <v>0</v>
      </c>
      <c r="AC130" s="48">
        <f t="shared" si="163"/>
        <v>1804.3644340144024</v>
      </c>
    </row>
    <row r="131" spans="1:29" x14ac:dyDescent="0.2">
      <c r="A131" s="14" t="str">
        <f t="shared" si="224"/>
        <v>Novembro</v>
      </c>
      <c r="B131" s="14">
        <f t="shared" si="224"/>
        <v>30</v>
      </c>
      <c r="C131" s="15">
        <f t="shared" si="224"/>
        <v>4.68</v>
      </c>
      <c r="D131" s="15">
        <f t="shared" si="224"/>
        <v>5.5745347698334964</v>
      </c>
      <c r="E131" s="15">
        <f t="shared" si="224"/>
        <v>5.89</v>
      </c>
      <c r="F131" s="57">
        <f t="shared" si="224"/>
        <v>5.23</v>
      </c>
      <c r="G131" s="16">
        <f t="shared" si="177"/>
        <v>0.95961063695313409</v>
      </c>
      <c r="H131" s="15">
        <f t="shared" si="190"/>
        <v>1.8509302102818823</v>
      </c>
      <c r="I131" s="17">
        <f t="shared" si="218"/>
        <v>0.37681237220918562</v>
      </c>
      <c r="J131" s="14">
        <f t="shared" si="178"/>
        <v>107</v>
      </c>
      <c r="K131" s="25">
        <f t="shared" si="219"/>
        <v>9</v>
      </c>
      <c r="L131" s="18" t="str">
        <f t="shared" ref="L131" si="226">L119</f>
        <v>nov</v>
      </c>
      <c r="M131" s="43">
        <f t="shared" si="192"/>
        <v>1288</v>
      </c>
      <c r="N131" s="53">
        <f t="shared" si="151"/>
        <v>1566.2993017585736</v>
      </c>
      <c r="O131" s="43">
        <f t="shared" si="152"/>
        <v>386.4</v>
      </c>
      <c r="P131" s="43">
        <f t="shared" si="180"/>
        <v>1179.8993017585735</v>
      </c>
      <c r="Q131" s="43">
        <f t="shared" si="181"/>
        <v>901.6</v>
      </c>
      <c r="R131" s="43">
        <f t="shared" si="182"/>
        <v>278.29930175857351</v>
      </c>
      <c r="S131" s="43">
        <f t="shared" si="160"/>
        <v>5197.8171895692312</v>
      </c>
      <c r="T131" s="43">
        <f t="shared" si="183"/>
        <v>901.6</v>
      </c>
      <c r="U131" s="50">
        <f t="shared" si="184"/>
        <v>339.73403478380175</v>
      </c>
      <c r="V131" s="20">
        <f t="shared" si="154"/>
        <v>339.73403478380175</v>
      </c>
      <c r="W131" s="20">
        <f t="shared" si="155"/>
        <v>2074.0783564334661</v>
      </c>
      <c r="X131" s="19">
        <f t="shared" si="185"/>
        <v>1734.3443216496644</v>
      </c>
      <c r="Y131" s="38">
        <f t="shared" si="157"/>
        <v>0.83620000000000005</v>
      </c>
      <c r="Z131" s="37">
        <f t="shared" si="161"/>
        <v>136193.4738749112</v>
      </c>
      <c r="AA131" s="44">
        <f t="shared" si="162"/>
        <v>0</v>
      </c>
      <c r="AC131" s="48">
        <f t="shared" si="163"/>
        <v>1734.3443216496644</v>
      </c>
    </row>
    <row r="132" spans="1:29" x14ac:dyDescent="0.2">
      <c r="A132" s="14" t="str">
        <f t="shared" si="224"/>
        <v>Dezembro</v>
      </c>
      <c r="B132" s="14">
        <f t="shared" si="224"/>
        <v>31</v>
      </c>
      <c r="C132" s="15">
        <f t="shared" si="224"/>
        <v>4.8499999999999996</v>
      </c>
      <c r="D132" s="15">
        <f t="shared" si="224"/>
        <v>5.6062683643486775</v>
      </c>
      <c r="E132" s="15">
        <f t="shared" si="224"/>
        <v>6.05</v>
      </c>
      <c r="F132" s="57">
        <f t="shared" si="224"/>
        <v>5.29</v>
      </c>
      <c r="G132" s="16">
        <f t="shared" si="177"/>
        <v>0.95961063695313409</v>
      </c>
      <c r="H132" s="15">
        <f t="shared" si="190"/>
        <v>1.8509302102818823</v>
      </c>
      <c r="I132" s="17">
        <f t="shared" si="218"/>
        <v>0.37681237220918562</v>
      </c>
      <c r="J132" s="14">
        <f t="shared" si="178"/>
        <v>108</v>
      </c>
      <c r="K132" s="25">
        <f t="shared" si="219"/>
        <v>9</v>
      </c>
      <c r="L132" s="18" t="str">
        <f t="shared" ref="L132" si="227">L120</f>
        <v>dez</v>
      </c>
      <c r="M132" s="43">
        <f t="shared" si="192"/>
        <v>1140</v>
      </c>
      <c r="N132" s="53">
        <f t="shared" si="151"/>
        <v>1627.7228037883215</v>
      </c>
      <c r="O132" s="43">
        <f t="shared" si="152"/>
        <v>342</v>
      </c>
      <c r="P132" s="43">
        <f t="shared" si="180"/>
        <v>1285.7228037883215</v>
      </c>
      <c r="Q132" s="43">
        <f t="shared" si="181"/>
        <v>798</v>
      </c>
      <c r="R132" s="43">
        <f t="shared" si="182"/>
        <v>487.72280378832147</v>
      </c>
      <c r="S132" s="43">
        <f t="shared" si="160"/>
        <v>5685.5399933575527</v>
      </c>
      <c r="T132" s="43">
        <f t="shared" si="183"/>
        <v>798</v>
      </c>
      <c r="U132" s="50">
        <f t="shared" si="184"/>
        <v>300.69627302293014</v>
      </c>
      <c r="V132" s="20">
        <f t="shared" si="154"/>
        <v>300.69627302293014</v>
      </c>
      <c r="W132" s="20">
        <f t="shared" si="155"/>
        <v>1835.7525825575708</v>
      </c>
      <c r="X132" s="19">
        <f t="shared" si="185"/>
        <v>1535.0563095346406</v>
      </c>
      <c r="Y132" s="38">
        <f t="shared" si="157"/>
        <v>0.83619999999999994</v>
      </c>
      <c r="Z132" s="37">
        <f t="shared" si="161"/>
        <v>137728.53018444584</v>
      </c>
      <c r="AA132" s="44">
        <f t="shared" si="162"/>
        <v>0</v>
      </c>
      <c r="AC132" s="48">
        <f t="shared" si="163"/>
        <v>1535.0563095346406</v>
      </c>
    </row>
    <row r="133" spans="1:29" x14ac:dyDescent="0.2">
      <c r="A133" s="14" t="str">
        <f t="shared" si="224"/>
        <v>Janeiro</v>
      </c>
      <c r="B133" s="14">
        <f t="shared" si="224"/>
        <v>30</v>
      </c>
      <c r="C133" s="15">
        <f t="shared" si="224"/>
        <v>4.87</v>
      </c>
      <c r="D133" s="15">
        <f t="shared" si="224"/>
        <v>5.4581782566111663</v>
      </c>
      <c r="E133" s="15">
        <f t="shared" si="224"/>
        <v>6.01</v>
      </c>
      <c r="F133" s="57">
        <f t="shared" si="224"/>
        <v>5.31</v>
      </c>
      <c r="G133" s="16">
        <f t="shared" si="177"/>
        <v>0.95534612728251422</v>
      </c>
      <c r="H133" s="15">
        <f t="shared" si="190"/>
        <v>1.9990046271044331</v>
      </c>
      <c r="I133" s="17">
        <f t="shared" si="218"/>
        <v>0.40695736198592053</v>
      </c>
      <c r="J133" s="14">
        <f t="shared" si="178"/>
        <v>109</v>
      </c>
      <c r="K133" s="25">
        <f t="shared" si="219"/>
        <v>10</v>
      </c>
      <c r="L133" s="18" t="str">
        <f t="shared" ref="L133" si="228">L121</f>
        <v>jan</v>
      </c>
      <c r="M133" s="43">
        <f t="shared" si="192"/>
        <v>836</v>
      </c>
      <c r="N133" s="53">
        <f t="shared" si="151"/>
        <v>1526.7908017331388</v>
      </c>
      <c r="O133" s="43">
        <f t="shared" si="152"/>
        <v>250.79999999999998</v>
      </c>
      <c r="P133" s="43">
        <f t="shared" si="180"/>
        <v>1275.9908017331388</v>
      </c>
      <c r="Q133" s="43">
        <f t="shared" si="181"/>
        <v>585.20000000000005</v>
      </c>
      <c r="R133" s="43">
        <f t="shared" si="182"/>
        <v>690.79080173313878</v>
      </c>
      <c r="S133" s="43">
        <f t="shared" si="160"/>
        <v>6376.330795090691</v>
      </c>
      <c r="T133" s="43">
        <f t="shared" si="183"/>
        <v>585.20000000000005</v>
      </c>
      <c r="U133" s="50">
        <f t="shared" si="184"/>
        <v>238.15144823416071</v>
      </c>
      <c r="V133" s="20">
        <f t="shared" si="154"/>
        <v>238.15144823416071</v>
      </c>
      <c r="W133" s="20">
        <f t="shared" si="155"/>
        <v>1453.9160453855964</v>
      </c>
      <c r="X133" s="19">
        <f t="shared" si="185"/>
        <v>1215.7645971514357</v>
      </c>
      <c r="Y133" s="38">
        <f t="shared" si="157"/>
        <v>0.83620000000000005</v>
      </c>
      <c r="Z133" s="37">
        <f t="shared" si="161"/>
        <v>138944.29478159727</v>
      </c>
      <c r="AA133" s="44">
        <f t="shared" si="162"/>
        <v>0</v>
      </c>
      <c r="AC133" s="48">
        <f t="shared" si="163"/>
        <v>1215.7645971514357</v>
      </c>
    </row>
    <row r="134" spans="1:29" x14ac:dyDescent="0.2">
      <c r="A134" s="14" t="str">
        <f t="shared" si="224"/>
        <v>Fevereiro</v>
      </c>
      <c r="B134" s="14">
        <f t="shared" si="224"/>
        <v>28</v>
      </c>
      <c r="C134" s="15">
        <f t="shared" si="224"/>
        <v>4.75</v>
      </c>
      <c r="D134" s="15">
        <f t="shared" si="224"/>
        <v>5.2254652301665043</v>
      </c>
      <c r="E134" s="15">
        <f t="shared" si="224"/>
        <v>5.82</v>
      </c>
      <c r="F134" s="57">
        <f t="shared" si="224"/>
        <v>5.28</v>
      </c>
      <c r="G134" s="16">
        <f t="shared" si="177"/>
        <v>0.95534612728251422</v>
      </c>
      <c r="H134" s="15">
        <f t="shared" si="190"/>
        <v>1.9990046271044331</v>
      </c>
      <c r="I134" s="17">
        <f t="shared" si="218"/>
        <v>0.40695736198592053</v>
      </c>
      <c r="J134" s="14">
        <f t="shared" si="178"/>
        <v>110</v>
      </c>
      <c r="K134" s="25">
        <f t="shared" si="219"/>
        <v>10</v>
      </c>
      <c r="L134" s="18" t="str">
        <f t="shared" ref="L134" si="229">L122</f>
        <v>fev</v>
      </c>
      <c r="M134" s="43">
        <f t="shared" si="192"/>
        <v>1088</v>
      </c>
      <c r="N134" s="53">
        <f t="shared" si="151"/>
        <v>1364.2487318845465</v>
      </c>
      <c r="O134" s="43">
        <f t="shared" si="152"/>
        <v>326.39999999999998</v>
      </c>
      <c r="P134" s="43">
        <f t="shared" si="180"/>
        <v>1037.8487318845464</v>
      </c>
      <c r="Q134" s="43">
        <f t="shared" si="181"/>
        <v>761.6</v>
      </c>
      <c r="R134" s="43">
        <f t="shared" si="182"/>
        <v>276.24873188454637</v>
      </c>
      <c r="S134" s="43">
        <f t="shared" si="160"/>
        <v>6652.5795269752371</v>
      </c>
      <c r="T134" s="43">
        <f t="shared" si="183"/>
        <v>761.6</v>
      </c>
      <c r="U134" s="50">
        <f t="shared" si="184"/>
        <v>309.93872688847711</v>
      </c>
      <c r="V134" s="20">
        <f t="shared" si="154"/>
        <v>309.93872688847711</v>
      </c>
      <c r="W134" s="20">
        <f t="shared" si="155"/>
        <v>1892.1778198319721</v>
      </c>
      <c r="X134" s="19">
        <f t="shared" si="185"/>
        <v>1582.2390929434951</v>
      </c>
      <c r="Y134" s="38">
        <f t="shared" si="157"/>
        <v>0.83619999999999994</v>
      </c>
      <c r="Z134" s="37">
        <f t="shared" si="161"/>
        <v>140526.53387454076</v>
      </c>
      <c r="AA134" s="44">
        <f t="shared" si="162"/>
        <v>0</v>
      </c>
      <c r="AC134" s="48">
        <f t="shared" si="163"/>
        <v>1582.2390929434951</v>
      </c>
    </row>
    <row r="135" spans="1:29" x14ac:dyDescent="0.2">
      <c r="A135" s="14" t="str">
        <f t="shared" si="224"/>
        <v>Março</v>
      </c>
      <c r="B135" s="14">
        <f t="shared" si="224"/>
        <v>31</v>
      </c>
      <c r="C135" s="15">
        <f t="shared" si="224"/>
        <v>4.21</v>
      </c>
      <c r="D135" s="15">
        <f t="shared" si="224"/>
        <v>4.7494613124387861</v>
      </c>
      <c r="E135" s="15">
        <f t="shared" si="224"/>
        <v>5.43</v>
      </c>
      <c r="F135" s="57">
        <f t="shared" si="224"/>
        <v>5.14</v>
      </c>
      <c r="G135" s="16">
        <f t="shared" si="177"/>
        <v>0.95534612728251422</v>
      </c>
      <c r="H135" s="15">
        <f t="shared" si="190"/>
        <v>1.9990046271044331</v>
      </c>
      <c r="I135" s="17">
        <f t="shared" si="218"/>
        <v>0.40695736198592053</v>
      </c>
      <c r="J135" s="14">
        <f t="shared" si="178"/>
        <v>111</v>
      </c>
      <c r="K135" s="25">
        <f t="shared" si="219"/>
        <v>10</v>
      </c>
      <c r="L135" s="18" t="str">
        <f t="shared" ref="L135" si="230">L123</f>
        <v>mar</v>
      </c>
      <c r="M135" s="43">
        <f t="shared" si="192"/>
        <v>1152</v>
      </c>
      <c r="N135" s="53">
        <f t="shared" si="151"/>
        <v>1372.8295329020386</v>
      </c>
      <c r="O135" s="43">
        <f t="shared" si="152"/>
        <v>345.59999999999997</v>
      </c>
      <c r="P135" s="43">
        <f t="shared" si="180"/>
        <v>1027.2295329020387</v>
      </c>
      <c r="Q135" s="43">
        <f t="shared" si="181"/>
        <v>806.40000000000009</v>
      </c>
      <c r="R135" s="43">
        <f t="shared" si="182"/>
        <v>220.82953290203864</v>
      </c>
      <c r="S135" s="43">
        <f t="shared" si="160"/>
        <v>6873.4090598772755</v>
      </c>
      <c r="T135" s="43">
        <f t="shared" si="183"/>
        <v>806.40000000000009</v>
      </c>
      <c r="U135" s="50">
        <f t="shared" si="184"/>
        <v>328.17041670544637</v>
      </c>
      <c r="V135" s="20">
        <f t="shared" si="154"/>
        <v>328.17041670544637</v>
      </c>
      <c r="W135" s="20">
        <f t="shared" si="155"/>
        <v>2003.4823974691469</v>
      </c>
      <c r="X135" s="19">
        <f t="shared" si="185"/>
        <v>1675.3119807637006</v>
      </c>
      <c r="Y135" s="38">
        <f t="shared" si="157"/>
        <v>0.83619999999999994</v>
      </c>
      <c r="Z135" s="37">
        <f t="shared" si="161"/>
        <v>142201.84585530448</v>
      </c>
      <c r="AA135" s="44">
        <f t="shared" si="162"/>
        <v>0</v>
      </c>
      <c r="AC135" s="48">
        <f t="shared" si="163"/>
        <v>1675.3119807637006</v>
      </c>
    </row>
    <row r="136" spans="1:29" x14ac:dyDescent="0.2">
      <c r="A136" s="14" t="str">
        <f t="shared" si="224"/>
        <v>Abril</v>
      </c>
      <c r="B136" s="14">
        <f t="shared" si="224"/>
        <v>30</v>
      </c>
      <c r="C136" s="15">
        <f t="shared" si="224"/>
        <v>3.59</v>
      </c>
      <c r="D136" s="15">
        <f t="shared" si="224"/>
        <v>4.1465230166503426</v>
      </c>
      <c r="E136" s="15">
        <f t="shared" si="224"/>
        <v>4.91</v>
      </c>
      <c r="F136" s="57">
        <f t="shared" si="224"/>
        <v>4.97</v>
      </c>
      <c r="G136" s="16">
        <f t="shared" si="177"/>
        <v>0.95534612728251422</v>
      </c>
      <c r="H136" s="15">
        <f t="shared" si="190"/>
        <v>1.9990046271044331</v>
      </c>
      <c r="I136" s="17">
        <f t="shared" si="218"/>
        <v>0.40695736198592053</v>
      </c>
      <c r="J136" s="14">
        <f t="shared" si="178"/>
        <v>112</v>
      </c>
      <c r="K136" s="25">
        <f t="shared" si="219"/>
        <v>10</v>
      </c>
      <c r="L136" s="18" t="str">
        <f t="shared" ref="L136" si="231">L124</f>
        <v>abr</v>
      </c>
      <c r="M136" s="43">
        <f t="shared" si="192"/>
        <v>1000</v>
      </c>
      <c r="N136" s="53">
        <f t="shared" si="151"/>
        <v>1159.8875858127719</v>
      </c>
      <c r="O136" s="43">
        <f t="shared" si="152"/>
        <v>300</v>
      </c>
      <c r="P136" s="43">
        <f t="shared" si="180"/>
        <v>859.88758581277193</v>
      </c>
      <c r="Q136" s="43">
        <f t="shared" si="181"/>
        <v>700</v>
      </c>
      <c r="R136" s="43">
        <f t="shared" si="182"/>
        <v>159.88758581277193</v>
      </c>
      <c r="S136" s="43">
        <f t="shared" si="160"/>
        <v>7033.2966456900476</v>
      </c>
      <c r="T136" s="43">
        <f t="shared" si="183"/>
        <v>700</v>
      </c>
      <c r="U136" s="50">
        <f t="shared" si="184"/>
        <v>284.87015339014437</v>
      </c>
      <c r="V136" s="20">
        <f t="shared" si="154"/>
        <v>284.87015339014437</v>
      </c>
      <c r="W136" s="20">
        <f t="shared" si="155"/>
        <v>1739.1340255808568</v>
      </c>
      <c r="X136" s="19">
        <f t="shared" si="185"/>
        <v>1454.2638721907124</v>
      </c>
      <c r="Y136" s="38">
        <f t="shared" si="157"/>
        <v>0.83619999999999994</v>
      </c>
      <c r="Z136" s="37">
        <f t="shared" si="161"/>
        <v>143656.10972749518</v>
      </c>
      <c r="AA136" s="44">
        <f t="shared" si="162"/>
        <v>0</v>
      </c>
      <c r="AC136" s="48">
        <f t="shared" si="163"/>
        <v>1454.2638721907124</v>
      </c>
    </row>
    <row r="137" spans="1:29" x14ac:dyDescent="0.2">
      <c r="A137" s="14" t="str">
        <f t="shared" si="224"/>
        <v>Maio</v>
      </c>
      <c r="B137" s="14">
        <f t="shared" si="224"/>
        <v>31</v>
      </c>
      <c r="C137" s="15">
        <f t="shared" si="224"/>
        <v>2.98</v>
      </c>
      <c r="D137" s="15">
        <f t="shared" si="224"/>
        <v>3.3849167482859945</v>
      </c>
      <c r="E137" s="15">
        <f t="shared" si="224"/>
        <v>4.25</v>
      </c>
      <c r="F137" s="57">
        <f t="shared" si="224"/>
        <v>4.66</v>
      </c>
      <c r="G137" s="16">
        <f t="shared" si="177"/>
        <v>0.95534612728251422</v>
      </c>
      <c r="H137" s="15">
        <f t="shared" si="190"/>
        <v>1.9990046271044331</v>
      </c>
      <c r="I137" s="17">
        <f t="shared" si="218"/>
        <v>0.40695736198592053</v>
      </c>
      <c r="J137" s="14">
        <f t="shared" si="178"/>
        <v>113</v>
      </c>
      <c r="K137" s="25">
        <f t="shared" si="219"/>
        <v>10</v>
      </c>
      <c r="L137" s="18" t="str">
        <f t="shared" ref="L137" si="232">L125</f>
        <v>mai</v>
      </c>
      <c r="M137" s="43">
        <f t="shared" si="192"/>
        <v>1396</v>
      </c>
      <c r="N137" s="53">
        <f t="shared" si="151"/>
        <v>978.40857578764462</v>
      </c>
      <c r="O137" s="43">
        <f t="shared" si="152"/>
        <v>418.8</v>
      </c>
      <c r="P137" s="43">
        <f t="shared" si="180"/>
        <v>559.60857578764467</v>
      </c>
      <c r="Q137" s="43">
        <f t="shared" si="181"/>
        <v>977.2</v>
      </c>
      <c r="R137" s="43">
        <f t="shared" si="182"/>
        <v>-417.59142421235538</v>
      </c>
      <c r="S137" s="43">
        <f t="shared" si="160"/>
        <v>6615.7052214776922</v>
      </c>
      <c r="T137" s="43">
        <f t="shared" si="183"/>
        <v>977.2</v>
      </c>
      <c r="U137" s="50">
        <f t="shared" si="184"/>
        <v>397.67873413264158</v>
      </c>
      <c r="V137" s="20">
        <f t="shared" si="154"/>
        <v>397.67873413264158</v>
      </c>
      <c r="W137" s="20">
        <f t="shared" si="155"/>
        <v>2427.8310997108761</v>
      </c>
      <c r="X137" s="19">
        <f t="shared" si="185"/>
        <v>2030.1523655782344</v>
      </c>
      <c r="Y137" s="38">
        <f t="shared" si="157"/>
        <v>0.83619999999999994</v>
      </c>
      <c r="Z137" s="37">
        <f t="shared" si="161"/>
        <v>145686.2620930734</v>
      </c>
      <c r="AA137" s="44">
        <f t="shared" si="162"/>
        <v>0</v>
      </c>
      <c r="AC137" s="48">
        <f t="shared" si="163"/>
        <v>2030.1523655782344</v>
      </c>
    </row>
    <row r="138" spans="1:29" x14ac:dyDescent="0.2">
      <c r="A138" s="14" t="str">
        <f t="shared" si="224"/>
        <v>Junho</v>
      </c>
      <c r="B138" s="14">
        <f t="shared" si="224"/>
        <v>30</v>
      </c>
      <c r="C138" s="15">
        <f t="shared" si="224"/>
        <v>2.74</v>
      </c>
      <c r="D138" s="15">
        <f t="shared" si="224"/>
        <v>3.1945151811949071</v>
      </c>
      <c r="E138" s="15">
        <f t="shared" si="224"/>
        <v>3.92</v>
      </c>
      <c r="F138" s="57">
        <f t="shared" si="224"/>
        <v>4.47</v>
      </c>
      <c r="G138" s="16">
        <f t="shared" si="177"/>
        <v>0.95534612728251422</v>
      </c>
      <c r="H138" s="15">
        <f t="shared" si="190"/>
        <v>1.9990046271044331</v>
      </c>
      <c r="I138" s="17">
        <f t="shared" si="218"/>
        <v>0.40695736198592053</v>
      </c>
      <c r="J138" s="14">
        <f t="shared" si="178"/>
        <v>114</v>
      </c>
      <c r="K138" s="25">
        <f t="shared" si="219"/>
        <v>10</v>
      </c>
      <c r="L138" s="18" t="str">
        <f t="shared" ref="L138" si="233">L126</f>
        <v>jun</v>
      </c>
      <c r="M138" s="43">
        <f t="shared" si="192"/>
        <v>1428</v>
      </c>
      <c r="N138" s="53">
        <f t="shared" si="151"/>
        <v>893.58686458024783</v>
      </c>
      <c r="O138" s="43">
        <f t="shared" si="152"/>
        <v>428.4</v>
      </c>
      <c r="P138" s="43">
        <f t="shared" si="180"/>
        <v>465.18686458024786</v>
      </c>
      <c r="Q138" s="43">
        <f t="shared" si="181"/>
        <v>999.6</v>
      </c>
      <c r="R138" s="43">
        <f t="shared" si="182"/>
        <v>-534.41313541975217</v>
      </c>
      <c r="S138" s="43">
        <f t="shared" si="160"/>
        <v>6081.2920860579397</v>
      </c>
      <c r="T138" s="43">
        <f t="shared" si="183"/>
        <v>999.6</v>
      </c>
      <c r="U138" s="50">
        <f t="shared" si="184"/>
        <v>406.79457904112616</v>
      </c>
      <c r="V138" s="20">
        <f t="shared" si="154"/>
        <v>406.79457904112616</v>
      </c>
      <c r="W138" s="20">
        <f t="shared" si="155"/>
        <v>2483.4833885294634</v>
      </c>
      <c r="X138" s="19">
        <f t="shared" si="185"/>
        <v>2076.688809488337</v>
      </c>
      <c r="Y138" s="38">
        <f t="shared" si="157"/>
        <v>0.83619999999999994</v>
      </c>
      <c r="Z138" s="37">
        <f t="shared" si="161"/>
        <v>147762.95090256174</v>
      </c>
      <c r="AA138" s="44">
        <f t="shared" si="162"/>
        <v>0</v>
      </c>
      <c r="AC138" s="48">
        <f t="shared" si="163"/>
        <v>2076.688809488337</v>
      </c>
    </row>
    <row r="139" spans="1:29" x14ac:dyDescent="0.2">
      <c r="A139" s="14" t="str">
        <f t="shared" si="224"/>
        <v>Julho</v>
      </c>
      <c r="B139" s="14">
        <f t="shared" si="224"/>
        <v>31</v>
      </c>
      <c r="C139" s="15">
        <f t="shared" si="224"/>
        <v>2.91</v>
      </c>
      <c r="D139" s="15">
        <f t="shared" si="224"/>
        <v>3.4272282076395695</v>
      </c>
      <c r="E139" s="15">
        <f t="shared" si="224"/>
        <v>4.18</v>
      </c>
      <c r="F139" s="57">
        <f t="shared" si="224"/>
        <v>4.74</v>
      </c>
      <c r="G139" s="16">
        <f t="shared" si="177"/>
        <v>0.95534612728251422</v>
      </c>
      <c r="H139" s="15">
        <f t="shared" si="190"/>
        <v>1.9990046271044331</v>
      </c>
      <c r="I139" s="17">
        <f t="shared" si="218"/>
        <v>0.40695736198592053</v>
      </c>
      <c r="J139" s="14">
        <f t="shared" si="178"/>
        <v>115</v>
      </c>
      <c r="K139" s="25">
        <f t="shared" si="219"/>
        <v>10</v>
      </c>
      <c r="L139" s="18" t="str">
        <f t="shared" ref="L139" si="234">L127</f>
        <v>jul</v>
      </c>
      <c r="M139" s="43">
        <f t="shared" si="192"/>
        <v>1392</v>
      </c>
      <c r="N139" s="53">
        <f t="shared" si="151"/>
        <v>990.63868298499006</v>
      </c>
      <c r="O139" s="43">
        <f t="shared" si="152"/>
        <v>417.59999999999997</v>
      </c>
      <c r="P139" s="43">
        <f t="shared" si="180"/>
        <v>573.03868298499015</v>
      </c>
      <c r="Q139" s="43">
        <f t="shared" si="181"/>
        <v>974.40000000000009</v>
      </c>
      <c r="R139" s="43">
        <f t="shared" si="182"/>
        <v>-401.36131701500994</v>
      </c>
      <c r="S139" s="43">
        <f t="shared" si="160"/>
        <v>5679.9307690429296</v>
      </c>
      <c r="T139" s="43">
        <f t="shared" si="183"/>
        <v>974.40000000000009</v>
      </c>
      <c r="U139" s="50">
        <f t="shared" si="184"/>
        <v>396.539253519081</v>
      </c>
      <c r="V139" s="20">
        <f t="shared" si="154"/>
        <v>396.539253519081</v>
      </c>
      <c r="W139" s="20">
        <f t="shared" si="155"/>
        <v>2420.8745636085523</v>
      </c>
      <c r="X139" s="19">
        <f t="shared" si="185"/>
        <v>2024.3353100894712</v>
      </c>
      <c r="Y139" s="38">
        <f t="shared" si="157"/>
        <v>0.83619999999999994</v>
      </c>
      <c r="Z139" s="37">
        <f t="shared" si="161"/>
        <v>149787.2862126512</v>
      </c>
      <c r="AA139" s="44">
        <f t="shared" si="162"/>
        <v>0</v>
      </c>
      <c r="AC139" s="48">
        <f t="shared" si="163"/>
        <v>2024.3353100894712</v>
      </c>
    </row>
    <row r="140" spans="1:29" x14ac:dyDescent="0.2">
      <c r="A140" s="14" t="str">
        <f t="shared" si="224"/>
        <v>Agosto</v>
      </c>
      <c r="B140" s="14">
        <f t="shared" si="224"/>
        <v>31</v>
      </c>
      <c r="C140" s="15">
        <f t="shared" si="224"/>
        <v>3.45</v>
      </c>
      <c r="D140" s="15">
        <f t="shared" si="224"/>
        <v>4.1147894221351615</v>
      </c>
      <c r="E140" s="15">
        <f t="shared" si="224"/>
        <v>4.83</v>
      </c>
      <c r="F140" s="57">
        <f t="shared" si="224"/>
        <v>5.21</v>
      </c>
      <c r="G140" s="16">
        <f t="shared" si="177"/>
        <v>0.95534612728251422</v>
      </c>
      <c r="H140" s="15">
        <f t="shared" si="190"/>
        <v>1.9990046271044331</v>
      </c>
      <c r="I140" s="17">
        <f t="shared" si="218"/>
        <v>0.40695736198592053</v>
      </c>
      <c r="J140" s="14">
        <f t="shared" si="178"/>
        <v>116</v>
      </c>
      <c r="K140" s="25">
        <f t="shared" si="219"/>
        <v>10</v>
      </c>
      <c r="L140" s="18" t="str">
        <f t="shared" ref="L140" si="235">L128</f>
        <v>ago</v>
      </c>
      <c r="M140" s="43">
        <f t="shared" si="192"/>
        <v>1520</v>
      </c>
      <c r="N140" s="53">
        <f t="shared" si="151"/>
        <v>1189.3779249418553</v>
      </c>
      <c r="O140" s="43">
        <f t="shared" si="152"/>
        <v>456</v>
      </c>
      <c r="P140" s="43">
        <f t="shared" si="180"/>
        <v>733.37792494185533</v>
      </c>
      <c r="Q140" s="43">
        <f t="shared" si="181"/>
        <v>1064</v>
      </c>
      <c r="R140" s="43">
        <f t="shared" si="182"/>
        <v>-330.62207505814467</v>
      </c>
      <c r="S140" s="43">
        <f t="shared" si="160"/>
        <v>5349.3086939847854</v>
      </c>
      <c r="T140" s="43">
        <f t="shared" si="183"/>
        <v>1064</v>
      </c>
      <c r="U140" s="50">
        <f t="shared" si="184"/>
        <v>433.00263315301942</v>
      </c>
      <c r="V140" s="20">
        <f t="shared" si="154"/>
        <v>433.00263315301942</v>
      </c>
      <c r="W140" s="20">
        <f t="shared" si="155"/>
        <v>2643.4837188829024</v>
      </c>
      <c r="X140" s="19">
        <f t="shared" si="185"/>
        <v>2210.481085729883</v>
      </c>
      <c r="Y140" s="38">
        <f t="shared" si="157"/>
        <v>0.83620000000000005</v>
      </c>
      <c r="Z140" s="37">
        <f t="shared" si="161"/>
        <v>151997.76729838108</v>
      </c>
      <c r="AA140" s="44">
        <f t="shared" si="162"/>
        <v>0</v>
      </c>
      <c r="AC140" s="48">
        <f t="shared" si="163"/>
        <v>2210.481085729883</v>
      </c>
    </row>
    <row r="141" spans="1:29" x14ac:dyDescent="0.2">
      <c r="A141" s="14" t="str">
        <f t="shared" si="224"/>
        <v>Setembro</v>
      </c>
      <c r="B141" s="14">
        <f t="shared" si="224"/>
        <v>30</v>
      </c>
      <c r="C141" s="15">
        <f t="shared" si="224"/>
        <v>3.82</v>
      </c>
      <c r="D141" s="15">
        <f t="shared" si="224"/>
        <v>4.2417238001958868</v>
      </c>
      <c r="E141" s="15">
        <f t="shared" si="224"/>
        <v>5.12</v>
      </c>
      <c r="F141" s="57">
        <f t="shared" si="224"/>
        <v>5.1100000000000003</v>
      </c>
      <c r="G141" s="16">
        <f t="shared" si="177"/>
        <v>0.95534612728251422</v>
      </c>
      <c r="H141" s="15">
        <f t="shared" si="190"/>
        <v>1.9990046271044331</v>
      </c>
      <c r="I141" s="17">
        <f t="shared" si="218"/>
        <v>0.40695736198592053</v>
      </c>
      <c r="J141" s="14">
        <f t="shared" si="178"/>
        <v>117</v>
      </c>
      <c r="K141" s="25">
        <f t="shared" si="219"/>
        <v>10</v>
      </c>
      <c r="L141" s="18" t="str">
        <f t="shared" ref="L141" si="236">L129</f>
        <v>set</v>
      </c>
      <c r="M141" s="43">
        <f t="shared" si="192"/>
        <v>1400</v>
      </c>
      <c r="N141" s="53">
        <f t="shared" si="151"/>
        <v>1186.5176579360248</v>
      </c>
      <c r="O141" s="43">
        <f t="shared" si="152"/>
        <v>420</v>
      </c>
      <c r="P141" s="43">
        <f t="shared" si="180"/>
        <v>766.51765793602476</v>
      </c>
      <c r="Q141" s="43">
        <f t="shared" si="181"/>
        <v>980</v>
      </c>
      <c r="R141" s="43">
        <f t="shared" si="182"/>
        <v>-213.48234206397524</v>
      </c>
      <c r="S141" s="43">
        <f t="shared" si="160"/>
        <v>5135.8263519208103</v>
      </c>
      <c r="T141" s="43">
        <f t="shared" si="183"/>
        <v>980</v>
      </c>
      <c r="U141" s="50">
        <f t="shared" si="184"/>
        <v>398.8182147462021</v>
      </c>
      <c r="V141" s="20">
        <f t="shared" si="154"/>
        <v>398.8182147462021</v>
      </c>
      <c r="W141" s="20">
        <f t="shared" si="155"/>
        <v>2434.7876358131994</v>
      </c>
      <c r="X141" s="19">
        <f t="shared" si="185"/>
        <v>2035.9694210669973</v>
      </c>
      <c r="Y141" s="38">
        <f t="shared" si="157"/>
        <v>0.83619999999999994</v>
      </c>
      <c r="Z141" s="37">
        <f t="shared" si="161"/>
        <v>154033.73671944806</v>
      </c>
      <c r="AA141" s="44">
        <f t="shared" si="162"/>
        <v>0</v>
      </c>
      <c r="AC141" s="48">
        <f t="shared" si="163"/>
        <v>2035.9694210669973</v>
      </c>
    </row>
    <row r="142" spans="1:29" x14ac:dyDescent="0.2">
      <c r="A142" s="14" t="str">
        <f t="shared" si="224"/>
        <v>Outubro</v>
      </c>
      <c r="B142" s="14">
        <f t="shared" si="224"/>
        <v>31</v>
      </c>
      <c r="C142" s="15">
        <f t="shared" si="224"/>
        <v>4.33</v>
      </c>
      <c r="D142" s="15">
        <f t="shared" si="224"/>
        <v>4.8763956904995114</v>
      </c>
      <c r="E142" s="15">
        <f t="shared" si="224"/>
        <v>5.57</v>
      </c>
      <c r="F142" s="57">
        <f t="shared" si="224"/>
        <v>5.17</v>
      </c>
      <c r="G142" s="16">
        <f t="shared" si="177"/>
        <v>0.95534612728251422</v>
      </c>
      <c r="H142" s="15">
        <f t="shared" si="190"/>
        <v>1.9990046271044331</v>
      </c>
      <c r="I142" s="17">
        <f t="shared" si="218"/>
        <v>0.40695736198592053</v>
      </c>
      <c r="J142" s="14">
        <f t="shared" si="178"/>
        <v>118</v>
      </c>
      <c r="K142" s="25">
        <f t="shared" si="219"/>
        <v>10</v>
      </c>
      <c r="L142" s="18" t="str">
        <f t="shared" ref="L142" si="237">L130</f>
        <v>out</v>
      </c>
      <c r="M142" s="43">
        <f t="shared" si="192"/>
        <v>1340</v>
      </c>
      <c r="N142" s="53">
        <f t="shared" si="151"/>
        <v>1409.5198544940754</v>
      </c>
      <c r="O142" s="43">
        <f t="shared" si="152"/>
        <v>402</v>
      </c>
      <c r="P142" s="43">
        <f t="shared" si="180"/>
        <v>1007.5198544940754</v>
      </c>
      <c r="Q142" s="43">
        <f t="shared" si="181"/>
        <v>938</v>
      </c>
      <c r="R142" s="43">
        <f t="shared" si="182"/>
        <v>69.519854494075389</v>
      </c>
      <c r="S142" s="43">
        <f t="shared" si="160"/>
        <v>5205.3462064148862</v>
      </c>
      <c r="T142" s="43">
        <f t="shared" si="183"/>
        <v>938</v>
      </c>
      <c r="U142" s="50">
        <f t="shared" si="184"/>
        <v>381.72600554279347</v>
      </c>
      <c r="V142" s="20">
        <f t="shared" si="154"/>
        <v>381.72600554279347</v>
      </c>
      <c r="W142" s="20">
        <f t="shared" si="155"/>
        <v>2330.4395942783481</v>
      </c>
      <c r="X142" s="19">
        <f t="shared" si="185"/>
        <v>1948.7135887355546</v>
      </c>
      <c r="Y142" s="38">
        <f t="shared" si="157"/>
        <v>0.83619999999999994</v>
      </c>
      <c r="Z142" s="37">
        <f t="shared" si="161"/>
        <v>155982.45030818362</v>
      </c>
      <c r="AA142" s="44">
        <f t="shared" si="162"/>
        <v>0</v>
      </c>
      <c r="AC142" s="48">
        <f t="shared" si="163"/>
        <v>1948.7135887355546</v>
      </c>
    </row>
    <row r="143" spans="1:29" x14ac:dyDescent="0.2">
      <c r="A143" s="14" t="str">
        <f t="shared" si="224"/>
        <v>Novembro</v>
      </c>
      <c r="B143" s="14">
        <f t="shared" si="224"/>
        <v>30</v>
      </c>
      <c r="C143" s="15">
        <f t="shared" si="224"/>
        <v>4.68</v>
      </c>
      <c r="D143" s="15">
        <f t="shared" si="224"/>
        <v>5.5745347698334964</v>
      </c>
      <c r="E143" s="15">
        <f t="shared" si="224"/>
        <v>5.89</v>
      </c>
      <c r="F143" s="57">
        <f t="shared" si="224"/>
        <v>5.23</v>
      </c>
      <c r="G143" s="16">
        <f t="shared" si="177"/>
        <v>0.95534612728251422</v>
      </c>
      <c r="H143" s="15">
        <f t="shared" si="190"/>
        <v>1.9990046271044331</v>
      </c>
      <c r="I143" s="17">
        <f t="shared" si="218"/>
        <v>0.40695736198592053</v>
      </c>
      <c r="J143" s="14">
        <f t="shared" si="178"/>
        <v>119</v>
      </c>
      <c r="K143" s="25">
        <f t="shared" si="219"/>
        <v>10</v>
      </c>
      <c r="L143" s="18" t="str">
        <f t="shared" ref="L143" si="238">L131</f>
        <v>nov</v>
      </c>
      <c r="M143" s="43">
        <f t="shared" si="192"/>
        <v>1288</v>
      </c>
      <c r="N143" s="53">
        <f t="shared" si="151"/>
        <v>1559.3386676615582</v>
      </c>
      <c r="O143" s="43">
        <f t="shared" si="152"/>
        <v>386.4</v>
      </c>
      <c r="P143" s="43">
        <f t="shared" si="180"/>
        <v>1172.9386676615582</v>
      </c>
      <c r="Q143" s="43">
        <f t="shared" si="181"/>
        <v>901.6</v>
      </c>
      <c r="R143" s="43">
        <f t="shared" si="182"/>
        <v>271.33866766155813</v>
      </c>
      <c r="S143" s="43">
        <f t="shared" si="160"/>
        <v>5476.6848740764444</v>
      </c>
      <c r="T143" s="43">
        <f t="shared" si="183"/>
        <v>901.6</v>
      </c>
      <c r="U143" s="50">
        <f t="shared" si="184"/>
        <v>366.91275756650595</v>
      </c>
      <c r="V143" s="20">
        <f t="shared" si="154"/>
        <v>366.91275756650595</v>
      </c>
      <c r="W143" s="20">
        <f t="shared" si="155"/>
        <v>2240.0046249481434</v>
      </c>
      <c r="X143" s="19">
        <f t="shared" si="185"/>
        <v>1873.0918673816375</v>
      </c>
      <c r="Y143" s="38">
        <f t="shared" si="157"/>
        <v>0.83619999999999994</v>
      </c>
      <c r="Z143" s="37">
        <f t="shared" si="161"/>
        <v>157855.54217556526</v>
      </c>
      <c r="AA143" s="44">
        <f t="shared" si="162"/>
        <v>0</v>
      </c>
      <c r="AC143" s="48">
        <f t="shared" si="163"/>
        <v>1873.0918673816375</v>
      </c>
    </row>
    <row r="144" spans="1:29" x14ac:dyDescent="0.2">
      <c r="A144" s="14" t="str">
        <f t="shared" si="224"/>
        <v>Dezembro</v>
      </c>
      <c r="B144" s="14">
        <f t="shared" si="224"/>
        <v>31</v>
      </c>
      <c r="C144" s="15">
        <f t="shared" si="224"/>
        <v>4.8499999999999996</v>
      </c>
      <c r="D144" s="15">
        <f t="shared" si="224"/>
        <v>5.6062683643486775</v>
      </c>
      <c r="E144" s="15">
        <f t="shared" si="224"/>
        <v>6.05</v>
      </c>
      <c r="F144" s="57">
        <f t="shared" si="224"/>
        <v>5.29</v>
      </c>
      <c r="G144" s="16">
        <f t="shared" si="177"/>
        <v>0.95534612728251422</v>
      </c>
      <c r="H144" s="15">
        <f t="shared" si="190"/>
        <v>1.9990046271044331</v>
      </c>
      <c r="I144" s="17">
        <f t="shared" si="218"/>
        <v>0.40695736198592053</v>
      </c>
      <c r="J144" s="14">
        <f t="shared" si="178"/>
        <v>120</v>
      </c>
      <c r="K144" s="25">
        <f t="shared" si="219"/>
        <v>10</v>
      </c>
      <c r="L144" s="18" t="str">
        <f t="shared" ref="L144" si="239">L132</f>
        <v>dez</v>
      </c>
      <c r="M144" s="43">
        <f t="shared" si="192"/>
        <v>1140</v>
      </c>
      <c r="N144" s="53">
        <f t="shared" si="151"/>
        <v>1620.4892036482861</v>
      </c>
      <c r="O144" s="43">
        <f t="shared" si="152"/>
        <v>342</v>
      </c>
      <c r="P144" s="43">
        <f t="shared" si="180"/>
        <v>1278.4892036482861</v>
      </c>
      <c r="Q144" s="43">
        <f t="shared" si="181"/>
        <v>798</v>
      </c>
      <c r="R144" s="43">
        <f t="shared" si="182"/>
        <v>480.48920364828609</v>
      </c>
      <c r="S144" s="43">
        <f t="shared" si="160"/>
        <v>5957.1740777247305</v>
      </c>
      <c r="T144" s="43">
        <f t="shared" si="183"/>
        <v>798</v>
      </c>
      <c r="U144" s="50">
        <f t="shared" si="184"/>
        <v>324.75197486476458</v>
      </c>
      <c r="V144" s="20">
        <f t="shared" si="154"/>
        <v>324.75197486476458</v>
      </c>
      <c r="W144" s="20">
        <f t="shared" si="155"/>
        <v>1982.6127891621766</v>
      </c>
      <c r="X144" s="19">
        <f t="shared" si="185"/>
        <v>1657.8608142974119</v>
      </c>
      <c r="Y144" s="38">
        <f t="shared" si="157"/>
        <v>0.83619999999999994</v>
      </c>
      <c r="Z144" s="37">
        <f t="shared" si="161"/>
        <v>159513.40298986269</v>
      </c>
      <c r="AA144" s="44">
        <f t="shared" si="162"/>
        <v>0</v>
      </c>
      <c r="AC144" s="48">
        <f t="shared" si="163"/>
        <v>1657.8608142974119</v>
      </c>
    </row>
    <row r="145" spans="1:29" x14ac:dyDescent="0.2">
      <c r="A145" s="14" t="str">
        <f t="shared" si="224"/>
        <v>Janeiro</v>
      </c>
      <c r="B145" s="14">
        <f t="shared" si="224"/>
        <v>30</v>
      </c>
      <c r="C145" s="15">
        <f t="shared" si="224"/>
        <v>4.87</v>
      </c>
      <c r="D145" s="15">
        <f t="shared" si="224"/>
        <v>5.4581782566111663</v>
      </c>
      <c r="E145" s="15">
        <f t="shared" si="224"/>
        <v>6.01</v>
      </c>
      <c r="F145" s="57">
        <f t="shared" si="224"/>
        <v>5.31</v>
      </c>
      <c r="G145" s="16">
        <f t="shared" si="177"/>
        <v>0.95110056909287077</v>
      </c>
      <c r="H145" s="15">
        <f t="shared" si="190"/>
        <v>2.1589249972727877</v>
      </c>
      <c r="I145" s="17">
        <f t="shared" si="218"/>
        <v>0.43951395094479417</v>
      </c>
      <c r="J145" s="14">
        <f t="shared" si="178"/>
        <v>121</v>
      </c>
      <c r="K145" s="25">
        <f t="shared" si="219"/>
        <v>11</v>
      </c>
      <c r="L145" s="18" t="str">
        <f t="shared" ref="L145" si="240">L133</f>
        <v>jan</v>
      </c>
      <c r="M145" s="43">
        <f t="shared" si="192"/>
        <v>836</v>
      </c>
      <c r="N145" s="53">
        <f t="shared" si="151"/>
        <v>1520.0057434102368</v>
      </c>
      <c r="O145" s="43">
        <f t="shared" si="152"/>
        <v>250.79999999999998</v>
      </c>
      <c r="P145" s="43">
        <f t="shared" si="180"/>
        <v>1269.2057434102369</v>
      </c>
      <c r="Q145" s="43">
        <f t="shared" si="181"/>
        <v>585.20000000000005</v>
      </c>
      <c r="R145" s="43">
        <f t="shared" si="182"/>
        <v>684.00574341023685</v>
      </c>
      <c r="S145" s="43">
        <f t="shared" si="160"/>
        <v>6641.1798211349669</v>
      </c>
      <c r="T145" s="43">
        <f t="shared" si="183"/>
        <v>585.20000000000005</v>
      </c>
      <c r="U145" s="50">
        <f t="shared" si="184"/>
        <v>257.20356409289354</v>
      </c>
      <c r="V145" s="20">
        <f t="shared" si="154"/>
        <v>257.20356409289354</v>
      </c>
      <c r="W145" s="20">
        <f t="shared" si="155"/>
        <v>1570.2293290164441</v>
      </c>
      <c r="X145" s="19">
        <f t="shared" si="185"/>
        <v>1313.0257649235505</v>
      </c>
      <c r="Y145" s="38">
        <f t="shared" si="157"/>
        <v>0.83619999999999994</v>
      </c>
      <c r="Z145" s="37">
        <f t="shared" si="161"/>
        <v>160826.42875478623</v>
      </c>
      <c r="AA145" s="44">
        <f t="shared" si="162"/>
        <v>0</v>
      </c>
      <c r="AC145" s="48">
        <f t="shared" si="163"/>
        <v>1313.0257649235505</v>
      </c>
    </row>
    <row r="146" spans="1:29" x14ac:dyDescent="0.2">
      <c r="A146" s="14" t="str">
        <f t="shared" ref="A146:F161" si="241">A134</f>
        <v>Fevereiro</v>
      </c>
      <c r="B146" s="14">
        <f t="shared" si="241"/>
        <v>28</v>
      </c>
      <c r="C146" s="15">
        <f t="shared" si="241"/>
        <v>4.75</v>
      </c>
      <c r="D146" s="15">
        <f t="shared" si="241"/>
        <v>5.2254652301665043</v>
      </c>
      <c r="E146" s="15">
        <f t="shared" si="241"/>
        <v>5.82</v>
      </c>
      <c r="F146" s="57">
        <f t="shared" si="241"/>
        <v>5.28</v>
      </c>
      <c r="G146" s="16">
        <f t="shared" si="177"/>
        <v>0.95110056909287077</v>
      </c>
      <c r="H146" s="15">
        <f t="shared" si="190"/>
        <v>2.1589249972727877</v>
      </c>
      <c r="I146" s="17">
        <f t="shared" si="218"/>
        <v>0.43951395094479417</v>
      </c>
      <c r="J146" s="14">
        <f t="shared" si="178"/>
        <v>122</v>
      </c>
      <c r="K146" s="25">
        <f t="shared" si="219"/>
        <v>11</v>
      </c>
      <c r="L146" s="18" t="str">
        <f t="shared" ref="L146" si="242">L134</f>
        <v>fev</v>
      </c>
      <c r="M146" s="43">
        <f t="shared" si="192"/>
        <v>1088</v>
      </c>
      <c r="N146" s="53">
        <f t="shared" si="151"/>
        <v>1358.1860105200515</v>
      </c>
      <c r="O146" s="43">
        <f t="shared" si="152"/>
        <v>326.39999999999998</v>
      </c>
      <c r="P146" s="43">
        <f t="shared" si="180"/>
        <v>1031.7860105200516</v>
      </c>
      <c r="Q146" s="43">
        <f t="shared" si="181"/>
        <v>761.6</v>
      </c>
      <c r="R146" s="43">
        <f t="shared" si="182"/>
        <v>270.18601052005158</v>
      </c>
      <c r="S146" s="43">
        <f t="shared" si="160"/>
        <v>6911.3658316550182</v>
      </c>
      <c r="T146" s="43">
        <f t="shared" si="183"/>
        <v>761.6</v>
      </c>
      <c r="U146" s="50">
        <f t="shared" si="184"/>
        <v>334.73382503955526</v>
      </c>
      <c r="V146" s="20">
        <f t="shared" si="154"/>
        <v>334.73382503955526</v>
      </c>
      <c r="W146" s="20">
        <f t="shared" si="155"/>
        <v>2043.5520454185298</v>
      </c>
      <c r="X146" s="19">
        <f t="shared" si="185"/>
        <v>1708.8182203789745</v>
      </c>
      <c r="Y146" s="38">
        <f t="shared" si="157"/>
        <v>0.83619999999999994</v>
      </c>
      <c r="Z146" s="37">
        <f t="shared" si="161"/>
        <v>162535.24697516521</v>
      </c>
      <c r="AA146" s="44">
        <f t="shared" si="162"/>
        <v>0</v>
      </c>
      <c r="AC146" s="48">
        <f t="shared" si="163"/>
        <v>1708.8182203789745</v>
      </c>
    </row>
    <row r="147" spans="1:29" x14ac:dyDescent="0.2">
      <c r="A147" s="14" t="str">
        <f t="shared" si="241"/>
        <v>Março</v>
      </c>
      <c r="B147" s="14">
        <f t="shared" si="241"/>
        <v>31</v>
      </c>
      <c r="C147" s="15">
        <f t="shared" si="241"/>
        <v>4.21</v>
      </c>
      <c r="D147" s="15">
        <f t="shared" si="241"/>
        <v>4.7494613124387861</v>
      </c>
      <c r="E147" s="15">
        <f t="shared" si="241"/>
        <v>5.43</v>
      </c>
      <c r="F147" s="57">
        <f t="shared" si="241"/>
        <v>5.14</v>
      </c>
      <c r="G147" s="16">
        <f t="shared" si="177"/>
        <v>0.95110056909287077</v>
      </c>
      <c r="H147" s="15">
        <f t="shared" si="190"/>
        <v>2.1589249972727877</v>
      </c>
      <c r="I147" s="17">
        <f t="shared" si="218"/>
        <v>0.43951395094479417</v>
      </c>
      <c r="J147" s="14">
        <f t="shared" si="178"/>
        <v>123</v>
      </c>
      <c r="K147" s="25">
        <f t="shared" si="219"/>
        <v>11</v>
      </c>
      <c r="L147" s="18" t="str">
        <f t="shared" ref="L147" si="243">L135</f>
        <v>mar</v>
      </c>
      <c r="M147" s="43">
        <f t="shared" si="192"/>
        <v>1152</v>
      </c>
      <c r="N147" s="53">
        <f t="shared" si="151"/>
        <v>1366.7286784578221</v>
      </c>
      <c r="O147" s="43">
        <f t="shared" si="152"/>
        <v>345.59999999999997</v>
      </c>
      <c r="P147" s="43">
        <f t="shared" si="180"/>
        <v>1021.1286784578222</v>
      </c>
      <c r="Q147" s="43">
        <f t="shared" si="181"/>
        <v>806.40000000000009</v>
      </c>
      <c r="R147" s="43">
        <f t="shared" si="182"/>
        <v>214.72867845782207</v>
      </c>
      <c r="S147" s="43">
        <f t="shared" si="160"/>
        <v>7126.09451011284</v>
      </c>
      <c r="T147" s="43">
        <f t="shared" si="183"/>
        <v>806.40000000000009</v>
      </c>
      <c r="U147" s="50">
        <f t="shared" si="184"/>
        <v>354.42405004188208</v>
      </c>
      <c r="V147" s="20">
        <f t="shared" si="154"/>
        <v>354.42405004188208</v>
      </c>
      <c r="W147" s="20">
        <f t="shared" si="155"/>
        <v>2163.7609892666787</v>
      </c>
      <c r="X147" s="19">
        <f t="shared" si="185"/>
        <v>1809.3369392247967</v>
      </c>
      <c r="Y147" s="38">
        <f t="shared" si="157"/>
        <v>0.83619999999999994</v>
      </c>
      <c r="Z147" s="37">
        <f t="shared" si="161"/>
        <v>164344.58391439001</v>
      </c>
      <c r="AA147" s="44">
        <f t="shared" si="162"/>
        <v>0</v>
      </c>
      <c r="AC147" s="48">
        <f t="shared" si="163"/>
        <v>1809.3369392247967</v>
      </c>
    </row>
    <row r="148" spans="1:29" x14ac:dyDescent="0.2">
      <c r="A148" s="14" t="str">
        <f t="shared" si="241"/>
        <v>Abril</v>
      </c>
      <c r="B148" s="14">
        <f t="shared" si="241"/>
        <v>30</v>
      </c>
      <c r="C148" s="15">
        <f t="shared" si="241"/>
        <v>3.59</v>
      </c>
      <c r="D148" s="15">
        <f t="shared" si="241"/>
        <v>4.1465230166503426</v>
      </c>
      <c r="E148" s="15">
        <f t="shared" si="241"/>
        <v>4.91</v>
      </c>
      <c r="F148" s="57">
        <f t="shared" si="241"/>
        <v>4.97</v>
      </c>
      <c r="G148" s="16">
        <f t="shared" si="177"/>
        <v>0.95110056909287077</v>
      </c>
      <c r="H148" s="15">
        <f t="shared" si="190"/>
        <v>2.1589249972727877</v>
      </c>
      <c r="I148" s="17">
        <f t="shared" si="218"/>
        <v>0.43951395094479417</v>
      </c>
      <c r="J148" s="14">
        <f t="shared" si="178"/>
        <v>124</v>
      </c>
      <c r="K148" s="25">
        <f t="shared" si="219"/>
        <v>11</v>
      </c>
      <c r="L148" s="18" t="str">
        <f t="shared" ref="L148" si="244">L136</f>
        <v>abr</v>
      </c>
      <c r="M148" s="43">
        <f t="shared" si="192"/>
        <v>1000</v>
      </c>
      <c r="N148" s="53">
        <f t="shared" si="151"/>
        <v>1154.73304538142</v>
      </c>
      <c r="O148" s="43">
        <f t="shared" si="152"/>
        <v>300</v>
      </c>
      <c r="P148" s="43">
        <f t="shared" si="180"/>
        <v>854.73304538141997</v>
      </c>
      <c r="Q148" s="43">
        <f t="shared" si="181"/>
        <v>700</v>
      </c>
      <c r="R148" s="43">
        <f t="shared" si="182"/>
        <v>154.73304538141997</v>
      </c>
      <c r="S148" s="43">
        <f t="shared" si="160"/>
        <v>7280.8275554942602</v>
      </c>
      <c r="T148" s="43">
        <f t="shared" si="183"/>
        <v>700</v>
      </c>
      <c r="U148" s="50">
        <f t="shared" si="184"/>
        <v>307.65976566135595</v>
      </c>
      <c r="V148" s="20">
        <f t="shared" si="154"/>
        <v>307.65976566135595</v>
      </c>
      <c r="W148" s="20">
        <f t="shared" si="155"/>
        <v>1878.2647476273253</v>
      </c>
      <c r="X148" s="19">
        <f t="shared" si="185"/>
        <v>1570.6049819659693</v>
      </c>
      <c r="Y148" s="38">
        <f t="shared" si="157"/>
        <v>0.83619999999999994</v>
      </c>
      <c r="Z148" s="37">
        <f t="shared" si="161"/>
        <v>165915.18889635598</v>
      </c>
      <c r="AA148" s="44">
        <f t="shared" si="162"/>
        <v>0</v>
      </c>
      <c r="AC148" s="48">
        <f t="shared" si="163"/>
        <v>1570.6049819659693</v>
      </c>
    </row>
    <row r="149" spans="1:29" x14ac:dyDescent="0.2">
      <c r="A149" s="14" t="str">
        <f t="shared" si="241"/>
        <v>Maio</v>
      </c>
      <c r="B149" s="14">
        <f t="shared" si="241"/>
        <v>31</v>
      </c>
      <c r="C149" s="15">
        <f t="shared" si="241"/>
        <v>2.98</v>
      </c>
      <c r="D149" s="15">
        <f t="shared" si="241"/>
        <v>3.3849167482859945</v>
      </c>
      <c r="E149" s="15">
        <f t="shared" si="241"/>
        <v>4.25</v>
      </c>
      <c r="F149" s="57">
        <f t="shared" si="241"/>
        <v>4.66</v>
      </c>
      <c r="G149" s="16">
        <f t="shared" si="177"/>
        <v>0.95110056909287077</v>
      </c>
      <c r="H149" s="15">
        <f t="shared" si="190"/>
        <v>2.1589249972727877</v>
      </c>
      <c r="I149" s="17">
        <f t="shared" si="218"/>
        <v>0.43951395094479417</v>
      </c>
      <c r="J149" s="14">
        <f t="shared" si="178"/>
        <v>125</v>
      </c>
      <c r="K149" s="25">
        <f t="shared" si="219"/>
        <v>11</v>
      </c>
      <c r="L149" s="18" t="str">
        <f t="shared" ref="L149" si="245">L137</f>
        <v>mai</v>
      </c>
      <c r="M149" s="43">
        <f t="shared" si="192"/>
        <v>1396</v>
      </c>
      <c r="N149" s="53">
        <f t="shared" si="151"/>
        <v>974.06052807684432</v>
      </c>
      <c r="O149" s="43">
        <f t="shared" si="152"/>
        <v>418.8</v>
      </c>
      <c r="P149" s="43">
        <f t="shared" si="180"/>
        <v>555.26052807684437</v>
      </c>
      <c r="Q149" s="43">
        <f t="shared" si="181"/>
        <v>977.2</v>
      </c>
      <c r="R149" s="43">
        <f t="shared" si="182"/>
        <v>-421.93947192315568</v>
      </c>
      <c r="S149" s="43">
        <f t="shared" si="160"/>
        <v>6858.8880835711043</v>
      </c>
      <c r="T149" s="43">
        <f t="shared" si="183"/>
        <v>977.2</v>
      </c>
      <c r="U149" s="50">
        <f t="shared" si="184"/>
        <v>429.49303286325289</v>
      </c>
      <c r="V149" s="20">
        <f t="shared" si="154"/>
        <v>429.49303286325289</v>
      </c>
      <c r="W149" s="20">
        <f t="shared" si="155"/>
        <v>2622.057587687746</v>
      </c>
      <c r="X149" s="19">
        <f t="shared" si="185"/>
        <v>2192.5645548244929</v>
      </c>
      <c r="Y149" s="38">
        <f t="shared" si="157"/>
        <v>0.83619999999999983</v>
      </c>
      <c r="Z149" s="37">
        <f t="shared" si="161"/>
        <v>168107.75345118047</v>
      </c>
      <c r="AA149" s="44">
        <f t="shared" si="162"/>
        <v>0</v>
      </c>
      <c r="AC149" s="48">
        <f t="shared" si="163"/>
        <v>2192.5645548244929</v>
      </c>
    </row>
    <row r="150" spans="1:29" x14ac:dyDescent="0.2">
      <c r="A150" s="14" t="str">
        <f t="shared" si="241"/>
        <v>Junho</v>
      </c>
      <c r="B150" s="14">
        <f t="shared" si="241"/>
        <v>30</v>
      </c>
      <c r="C150" s="15">
        <f t="shared" si="241"/>
        <v>2.74</v>
      </c>
      <c r="D150" s="15">
        <f t="shared" si="241"/>
        <v>3.1945151811949071</v>
      </c>
      <c r="E150" s="15">
        <f t="shared" si="241"/>
        <v>3.92</v>
      </c>
      <c r="F150" s="57">
        <f t="shared" si="241"/>
        <v>4.47</v>
      </c>
      <c r="G150" s="16">
        <f t="shared" si="177"/>
        <v>0.95110056909287077</v>
      </c>
      <c r="H150" s="15">
        <f t="shared" si="190"/>
        <v>2.1589249972727877</v>
      </c>
      <c r="I150" s="17">
        <f t="shared" si="218"/>
        <v>0.43951395094479417</v>
      </c>
      <c r="J150" s="14">
        <f t="shared" si="178"/>
        <v>126</v>
      </c>
      <c r="K150" s="25">
        <f t="shared" si="219"/>
        <v>11</v>
      </c>
      <c r="L150" s="18" t="str">
        <f t="shared" ref="L150" si="246">L138</f>
        <v>jun</v>
      </c>
      <c r="M150" s="43">
        <f t="shared" si="192"/>
        <v>1428</v>
      </c>
      <c r="N150" s="53">
        <f t="shared" si="151"/>
        <v>889.61576455405327</v>
      </c>
      <c r="O150" s="43">
        <f t="shared" si="152"/>
        <v>428.4</v>
      </c>
      <c r="P150" s="43">
        <f t="shared" si="180"/>
        <v>461.21576455405329</v>
      </c>
      <c r="Q150" s="43">
        <f t="shared" si="181"/>
        <v>999.6</v>
      </c>
      <c r="R150" s="43">
        <f t="shared" si="182"/>
        <v>-538.38423544594673</v>
      </c>
      <c r="S150" s="43">
        <f t="shared" si="160"/>
        <v>6320.5038481251577</v>
      </c>
      <c r="T150" s="43">
        <f t="shared" si="183"/>
        <v>999.6</v>
      </c>
      <c r="U150" s="50">
        <f t="shared" si="184"/>
        <v>439.33814536441628</v>
      </c>
      <c r="V150" s="20">
        <f t="shared" si="154"/>
        <v>439.33814536441628</v>
      </c>
      <c r="W150" s="20">
        <f t="shared" si="155"/>
        <v>2682.1620596118205</v>
      </c>
      <c r="X150" s="19">
        <f t="shared" si="185"/>
        <v>2242.823914247404</v>
      </c>
      <c r="Y150" s="38">
        <f t="shared" si="157"/>
        <v>0.83619999999999983</v>
      </c>
      <c r="Z150" s="37">
        <f t="shared" si="161"/>
        <v>170350.57736542786</v>
      </c>
      <c r="AA150" s="44">
        <f t="shared" si="162"/>
        <v>0</v>
      </c>
      <c r="AC150" s="48">
        <f t="shared" si="163"/>
        <v>2242.823914247404</v>
      </c>
    </row>
    <row r="151" spans="1:29" x14ac:dyDescent="0.2">
      <c r="A151" s="14" t="str">
        <f t="shared" si="241"/>
        <v>Julho</v>
      </c>
      <c r="B151" s="14">
        <f t="shared" si="241"/>
        <v>31</v>
      </c>
      <c r="C151" s="15">
        <f t="shared" si="241"/>
        <v>2.91</v>
      </c>
      <c r="D151" s="15">
        <f t="shared" si="241"/>
        <v>3.4272282076395695</v>
      </c>
      <c r="E151" s="15">
        <f t="shared" si="241"/>
        <v>4.18</v>
      </c>
      <c r="F151" s="57">
        <f t="shared" si="241"/>
        <v>4.74</v>
      </c>
      <c r="G151" s="16">
        <f t="shared" si="177"/>
        <v>0.95110056909287077</v>
      </c>
      <c r="H151" s="15">
        <f t="shared" si="190"/>
        <v>2.1589249972727877</v>
      </c>
      <c r="I151" s="17">
        <f t="shared" si="218"/>
        <v>0.43951395094479417</v>
      </c>
      <c r="J151" s="14">
        <f t="shared" si="178"/>
        <v>127</v>
      </c>
      <c r="K151" s="25">
        <f t="shared" si="219"/>
        <v>11</v>
      </c>
      <c r="L151" s="18" t="str">
        <f t="shared" ref="L151" si="247">L139</f>
        <v>jul</v>
      </c>
      <c r="M151" s="43">
        <f t="shared" si="192"/>
        <v>1392</v>
      </c>
      <c r="N151" s="53">
        <f t="shared" si="151"/>
        <v>986.23628467780486</v>
      </c>
      <c r="O151" s="43">
        <f t="shared" si="152"/>
        <v>417.59999999999997</v>
      </c>
      <c r="P151" s="43">
        <f t="shared" si="180"/>
        <v>568.63628467780495</v>
      </c>
      <c r="Q151" s="43">
        <f t="shared" si="181"/>
        <v>974.40000000000009</v>
      </c>
      <c r="R151" s="43">
        <f t="shared" si="182"/>
        <v>-405.76371532219514</v>
      </c>
      <c r="S151" s="43">
        <f t="shared" si="160"/>
        <v>5914.7401328029628</v>
      </c>
      <c r="T151" s="43">
        <f t="shared" si="183"/>
        <v>974.40000000000009</v>
      </c>
      <c r="U151" s="50">
        <f t="shared" si="184"/>
        <v>428.26239380060747</v>
      </c>
      <c r="V151" s="20">
        <f t="shared" si="154"/>
        <v>428.26239380060747</v>
      </c>
      <c r="W151" s="20">
        <f t="shared" si="155"/>
        <v>2614.5445286972367</v>
      </c>
      <c r="X151" s="19">
        <f t="shared" si="185"/>
        <v>2186.282134896629</v>
      </c>
      <c r="Y151" s="38">
        <f t="shared" si="157"/>
        <v>0.83619999999999983</v>
      </c>
      <c r="Z151" s="37">
        <f t="shared" si="161"/>
        <v>172536.8595003245</v>
      </c>
      <c r="AA151" s="44">
        <f t="shared" si="162"/>
        <v>0</v>
      </c>
      <c r="AC151" s="48">
        <f t="shared" si="163"/>
        <v>2186.282134896629</v>
      </c>
    </row>
    <row r="152" spans="1:29" x14ac:dyDescent="0.2">
      <c r="A152" s="14" t="str">
        <f t="shared" si="241"/>
        <v>Agosto</v>
      </c>
      <c r="B152" s="14">
        <f t="shared" si="241"/>
        <v>31</v>
      </c>
      <c r="C152" s="15">
        <f t="shared" si="241"/>
        <v>3.45</v>
      </c>
      <c r="D152" s="15">
        <f t="shared" si="241"/>
        <v>4.1147894221351615</v>
      </c>
      <c r="E152" s="15">
        <f t="shared" si="241"/>
        <v>4.83</v>
      </c>
      <c r="F152" s="57">
        <f t="shared" si="241"/>
        <v>5.21</v>
      </c>
      <c r="G152" s="16">
        <f t="shared" si="177"/>
        <v>0.95110056909287077</v>
      </c>
      <c r="H152" s="15">
        <f t="shared" si="190"/>
        <v>2.1589249972727877</v>
      </c>
      <c r="I152" s="17">
        <f t="shared" si="218"/>
        <v>0.43951395094479417</v>
      </c>
      <c r="J152" s="14">
        <f t="shared" si="178"/>
        <v>128</v>
      </c>
      <c r="K152" s="25">
        <f t="shared" si="219"/>
        <v>11</v>
      </c>
      <c r="L152" s="18" t="str">
        <f t="shared" ref="L152" si="248">L140</f>
        <v>ago</v>
      </c>
      <c r="M152" s="43">
        <f t="shared" si="192"/>
        <v>1520</v>
      </c>
      <c r="N152" s="53">
        <f t="shared" si="151"/>
        <v>1184.0923294434137</v>
      </c>
      <c r="O152" s="43">
        <f t="shared" si="152"/>
        <v>456</v>
      </c>
      <c r="P152" s="43">
        <f t="shared" si="180"/>
        <v>728.09232944341375</v>
      </c>
      <c r="Q152" s="43">
        <f t="shared" si="181"/>
        <v>1064</v>
      </c>
      <c r="R152" s="43">
        <f t="shared" si="182"/>
        <v>-335.90767055658625</v>
      </c>
      <c r="S152" s="43">
        <f t="shared" si="160"/>
        <v>5578.832462246377</v>
      </c>
      <c r="T152" s="43">
        <f t="shared" si="183"/>
        <v>1064</v>
      </c>
      <c r="U152" s="50">
        <f t="shared" si="184"/>
        <v>467.64284380526101</v>
      </c>
      <c r="V152" s="20">
        <f t="shared" si="154"/>
        <v>467.64284380526101</v>
      </c>
      <c r="W152" s="20">
        <f t="shared" si="155"/>
        <v>2854.9624163935346</v>
      </c>
      <c r="X152" s="19">
        <f t="shared" si="185"/>
        <v>2387.3195725882733</v>
      </c>
      <c r="Y152" s="38">
        <f t="shared" si="157"/>
        <v>0.83619999999999994</v>
      </c>
      <c r="Z152" s="37">
        <f t="shared" si="161"/>
        <v>174924.17907291278</v>
      </c>
      <c r="AA152" s="44">
        <f t="shared" si="162"/>
        <v>0</v>
      </c>
      <c r="AC152" s="48">
        <f t="shared" si="163"/>
        <v>2387.3195725882733</v>
      </c>
    </row>
    <row r="153" spans="1:29" x14ac:dyDescent="0.2">
      <c r="A153" s="14" t="str">
        <f t="shared" si="241"/>
        <v>Setembro</v>
      </c>
      <c r="B153" s="14">
        <f t="shared" si="241"/>
        <v>30</v>
      </c>
      <c r="C153" s="15">
        <f t="shared" si="241"/>
        <v>3.82</v>
      </c>
      <c r="D153" s="15">
        <f t="shared" si="241"/>
        <v>4.2417238001958868</v>
      </c>
      <c r="E153" s="15">
        <f t="shared" si="241"/>
        <v>5.12</v>
      </c>
      <c r="F153" s="57">
        <f t="shared" si="241"/>
        <v>5.1100000000000003</v>
      </c>
      <c r="G153" s="16">
        <f t="shared" si="177"/>
        <v>0.95110056909287077</v>
      </c>
      <c r="H153" s="15">
        <f t="shared" si="190"/>
        <v>2.1589249972727877</v>
      </c>
      <c r="I153" s="17">
        <f t="shared" si="218"/>
        <v>0.43951395094479417</v>
      </c>
      <c r="J153" s="14">
        <f t="shared" si="178"/>
        <v>129</v>
      </c>
      <c r="K153" s="25">
        <f t="shared" si="219"/>
        <v>11</v>
      </c>
      <c r="L153" s="18" t="str">
        <f t="shared" ref="L153" si="249">L141</f>
        <v>set</v>
      </c>
      <c r="M153" s="43">
        <f t="shared" si="192"/>
        <v>1400</v>
      </c>
      <c r="N153" s="53">
        <f t="shared" ref="N153:N216" si="250">B153*IF($A$6="Curitiba",D153,F153)*0.8*$B$9*G153</f>
        <v>1181.2447734641571</v>
      </c>
      <c r="O153" s="43">
        <f t="shared" ref="O153:O216" si="251">MIN($B$11*M153,N153)</f>
        <v>420</v>
      </c>
      <c r="P153" s="43">
        <f t="shared" si="180"/>
        <v>761.24477346415711</v>
      </c>
      <c r="Q153" s="43">
        <f t="shared" si="181"/>
        <v>980</v>
      </c>
      <c r="R153" s="43">
        <f t="shared" si="182"/>
        <v>-218.75522653584289</v>
      </c>
      <c r="S153" s="43">
        <f t="shared" si="160"/>
        <v>5360.0772357105343</v>
      </c>
      <c r="T153" s="43">
        <f t="shared" si="183"/>
        <v>980</v>
      </c>
      <c r="U153" s="50">
        <f t="shared" si="184"/>
        <v>430.72367192589832</v>
      </c>
      <c r="V153" s="20">
        <f t="shared" ref="V153:V216" si="252">IF(U153+((Q153-T153)*$B$2*H153)&lt;$B$5*$B$2*H153,$B$5*$B$2*H153,U153+((Q153-T153)*$B$2*H153))</f>
        <v>430.72367192589832</v>
      </c>
      <c r="W153" s="20">
        <f t="shared" ref="W153:W216" si="253">M153*$B$2*H153</f>
        <v>2629.5706466782553</v>
      </c>
      <c r="X153" s="19">
        <f t="shared" si="185"/>
        <v>2198.8469747523568</v>
      </c>
      <c r="Y153" s="38">
        <f t="shared" ref="Y153:Y216" si="254">X153/W153</f>
        <v>0.83619999999999983</v>
      </c>
      <c r="Z153" s="37">
        <f t="shared" si="161"/>
        <v>177123.02604766513</v>
      </c>
      <c r="AA153" s="44">
        <f t="shared" si="162"/>
        <v>0</v>
      </c>
      <c r="AC153" s="48">
        <f t="shared" si="163"/>
        <v>2198.8469747523568</v>
      </c>
    </row>
    <row r="154" spans="1:29" x14ac:dyDescent="0.2">
      <c r="A154" s="14" t="str">
        <f t="shared" si="241"/>
        <v>Outubro</v>
      </c>
      <c r="B154" s="14">
        <f t="shared" si="241"/>
        <v>31</v>
      </c>
      <c r="C154" s="15">
        <f t="shared" si="241"/>
        <v>4.33</v>
      </c>
      <c r="D154" s="15">
        <f t="shared" si="241"/>
        <v>4.8763956904995114</v>
      </c>
      <c r="E154" s="15">
        <f t="shared" si="241"/>
        <v>5.57</v>
      </c>
      <c r="F154" s="57">
        <f t="shared" si="241"/>
        <v>5.17</v>
      </c>
      <c r="G154" s="16">
        <f t="shared" si="177"/>
        <v>0.95110056909287077</v>
      </c>
      <c r="H154" s="15">
        <f t="shared" si="190"/>
        <v>2.1589249972727877</v>
      </c>
      <c r="I154" s="17">
        <f t="shared" si="218"/>
        <v>0.43951395094479417</v>
      </c>
      <c r="J154" s="14">
        <f t="shared" si="178"/>
        <v>130</v>
      </c>
      <c r="K154" s="25">
        <f t="shared" si="219"/>
        <v>11</v>
      </c>
      <c r="L154" s="18" t="str">
        <f t="shared" ref="L154" si="255">L142</f>
        <v>out</v>
      </c>
      <c r="M154" s="43">
        <f t="shared" si="192"/>
        <v>1340</v>
      </c>
      <c r="N154" s="53">
        <f t="shared" si="250"/>
        <v>1403.2559482607037</v>
      </c>
      <c r="O154" s="43">
        <f t="shared" si="251"/>
        <v>402</v>
      </c>
      <c r="P154" s="43">
        <f t="shared" si="180"/>
        <v>1001.2559482607037</v>
      </c>
      <c r="Q154" s="43">
        <f t="shared" si="181"/>
        <v>938</v>
      </c>
      <c r="R154" s="43">
        <f t="shared" si="182"/>
        <v>63.25594826070369</v>
      </c>
      <c r="S154" s="43">
        <f t="shared" ref="S154:S217" si="256">MAX(0,S153+R154)</f>
        <v>5423.3331839712382</v>
      </c>
      <c r="T154" s="43">
        <f t="shared" si="183"/>
        <v>938</v>
      </c>
      <c r="U154" s="50">
        <f t="shared" si="184"/>
        <v>412.26408598621691</v>
      </c>
      <c r="V154" s="20">
        <f t="shared" si="252"/>
        <v>412.26408598621691</v>
      </c>
      <c r="W154" s="20">
        <f t="shared" si="253"/>
        <v>2516.8747618206157</v>
      </c>
      <c r="X154" s="19">
        <f t="shared" si="185"/>
        <v>2104.610675834399</v>
      </c>
      <c r="Y154" s="38">
        <f t="shared" si="254"/>
        <v>0.83620000000000005</v>
      </c>
      <c r="Z154" s="37">
        <f t="shared" ref="Z154:Z217" si="257">Z153+X154</f>
        <v>179227.63672349954</v>
      </c>
      <c r="AA154" s="44">
        <f t="shared" ref="AA154:AA217" si="258">IF(AND(Z154&gt;0,Z153&lt;0),J154,0)</f>
        <v>0</v>
      </c>
      <c r="AC154" s="48">
        <f t="shared" ref="AC154:AC217" si="259">X154</f>
        <v>2104.610675834399</v>
      </c>
    </row>
    <row r="155" spans="1:29" x14ac:dyDescent="0.2">
      <c r="A155" s="14" t="str">
        <f t="shared" si="241"/>
        <v>Novembro</v>
      </c>
      <c r="B155" s="14">
        <f t="shared" si="241"/>
        <v>30</v>
      </c>
      <c r="C155" s="15">
        <f t="shared" si="241"/>
        <v>4.68</v>
      </c>
      <c r="D155" s="15">
        <f t="shared" si="241"/>
        <v>5.5745347698334964</v>
      </c>
      <c r="E155" s="15">
        <f t="shared" si="241"/>
        <v>5.89</v>
      </c>
      <c r="F155" s="57">
        <f t="shared" si="241"/>
        <v>5.23</v>
      </c>
      <c r="G155" s="16">
        <f t="shared" si="177"/>
        <v>0.95110056909287077</v>
      </c>
      <c r="H155" s="15">
        <f t="shared" si="190"/>
        <v>2.1589249972727877</v>
      </c>
      <c r="I155" s="17">
        <f t="shared" si="218"/>
        <v>0.43951395094479417</v>
      </c>
      <c r="J155" s="14">
        <f t="shared" si="178"/>
        <v>131</v>
      </c>
      <c r="K155" s="25">
        <f t="shared" si="219"/>
        <v>11</v>
      </c>
      <c r="L155" s="18" t="str">
        <f t="shared" ref="L155" si="260">L143</f>
        <v>nov</v>
      </c>
      <c r="M155" s="43">
        <f t="shared" si="192"/>
        <v>1288</v>
      </c>
      <c r="N155" s="53">
        <f t="shared" si="250"/>
        <v>1552.4089666224704</v>
      </c>
      <c r="O155" s="43">
        <f t="shared" si="251"/>
        <v>386.4</v>
      </c>
      <c r="P155" s="43">
        <f t="shared" si="180"/>
        <v>1166.0089666224703</v>
      </c>
      <c r="Q155" s="43">
        <f t="shared" si="181"/>
        <v>901.6</v>
      </c>
      <c r="R155" s="43">
        <f t="shared" si="182"/>
        <v>264.4089666224703</v>
      </c>
      <c r="S155" s="43">
        <f t="shared" si="256"/>
        <v>5687.7421505937082</v>
      </c>
      <c r="T155" s="43">
        <f t="shared" si="183"/>
        <v>901.6</v>
      </c>
      <c r="U155" s="50">
        <f t="shared" si="184"/>
        <v>396.26577817182641</v>
      </c>
      <c r="V155" s="20">
        <f t="shared" si="252"/>
        <v>396.26577817182641</v>
      </c>
      <c r="W155" s="20">
        <f t="shared" si="253"/>
        <v>2419.2049949439947</v>
      </c>
      <c r="X155" s="19">
        <f t="shared" si="185"/>
        <v>2022.9392167721683</v>
      </c>
      <c r="Y155" s="38">
        <f t="shared" si="254"/>
        <v>0.83619999999999994</v>
      </c>
      <c r="Z155" s="37">
        <f t="shared" si="257"/>
        <v>181250.57594027172</v>
      </c>
      <c r="AA155" s="44">
        <f t="shared" si="258"/>
        <v>0</v>
      </c>
      <c r="AC155" s="48">
        <f t="shared" si="259"/>
        <v>2022.9392167721683</v>
      </c>
    </row>
    <row r="156" spans="1:29" x14ac:dyDescent="0.2">
      <c r="A156" s="14" t="str">
        <f t="shared" si="241"/>
        <v>Dezembro</v>
      </c>
      <c r="B156" s="14">
        <f t="shared" si="241"/>
        <v>31</v>
      </c>
      <c r="C156" s="15">
        <f t="shared" si="241"/>
        <v>4.8499999999999996</v>
      </c>
      <c r="D156" s="15">
        <f t="shared" si="241"/>
        <v>5.6062683643486775</v>
      </c>
      <c r="E156" s="15">
        <f t="shared" si="241"/>
        <v>6.05</v>
      </c>
      <c r="F156" s="57">
        <f t="shared" si="241"/>
        <v>5.29</v>
      </c>
      <c r="G156" s="16">
        <f t="shared" si="177"/>
        <v>0.95110056909287077</v>
      </c>
      <c r="H156" s="15">
        <f t="shared" si="190"/>
        <v>2.1589249972727877</v>
      </c>
      <c r="I156" s="17">
        <f t="shared" si="218"/>
        <v>0.43951395094479417</v>
      </c>
      <c r="J156" s="14">
        <f t="shared" si="178"/>
        <v>132</v>
      </c>
      <c r="K156" s="25">
        <f t="shared" si="219"/>
        <v>11</v>
      </c>
      <c r="L156" s="18" t="str">
        <f t="shared" ref="L156" si="261">L144</f>
        <v>dez</v>
      </c>
      <c r="M156" s="43">
        <f t="shared" si="192"/>
        <v>1140</v>
      </c>
      <c r="N156" s="53">
        <f t="shared" si="250"/>
        <v>1613.2877496272731</v>
      </c>
      <c r="O156" s="43">
        <f t="shared" si="251"/>
        <v>342</v>
      </c>
      <c r="P156" s="43">
        <f t="shared" si="180"/>
        <v>1271.2877496272731</v>
      </c>
      <c r="Q156" s="43">
        <f t="shared" si="181"/>
        <v>798</v>
      </c>
      <c r="R156" s="43">
        <f t="shared" si="182"/>
        <v>473.28774962727312</v>
      </c>
      <c r="S156" s="43">
        <f t="shared" si="256"/>
        <v>6161.0299002209813</v>
      </c>
      <c r="T156" s="43">
        <f t="shared" si="183"/>
        <v>798</v>
      </c>
      <c r="U156" s="50">
        <f t="shared" si="184"/>
        <v>350.73213285394576</v>
      </c>
      <c r="V156" s="20">
        <f t="shared" si="252"/>
        <v>350.73213285394576</v>
      </c>
      <c r="W156" s="20">
        <f t="shared" si="253"/>
        <v>2141.2218122951508</v>
      </c>
      <c r="X156" s="19">
        <f t="shared" si="185"/>
        <v>1790.489679441205</v>
      </c>
      <c r="Y156" s="38">
        <f t="shared" si="254"/>
        <v>0.83619999999999994</v>
      </c>
      <c r="Z156" s="37">
        <f t="shared" si="257"/>
        <v>183041.06561971293</v>
      </c>
      <c r="AA156" s="44">
        <f t="shared" si="258"/>
        <v>0</v>
      </c>
      <c r="AC156" s="48">
        <f t="shared" si="259"/>
        <v>1790.489679441205</v>
      </c>
    </row>
    <row r="157" spans="1:29" x14ac:dyDescent="0.2">
      <c r="A157" s="14" t="str">
        <f t="shared" si="241"/>
        <v>Janeiro</v>
      </c>
      <c r="B157" s="14">
        <f t="shared" si="241"/>
        <v>30</v>
      </c>
      <c r="C157" s="15">
        <f t="shared" si="241"/>
        <v>4.87</v>
      </c>
      <c r="D157" s="15">
        <f t="shared" si="241"/>
        <v>5.4581782566111663</v>
      </c>
      <c r="E157" s="15">
        <f t="shared" si="241"/>
        <v>6.01</v>
      </c>
      <c r="F157" s="57">
        <f t="shared" si="241"/>
        <v>5.31</v>
      </c>
      <c r="G157" s="16">
        <f t="shared" si="177"/>
        <v>0.94687387816382207</v>
      </c>
      <c r="H157" s="15">
        <f t="shared" si="190"/>
        <v>2.3316389970546108</v>
      </c>
      <c r="I157" s="17">
        <f t="shared" si="218"/>
        <v>0.47467506702037771</v>
      </c>
      <c r="J157" s="14">
        <f t="shared" si="178"/>
        <v>133</v>
      </c>
      <c r="K157" s="25">
        <f t="shared" si="219"/>
        <v>12</v>
      </c>
      <c r="L157" s="18" t="str">
        <f t="shared" ref="L157" si="262">L145</f>
        <v>jan</v>
      </c>
      <c r="M157" s="43">
        <f t="shared" si="192"/>
        <v>836</v>
      </c>
      <c r="N157" s="53">
        <f t="shared" si="250"/>
        <v>1513.2508378865218</v>
      </c>
      <c r="O157" s="43">
        <f t="shared" si="251"/>
        <v>250.79999999999998</v>
      </c>
      <c r="P157" s="43">
        <f t="shared" si="180"/>
        <v>1262.4508378865219</v>
      </c>
      <c r="Q157" s="43">
        <f t="shared" si="181"/>
        <v>585.20000000000005</v>
      </c>
      <c r="R157" s="43">
        <f t="shared" si="182"/>
        <v>677.25083788652182</v>
      </c>
      <c r="S157" s="43">
        <f t="shared" si="256"/>
        <v>6838.2807381075036</v>
      </c>
      <c r="T157" s="43">
        <f t="shared" si="183"/>
        <v>585.20000000000005</v>
      </c>
      <c r="U157" s="50">
        <f t="shared" si="184"/>
        <v>277.77984922032505</v>
      </c>
      <c r="V157" s="20">
        <f t="shared" si="252"/>
        <v>277.77984922032505</v>
      </c>
      <c r="W157" s="20">
        <f t="shared" si="253"/>
        <v>1695.8476753377597</v>
      </c>
      <c r="X157" s="19">
        <f t="shared" si="185"/>
        <v>1418.0678261174346</v>
      </c>
      <c r="Y157" s="38">
        <f t="shared" si="254"/>
        <v>0.83619999999999994</v>
      </c>
      <c r="Z157" s="37">
        <f t="shared" si="257"/>
        <v>184459.13344583038</v>
      </c>
      <c r="AA157" s="44">
        <f t="shared" si="258"/>
        <v>0</v>
      </c>
      <c r="AC157" s="48">
        <f t="shared" si="259"/>
        <v>1418.0678261174346</v>
      </c>
    </row>
    <row r="158" spans="1:29" x14ac:dyDescent="0.2">
      <c r="A158" s="14" t="str">
        <f t="shared" si="241"/>
        <v>Fevereiro</v>
      </c>
      <c r="B158" s="14">
        <f t="shared" si="241"/>
        <v>28</v>
      </c>
      <c r="C158" s="15">
        <f t="shared" si="241"/>
        <v>4.75</v>
      </c>
      <c r="D158" s="15">
        <f t="shared" si="241"/>
        <v>5.2254652301665043</v>
      </c>
      <c r="E158" s="15">
        <f t="shared" si="241"/>
        <v>5.82</v>
      </c>
      <c r="F158" s="57">
        <f t="shared" si="241"/>
        <v>5.28</v>
      </c>
      <c r="G158" s="16">
        <f t="shared" si="177"/>
        <v>0.94687387816382207</v>
      </c>
      <c r="H158" s="15">
        <f t="shared" si="190"/>
        <v>2.3316389970546108</v>
      </c>
      <c r="I158" s="17">
        <f t="shared" si="218"/>
        <v>0.47467506702037771</v>
      </c>
      <c r="J158" s="14">
        <f t="shared" si="178"/>
        <v>134</v>
      </c>
      <c r="K158" s="25">
        <f t="shared" si="219"/>
        <v>12</v>
      </c>
      <c r="L158" s="18" t="str">
        <f t="shared" ref="L158" si="263">L146</f>
        <v>fev</v>
      </c>
      <c r="M158" s="43">
        <f t="shared" si="192"/>
        <v>1088</v>
      </c>
      <c r="N158" s="53">
        <f t="shared" si="250"/>
        <v>1352.1502318893004</v>
      </c>
      <c r="O158" s="43">
        <f t="shared" si="251"/>
        <v>326.39999999999998</v>
      </c>
      <c r="P158" s="43">
        <f t="shared" si="180"/>
        <v>1025.7502318893003</v>
      </c>
      <c r="Q158" s="43">
        <f t="shared" si="181"/>
        <v>761.6</v>
      </c>
      <c r="R158" s="43">
        <f t="shared" si="182"/>
        <v>264.15023188930024</v>
      </c>
      <c r="S158" s="43">
        <f t="shared" si="256"/>
        <v>7102.4309699968035</v>
      </c>
      <c r="T158" s="43">
        <f t="shared" si="183"/>
        <v>761.6</v>
      </c>
      <c r="U158" s="50">
        <f t="shared" si="184"/>
        <v>361.51253104271967</v>
      </c>
      <c r="V158" s="20">
        <f t="shared" si="252"/>
        <v>361.51253104271967</v>
      </c>
      <c r="W158" s="20">
        <f t="shared" si="253"/>
        <v>2207.0362090520121</v>
      </c>
      <c r="X158" s="19">
        <f t="shared" si="185"/>
        <v>1845.5236780092923</v>
      </c>
      <c r="Y158" s="38">
        <f t="shared" si="254"/>
        <v>0.83619999999999994</v>
      </c>
      <c r="Z158" s="37">
        <f t="shared" si="257"/>
        <v>186304.65712383966</v>
      </c>
      <c r="AA158" s="44">
        <f t="shared" si="258"/>
        <v>0</v>
      </c>
      <c r="AC158" s="48">
        <f t="shared" si="259"/>
        <v>1845.5236780092923</v>
      </c>
    </row>
    <row r="159" spans="1:29" x14ac:dyDescent="0.2">
      <c r="A159" s="14" t="str">
        <f t="shared" si="241"/>
        <v>Março</v>
      </c>
      <c r="B159" s="14">
        <f t="shared" si="241"/>
        <v>31</v>
      </c>
      <c r="C159" s="15">
        <f t="shared" si="241"/>
        <v>4.21</v>
      </c>
      <c r="D159" s="15">
        <f t="shared" si="241"/>
        <v>4.7494613124387861</v>
      </c>
      <c r="E159" s="15">
        <f t="shared" si="241"/>
        <v>5.43</v>
      </c>
      <c r="F159" s="57">
        <f t="shared" si="241"/>
        <v>5.14</v>
      </c>
      <c r="G159" s="16">
        <f t="shared" si="177"/>
        <v>0.94687387816382207</v>
      </c>
      <c r="H159" s="15">
        <f t="shared" si="190"/>
        <v>2.3316389970546108</v>
      </c>
      <c r="I159" s="17">
        <f t="shared" si="218"/>
        <v>0.47467506702037771</v>
      </c>
      <c r="J159" s="14">
        <f t="shared" si="178"/>
        <v>135</v>
      </c>
      <c r="K159" s="25">
        <f t="shared" si="219"/>
        <v>12</v>
      </c>
      <c r="L159" s="18" t="str">
        <f t="shared" ref="L159" si="264">L147</f>
        <v>mar</v>
      </c>
      <c r="M159" s="43">
        <f t="shared" si="192"/>
        <v>1152</v>
      </c>
      <c r="N159" s="53">
        <f t="shared" si="250"/>
        <v>1360.6549362107555</v>
      </c>
      <c r="O159" s="43">
        <f t="shared" si="251"/>
        <v>345.59999999999997</v>
      </c>
      <c r="P159" s="43">
        <f t="shared" si="180"/>
        <v>1015.0549362107556</v>
      </c>
      <c r="Q159" s="43">
        <f t="shared" si="181"/>
        <v>806.40000000000009</v>
      </c>
      <c r="R159" s="43">
        <f t="shared" si="182"/>
        <v>208.65493621075552</v>
      </c>
      <c r="S159" s="43">
        <f t="shared" si="256"/>
        <v>7311.0859062075588</v>
      </c>
      <c r="T159" s="43">
        <f t="shared" si="183"/>
        <v>806.40000000000009</v>
      </c>
      <c r="U159" s="50">
        <f t="shared" si="184"/>
        <v>382.77797404523261</v>
      </c>
      <c r="V159" s="20">
        <f t="shared" si="252"/>
        <v>382.77797404523261</v>
      </c>
      <c r="W159" s="20">
        <f t="shared" si="253"/>
        <v>2336.8618684080129</v>
      </c>
      <c r="X159" s="19">
        <f t="shared" si="185"/>
        <v>1954.0838943627803</v>
      </c>
      <c r="Y159" s="38">
        <f t="shared" si="254"/>
        <v>0.83619999999999994</v>
      </c>
      <c r="Z159" s="37">
        <f t="shared" si="257"/>
        <v>188258.74101820245</v>
      </c>
      <c r="AA159" s="44">
        <f t="shared" si="258"/>
        <v>0</v>
      </c>
      <c r="AC159" s="48">
        <f t="shared" si="259"/>
        <v>1954.0838943627803</v>
      </c>
    </row>
    <row r="160" spans="1:29" x14ac:dyDescent="0.2">
      <c r="A160" s="14" t="str">
        <f t="shared" si="241"/>
        <v>Abril</v>
      </c>
      <c r="B160" s="14">
        <f t="shared" si="241"/>
        <v>30</v>
      </c>
      <c r="C160" s="15">
        <f t="shared" si="241"/>
        <v>3.59</v>
      </c>
      <c r="D160" s="15">
        <f t="shared" si="241"/>
        <v>4.1465230166503426</v>
      </c>
      <c r="E160" s="15">
        <f t="shared" si="241"/>
        <v>4.91</v>
      </c>
      <c r="F160" s="57">
        <f t="shared" si="241"/>
        <v>4.97</v>
      </c>
      <c r="G160" s="16">
        <f t="shared" si="177"/>
        <v>0.94687387816382207</v>
      </c>
      <c r="H160" s="15">
        <f t="shared" si="190"/>
        <v>2.3316389970546108</v>
      </c>
      <c r="I160" s="17">
        <f t="shared" si="218"/>
        <v>0.47467506702037771</v>
      </c>
      <c r="J160" s="14">
        <f t="shared" si="178"/>
        <v>136</v>
      </c>
      <c r="K160" s="25">
        <f t="shared" si="219"/>
        <v>12</v>
      </c>
      <c r="L160" s="18" t="str">
        <f t="shared" ref="L160" si="265">L148</f>
        <v>abr</v>
      </c>
      <c r="M160" s="43">
        <f t="shared" si="192"/>
        <v>1000</v>
      </c>
      <c r="N160" s="53">
        <f t="shared" si="250"/>
        <v>1149.601411727745</v>
      </c>
      <c r="O160" s="43">
        <f t="shared" si="251"/>
        <v>300</v>
      </c>
      <c r="P160" s="43">
        <f t="shared" si="180"/>
        <v>849.60141172774502</v>
      </c>
      <c r="Q160" s="43">
        <f t="shared" si="181"/>
        <v>700</v>
      </c>
      <c r="R160" s="43">
        <f t="shared" si="182"/>
        <v>149.60141172774502</v>
      </c>
      <c r="S160" s="43">
        <f t="shared" si="256"/>
        <v>7460.6873179353042</v>
      </c>
      <c r="T160" s="43">
        <f t="shared" si="183"/>
        <v>700</v>
      </c>
      <c r="U160" s="50">
        <f t="shared" si="184"/>
        <v>332.27254691426441</v>
      </c>
      <c r="V160" s="20">
        <f t="shared" si="252"/>
        <v>332.27254691426441</v>
      </c>
      <c r="W160" s="20">
        <f t="shared" si="253"/>
        <v>2028.5259274375114</v>
      </c>
      <c r="X160" s="19">
        <f t="shared" si="185"/>
        <v>1696.253380523247</v>
      </c>
      <c r="Y160" s="38">
        <f t="shared" si="254"/>
        <v>0.83619999999999994</v>
      </c>
      <c r="Z160" s="37">
        <f t="shared" si="257"/>
        <v>189954.99439872568</v>
      </c>
      <c r="AA160" s="44">
        <f t="shared" si="258"/>
        <v>0</v>
      </c>
      <c r="AC160" s="48">
        <f t="shared" si="259"/>
        <v>1696.253380523247</v>
      </c>
    </row>
    <row r="161" spans="1:29" x14ac:dyDescent="0.2">
      <c r="A161" s="14" t="str">
        <f t="shared" si="241"/>
        <v>Maio</v>
      </c>
      <c r="B161" s="14">
        <f t="shared" si="241"/>
        <v>31</v>
      </c>
      <c r="C161" s="15">
        <f t="shared" si="241"/>
        <v>2.98</v>
      </c>
      <c r="D161" s="15">
        <f t="shared" si="241"/>
        <v>3.3849167482859945</v>
      </c>
      <c r="E161" s="15">
        <f t="shared" si="241"/>
        <v>4.25</v>
      </c>
      <c r="F161" s="57">
        <f t="shared" si="241"/>
        <v>4.66</v>
      </c>
      <c r="G161" s="16">
        <f t="shared" ref="G161:G224" si="266">(1-1%)*(1-0.4444%)^K137</f>
        <v>0.94687387816382207</v>
      </c>
      <c r="H161" s="15">
        <f t="shared" si="190"/>
        <v>2.3316389970546108</v>
      </c>
      <c r="I161" s="17">
        <f t="shared" si="218"/>
        <v>0.47467506702037771</v>
      </c>
      <c r="J161" s="14">
        <f t="shared" ref="J161:J224" si="267">J160+1</f>
        <v>137</v>
      </c>
      <c r="K161" s="25">
        <f t="shared" si="219"/>
        <v>12</v>
      </c>
      <c r="L161" s="18" t="str">
        <f t="shared" ref="L161" si="268">L149</f>
        <v>mai</v>
      </c>
      <c r="M161" s="43">
        <f t="shared" si="192"/>
        <v>1396</v>
      </c>
      <c r="N161" s="53">
        <f t="shared" si="250"/>
        <v>969.73180309007091</v>
      </c>
      <c r="O161" s="43">
        <f t="shared" si="251"/>
        <v>418.8</v>
      </c>
      <c r="P161" s="43">
        <f t="shared" ref="P161:P224" si="269">N161-O161</f>
        <v>550.93180309007084</v>
      </c>
      <c r="Q161" s="43">
        <f t="shared" ref="Q161:Q224" si="270">M161-O161</f>
        <v>977.2</v>
      </c>
      <c r="R161" s="43">
        <f t="shared" ref="R161:R224" si="271">P161-Q161</f>
        <v>-426.2681969099292</v>
      </c>
      <c r="S161" s="43">
        <f t="shared" si="256"/>
        <v>7034.4191210253748</v>
      </c>
      <c r="T161" s="43">
        <f t="shared" ref="T161:T224" si="272">MIN(Q161,P161+S160)</f>
        <v>977.2</v>
      </c>
      <c r="U161" s="50">
        <f t="shared" ref="U161:U224" si="273">T161*I161</f>
        <v>463.85247549231309</v>
      </c>
      <c r="V161" s="20">
        <f t="shared" si="252"/>
        <v>463.85247549231309</v>
      </c>
      <c r="W161" s="20">
        <f t="shared" si="253"/>
        <v>2831.822194702766</v>
      </c>
      <c r="X161" s="19">
        <f t="shared" ref="X161:X224" si="274">W161-V161</f>
        <v>2367.9697192104527</v>
      </c>
      <c r="Y161" s="38">
        <f t="shared" si="254"/>
        <v>0.83619999999999994</v>
      </c>
      <c r="Z161" s="37">
        <f t="shared" si="257"/>
        <v>192322.96411793615</v>
      </c>
      <c r="AA161" s="44">
        <f t="shared" si="258"/>
        <v>0</v>
      </c>
      <c r="AC161" s="48">
        <f t="shared" si="259"/>
        <v>2367.9697192104527</v>
      </c>
    </row>
    <row r="162" spans="1:29" x14ac:dyDescent="0.2">
      <c r="A162" s="14" t="str">
        <f t="shared" ref="A162:F177" si="275">A150</f>
        <v>Junho</v>
      </c>
      <c r="B162" s="14">
        <f t="shared" si="275"/>
        <v>30</v>
      </c>
      <c r="C162" s="15">
        <f t="shared" si="275"/>
        <v>2.74</v>
      </c>
      <c r="D162" s="15">
        <f t="shared" si="275"/>
        <v>3.1945151811949071</v>
      </c>
      <c r="E162" s="15">
        <f t="shared" si="275"/>
        <v>3.92</v>
      </c>
      <c r="F162" s="57">
        <f t="shared" si="275"/>
        <v>4.47</v>
      </c>
      <c r="G162" s="16">
        <f t="shared" si="266"/>
        <v>0.94687387816382207</v>
      </c>
      <c r="H162" s="15">
        <f t="shared" si="190"/>
        <v>2.3316389970546108</v>
      </c>
      <c r="I162" s="17">
        <f t="shared" si="218"/>
        <v>0.47467506702037771</v>
      </c>
      <c r="J162" s="14">
        <f t="shared" si="267"/>
        <v>138</v>
      </c>
      <c r="K162" s="25">
        <f t="shared" si="219"/>
        <v>12</v>
      </c>
      <c r="L162" s="18" t="str">
        <f t="shared" ref="L162" si="276">L150</f>
        <v>jun</v>
      </c>
      <c r="M162" s="43">
        <f t="shared" si="192"/>
        <v>1428</v>
      </c>
      <c r="N162" s="53">
        <f t="shared" si="250"/>
        <v>885.66231209637499</v>
      </c>
      <c r="O162" s="43">
        <f t="shared" si="251"/>
        <v>428.4</v>
      </c>
      <c r="P162" s="43">
        <f t="shared" si="269"/>
        <v>457.26231209637501</v>
      </c>
      <c r="Q162" s="43">
        <f t="shared" si="270"/>
        <v>999.6</v>
      </c>
      <c r="R162" s="43">
        <f t="shared" si="271"/>
        <v>-542.33768790362501</v>
      </c>
      <c r="S162" s="43">
        <f t="shared" si="256"/>
        <v>6492.0814331217498</v>
      </c>
      <c r="T162" s="43">
        <f t="shared" si="272"/>
        <v>999.6</v>
      </c>
      <c r="U162" s="50">
        <f t="shared" si="273"/>
        <v>474.48519699356956</v>
      </c>
      <c r="V162" s="20">
        <f t="shared" si="252"/>
        <v>474.48519699356956</v>
      </c>
      <c r="W162" s="20">
        <f t="shared" si="253"/>
        <v>2896.7350243807659</v>
      </c>
      <c r="X162" s="19">
        <f t="shared" si="274"/>
        <v>2422.2498273871965</v>
      </c>
      <c r="Y162" s="38">
        <f t="shared" si="254"/>
        <v>0.83620000000000005</v>
      </c>
      <c r="Z162" s="37">
        <f t="shared" si="257"/>
        <v>194745.21394532334</v>
      </c>
      <c r="AA162" s="44">
        <f t="shared" si="258"/>
        <v>0</v>
      </c>
      <c r="AC162" s="48">
        <f t="shared" si="259"/>
        <v>2422.2498273871965</v>
      </c>
    </row>
    <row r="163" spans="1:29" x14ac:dyDescent="0.2">
      <c r="A163" s="14" t="str">
        <f t="shared" si="275"/>
        <v>Julho</v>
      </c>
      <c r="B163" s="14">
        <f t="shared" si="275"/>
        <v>31</v>
      </c>
      <c r="C163" s="15">
        <f t="shared" si="275"/>
        <v>2.91</v>
      </c>
      <c r="D163" s="15">
        <f t="shared" si="275"/>
        <v>3.4272282076395695</v>
      </c>
      <c r="E163" s="15">
        <f t="shared" si="275"/>
        <v>4.18</v>
      </c>
      <c r="F163" s="57">
        <f t="shared" si="275"/>
        <v>4.74</v>
      </c>
      <c r="G163" s="16">
        <f t="shared" si="266"/>
        <v>0.94687387816382207</v>
      </c>
      <c r="H163" s="15">
        <f t="shared" si="190"/>
        <v>2.3316389970546108</v>
      </c>
      <c r="I163" s="17">
        <f t="shared" si="218"/>
        <v>0.47467506702037771</v>
      </c>
      <c r="J163" s="14">
        <f t="shared" si="267"/>
        <v>139</v>
      </c>
      <c r="K163" s="25">
        <f t="shared" si="219"/>
        <v>12</v>
      </c>
      <c r="L163" s="18" t="str">
        <f t="shared" ref="L163" si="277">L151</f>
        <v>jul</v>
      </c>
      <c r="M163" s="43">
        <f t="shared" si="192"/>
        <v>1392</v>
      </c>
      <c r="N163" s="53">
        <f t="shared" si="250"/>
        <v>981.85345062869669</v>
      </c>
      <c r="O163" s="43">
        <f t="shared" si="251"/>
        <v>417.59999999999997</v>
      </c>
      <c r="P163" s="43">
        <f t="shared" si="269"/>
        <v>564.25345062869678</v>
      </c>
      <c r="Q163" s="43">
        <f t="shared" si="270"/>
        <v>974.40000000000009</v>
      </c>
      <c r="R163" s="43">
        <f t="shared" si="271"/>
        <v>-410.14654937130331</v>
      </c>
      <c r="S163" s="43">
        <f t="shared" si="256"/>
        <v>6081.9348837504467</v>
      </c>
      <c r="T163" s="43">
        <f t="shared" si="272"/>
        <v>974.40000000000009</v>
      </c>
      <c r="U163" s="50">
        <f t="shared" si="273"/>
        <v>462.52338530465607</v>
      </c>
      <c r="V163" s="20">
        <f t="shared" si="252"/>
        <v>462.52338530465607</v>
      </c>
      <c r="W163" s="20">
        <f t="shared" si="253"/>
        <v>2823.7080909930155</v>
      </c>
      <c r="X163" s="19">
        <f t="shared" si="274"/>
        <v>2361.1847056883594</v>
      </c>
      <c r="Y163" s="38">
        <f t="shared" si="254"/>
        <v>0.83619999999999994</v>
      </c>
      <c r="Z163" s="37">
        <f t="shared" si="257"/>
        <v>197106.3986510117</v>
      </c>
      <c r="AA163" s="44">
        <f t="shared" si="258"/>
        <v>0</v>
      </c>
      <c r="AC163" s="48">
        <f t="shared" si="259"/>
        <v>2361.1847056883594</v>
      </c>
    </row>
    <row r="164" spans="1:29" x14ac:dyDescent="0.2">
      <c r="A164" s="14" t="str">
        <f t="shared" si="275"/>
        <v>Agosto</v>
      </c>
      <c r="B164" s="14">
        <f t="shared" si="275"/>
        <v>31</v>
      </c>
      <c r="C164" s="15">
        <f t="shared" si="275"/>
        <v>3.45</v>
      </c>
      <c r="D164" s="15">
        <f t="shared" si="275"/>
        <v>4.1147894221351615</v>
      </c>
      <c r="E164" s="15">
        <f t="shared" si="275"/>
        <v>4.83</v>
      </c>
      <c r="F164" s="57">
        <f t="shared" si="275"/>
        <v>5.21</v>
      </c>
      <c r="G164" s="16">
        <f t="shared" si="266"/>
        <v>0.94687387816382207</v>
      </c>
      <c r="H164" s="15">
        <f t="shared" si="190"/>
        <v>2.3316389970546108</v>
      </c>
      <c r="I164" s="17">
        <f t="shared" si="218"/>
        <v>0.47467506702037771</v>
      </c>
      <c r="J164" s="14">
        <f t="shared" si="267"/>
        <v>140</v>
      </c>
      <c r="K164" s="25">
        <f t="shared" si="219"/>
        <v>12</v>
      </c>
      <c r="L164" s="18" t="str">
        <f t="shared" ref="L164" si="278">L152</f>
        <v>ago</v>
      </c>
      <c r="M164" s="43">
        <f t="shared" si="192"/>
        <v>1520</v>
      </c>
      <c r="N164" s="53">
        <f t="shared" si="250"/>
        <v>1178.8302231313673</v>
      </c>
      <c r="O164" s="43">
        <f t="shared" si="251"/>
        <v>456</v>
      </c>
      <c r="P164" s="43">
        <f t="shared" si="269"/>
        <v>722.83022313136735</v>
      </c>
      <c r="Q164" s="43">
        <f t="shared" si="270"/>
        <v>1064</v>
      </c>
      <c r="R164" s="43">
        <f t="shared" si="271"/>
        <v>-341.16977686863265</v>
      </c>
      <c r="S164" s="43">
        <f t="shared" si="256"/>
        <v>5740.7651068818141</v>
      </c>
      <c r="T164" s="43">
        <f t="shared" si="272"/>
        <v>1064</v>
      </c>
      <c r="U164" s="50">
        <f t="shared" si="273"/>
        <v>505.05427130968189</v>
      </c>
      <c r="V164" s="20">
        <f t="shared" si="252"/>
        <v>505.05427130968189</v>
      </c>
      <c r="W164" s="20">
        <f t="shared" si="253"/>
        <v>3083.3594097050172</v>
      </c>
      <c r="X164" s="19">
        <f t="shared" si="274"/>
        <v>2578.3051383953352</v>
      </c>
      <c r="Y164" s="38">
        <f t="shared" si="254"/>
        <v>0.83619999999999994</v>
      </c>
      <c r="Z164" s="37">
        <f t="shared" si="257"/>
        <v>199684.70378940704</v>
      </c>
      <c r="AA164" s="44">
        <f t="shared" si="258"/>
        <v>0</v>
      </c>
      <c r="AC164" s="48">
        <f t="shared" si="259"/>
        <v>2578.3051383953352</v>
      </c>
    </row>
    <row r="165" spans="1:29" x14ac:dyDescent="0.2">
      <c r="A165" s="14" t="str">
        <f t="shared" si="275"/>
        <v>Setembro</v>
      </c>
      <c r="B165" s="14">
        <f t="shared" si="275"/>
        <v>30</v>
      </c>
      <c r="C165" s="15">
        <f t="shared" si="275"/>
        <v>3.82</v>
      </c>
      <c r="D165" s="15">
        <f t="shared" si="275"/>
        <v>4.2417238001958868</v>
      </c>
      <c r="E165" s="15">
        <f t="shared" si="275"/>
        <v>5.12</v>
      </c>
      <c r="F165" s="57">
        <f t="shared" si="275"/>
        <v>5.1100000000000003</v>
      </c>
      <c r="G165" s="16">
        <f t="shared" si="266"/>
        <v>0.94687387816382207</v>
      </c>
      <c r="H165" s="15">
        <f t="shared" ref="H165:H228" si="279">(1+$B$13)^K153</f>
        <v>2.3316389970546108</v>
      </c>
      <c r="I165" s="17">
        <f t="shared" si="218"/>
        <v>0.47467506702037771</v>
      </c>
      <c r="J165" s="14">
        <f t="shared" si="267"/>
        <v>141</v>
      </c>
      <c r="K165" s="25">
        <f t="shared" si="219"/>
        <v>12</v>
      </c>
      <c r="L165" s="18" t="str">
        <f t="shared" ref="L165" si="280">L153</f>
        <v>set</v>
      </c>
      <c r="M165" s="43">
        <f t="shared" ref="M165:M228" si="281">M153*(1+$B$14)</f>
        <v>1400</v>
      </c>
      <c r="N165" s="53">
        <f t="shared" si="250"/>
        <v>1175.9953216908825</v>
      </c>
      <c r="O165" s="43">
        <f t="shared" si="251"/>
        <v>420</v>
      </c>
      <c r="P165" s="43">
        <f t="shared" si="269"/>
        <v>755.99532169088252</v>
      </c>
      <c r="Q165" s="43">
        <f t="shared" si="270"/>
        <v>980</v>
      </c>
      <c r="R165" s="43">
        <f t="shared" si="271"/>
        <v>-224.00467830911748</v>
      </c>
      <c r="S165" s="43">
        <f t="shared" si="256"/>
        <v>5516.7604285726966</v>
      </c>
      <c r="T165" s="43">
        <f t="shared" si="272"/>
        <v>980</v>
      </c>
      <c r="U165" s="50">
        <f t="shared" si="273"/>
        <v>465.18156567997016</v>
      </c>
      <c r="V165" s="20">
        <f t="shared" si="252"/>
        <v>465.18156567997016</v>
      </c>
      <c r="W165" s="20">
        <f t="shared" si="253"/>
        <v>2839.936298412516</v>
      </c>
      <c r="X165" s="19">
        <f t="shared" si="274"/>
        <v>2374.7547327325456</v>
      </c>
      <c r="Y165" s="38">
        <f t="shared" si="254"/>
        <v>0.83619999999999994</v>
      </c>
      <c r="Z165" s="37">
        <f t="shared" si="257"/>
        <v>202059.45852213958</v>
      </c>
      <c r="AA165" s="44">
        <f t="shared" si="258"/>
        <v>0</v>
      </c>
      <c r="AC165" s="48">
        <f t="shared" si="259"/>
        <v>2374.7547327325456</v>
      </c>
    </row>
    <row r="166" spans="1:29" x14ac:dyDescent="0.2">
      <c r="A166" s="14" t="str">
        <f t="shared" si="275"/>
        <v>Outubro</v>
      </c>
      <c r="B166" s="14">
        <f t="shared" si="275"/>
        <v>31</v>
      </c>
      <c r="C166" s="15">
        <f t="shared" si="275"/>
        <v>4.33</v>
      </c>
      <c r="D166" s="15">
        <f t="shared" si="275"/>
        <v>4.8763956904995114</v>
      </c>
      <c r="E166" s="15">
        <f t="shared" si="275"/>
        <v>5.57</v>
      </c>
      <c r="F166" s="57">
        <f t="shared" si="275"/>
        <v>5.17</v>
      </c>
      <c r="G166" s="16">
        <f t="shared" si="266"/>
        <v>0.94687387816382207</v>
      </c>
      <c r="H166" s="15">
        <f t="shared" si="279"/>
        <v>2.3316389970546108</v>
      </c>
      <c r="I166" s="17">
        <f t="shared" si="218"/>
        <v>0.47467506702037771</v>
      </c>
      <c r="J166" s="14">
        <f t="shared" si="267"/>
        <v>142</v>
      </c>
      <c r="K166" s="25">
        <f t="shared" si="219"/>
        <v>12</v>
      </c>
      <c r="L166" s="18" t="str">
        <f t="shared" ref="L166" si="282">L154</f>
        <v>out</v>
      </c>
      <c r="M166" s="43">
        <f t="shared" si="281"/>
        <v>1340</v>
      </c>
      <c r="N166" s="53">
        <f t="shared" si="250"/>
        <v>1397.0198788266332</v>
      </c>
      <c r="O166" s="43">
        <f t="shared" si="251"/>
        <v>402</v>
      </c>
      <c r="P166" s="43">
        <f t="shared" si="269"/>
        <v>995.0198788266332</v>
      </c>
      <c r="Q166" s="43">
        <f t="shared" si="270"/>
        <v>938</v>
      </c>
      <c r="R166" s="43">
        <f t="shared" si="271"/>
        <v>57.019878826633203</v>
      </c>
      <c r="S166" s="43">
        <f t="shared" si="256"/>
        <v>5573.78030739933</v>
      </c>
      <c r="T166" s="43">
        <f t="shared" si="272"/>
        <v>938</v>
      </c>
      <c r="U166" s="50">
        <f t="shared" si="273"/>
        <v>445.2452128651143</v>
      </c>
      <c r="V166" s="20">
        <f t="shared" si="252"/>
        <v>445.2452128651143</v>
      </c>
      <c r="W166" s="20">
        <f t="shared" si="253"/>
        <v>2718.2247427662651</v>
      </c>
      <c r="X166" s="19">
        <f t="shared" si="274"/>
        <v>2272.9795299011507</v>
      </c>
      <c r="Y166" s="38">
        <f t="shared" si="254"/>
        <v>0.83619999999999994</v>
      </c>
      <c r="Z166" s="37">
        <f t="shared" si="257"/>
        <v>204332.43805204073</v>
      </c>
      <c r="AA166" s="44">
        <f t="shared" si="258"/>
        <v>0</v>
      </c>
      <c r="AC166" s="48">
        <f t="shared" si="259"/>
        <v>2272.9795299011507</v>
      </c>
    </row>
    <row r="167" spans="1:29" x14ac:dyDescent="0.2">
      <c r="A167" s="14" t="str">
        <f t="shared" si="275"/>
        <v>Novembro</v>
      </c>
      <c r="B167" s="14">
        <f t="shared" si="275"/>
        <v>30</v>
      </c>
      <c r="C167" s="15">
        <f t="shared" si="275"/>
        <v>4.68</v>
      </c>
      <c r="D167" s="15">
        <f t="shared" si="275"/>
        <v>5.5745347698334964</v>
      </c>
      <c r="E167" s="15">
        <f t="shared" si="275"/>
        <v>5.89</v>
      </c>
      <c r="F167" s="57">
        <f t="shared" si="275"/>
        <v>5.23</v>
      </c>
      <c r="G167" s="16">
        <f t="shared" si="266"/>
        <v>0.94687387816382207</v>
      </c>
      <c r="H167" s="15">
        <f t="shared" si="279"/>
        <v>2.3316389970546108</v>
      </c>
      <c r="I167" s="17">
        <f t="shared" si="218"/>
        <v>0.47467506702037771</v>
      </c>
      <c r="J167" s="14">
        <f t="shared" si="267"/>
        <v>143</v>
      </c>
      <c r="K167" s="25">
        <f t="shared" si="219"/>
        <v>12</v>
      </c>
      <c r="L167" s="18" t="str">
        <f t="shared" ref="L167" si="283">L155</f>
        <v>nov</v>
      </c>
      <c r="M167" s="43">
        <f t="shared" si="281"/>
        <v>1288</v>
      </c>
      <c r="N167" s="53">
        <f t="shared" si="250"/>
        <v>1545.5100611748003</v>
      </c>
      <c r="O167" s="43">
        <f t="shared" si="251"/>
        <v>386.4</v>
      </c>
      <c r="P167" s="43">
        <f t="shared" si="269"/>
        <v>1159.1100611748002</v>
      </c>
      <c r="Q167" s="43">
        <f t="shared" si="270"/>
        <v>901.6</v>
      </c>
      <c r="R167" s="43">
        <f t="shared" si="271"/>
        <v>257.51006117480017</v>
      </c>
      <c r="S167" s="43">
        <f t="shared" si="256"/>
        <v>5831.2903685741303</v>
      </c>
      <c r="T167" s="43">
        <f t="shared" si="272"/>
        <v>901.6</v>
      </c>
      <c r="U167" s="50">
        <f t="shared" si="273"/>
        <v>427.96704042557258</v>
      </c>
      <c r="V167" s="20">
        <f t="shared" si="252"/>
        <v>427.96704042557258</v>
      </c>
      <c r="W167" s="20">
        <f t="shared" si="253"/>
        <v>2612.7413945395147</v>
      </c>
      <c r="X167" s="19">
        <f t="shared" si="274"/>
        <v>2184.7743541139421</v>
      </c>
      <c r="Y167" s="38">
        <f t="shared" si="254"/>
        <v>0.83619999999999994</v>
      </c>
      <c r="Z167" s="37">
        <f t="shared" si="257"/>
        <v>206517.21240615466</v>
      </c>
      <c r="AA167" s="44">
        <f t="shared" si="258"/>
        <v>0</v>
      </c>
      <c r="AC167" s="48">
        <f t="shared" si="259"/>
        <v>2184.7743541139421</v>
      </c>
    </row>
    <row r="168" spans="1:29" x14ac:dyDescent="0.2">
      <c r="A168" s="14" t="str">
        <f t="shared" si="275"/>
        <v>Dezembro</v>
      </c>
      <c r="B168" s="14">
        <f t="shared" si="275"/>
        <v>31</v>
      </c>
      <c r="C168" s="15">
        <f t="shared" si="275"/>
        <v>4.8499999999999996</v>
      </c>
      <c r="D168" s="15">
        <f t="shared" si="275"/>
        <v>5.6062683643486775</v>
      </c>
      <c r="E168" s="15">
        <f t="shared" si="275"/>
        <v>6.05</v>
      </c>
      <c r="F168" s="57">
        <f t="shared" si="275"/>
        <v>5.29</v>
      </c>
      <c r="G168" s="16">
        <f t="shared" si="266"/>
        <v>0.94687387816382207</v>
      </c>
      <c r="H168" s="15">
        <f t="shared" si="279"/>
        <v>2.3316389970546108</v>
      </c>
      <c r="I168" s="17">
        <f t="shared" si="218"/>
        <v>0.47467506702037771</v>
      </c>
      <c r="J168" s="14">
        <f t="shared" si="267"/>
        <v>144</v>
      </c>
      <c r="K168" s="25">
        <f t="shared" si="219"/>
        <v>12</v>
      </c>
      <c r="L168" s="18" t="str">
        <f t="shared" ref="L168" si="284">L156</f>
        <v>dez</v>
      </c>
      <c r="M168" s="43">
        <f t="shared" si="281"/>
        <v>1140</v>
      </c>
      <c r="N168" s="53">
        <f t="shared" si="250"/>
        <v>1606.1182988679295</v>
      </c>
      <c r="O168" s="43">
        <f t="shared" si="251"/>
        <v>342</v>
      </c>
      <c r="P168" s="43">
        <f t="shared" si="269"/>
        <v>1264.1182988679295</v>
      </c>
      <c r="Q168" s="43">
        <f t="shared" si="270"/>
        <v>798</v>
      </c>
      <c r="R168" s="43">
        <f t="shared" si="271"/>
        <v>466.11829886792952</v>
      </c>
      <c r="S168" s="43">
        <f t="shared" si="256"/>
        <v>6297.4086674420596</v>
      </c>
      <c r="T168" s="43">
        <f t="shared" si="272"/>
        <v>798</v>
      </c>
      <c r="U168" s="50">
        <f t="shared" si="273"/>
        <v>378.79070348226139</v>
      </c>
      <c r="V168" s="20">
        <f t="shared" si="252"/>
        <v>378.79070348226139</v>
      </c>
      <c r="W168" s="20">
        <f t="shared" si="253"/>
        <v>2312.5195572787629</v>
      </c>
      <c r="X168" s="19">
        <f t="shared" si="274"/>
        <v>1933.7288537965014</v>
      </c>
      <c r="Y168" s="38">
        <f t="shared" si="254"/>
        <v>0.83619999999999994</v>
      </c>
      <c r="Z168" s="37">
        <f t="shared" si="257"/>
        <v>208450.94125995116</v>
      </c>
      <c r="AA168" s="44">
        <f t="shared" si="258"/>
        <v>0</v>
      </c>
      <c r="AC168" s="48">
        <f t="shared" si="259"/>
        <v>1933.7288537965014</v>
      </c>
    </row>
    <row r="169" spans="1:29" x14ac:dyDescent="0.2">
      <c r="A169" s="14" t="str">
        <f t="shared" si="275"/>
        <v>Janeiro</v>
      </c>
      <c r="B169" s="14">
        <f t="shared" si="275"/>
        <v>30</v>
      </c>
      <c r="C169" s="15">
        <f t="shared" si="275"/>
        <v>4.87</v>
      </c>
      <c r="D169" s="15">
        <f t="shared" si="275"/>
        <v>5.4581782566111663</v>
      </c>
      <c r="E169" s="15">
        <f t="shared" si="275"/>
        <v>6.01</v>
      </c>
      <c r="F169" s="57">
        <f t="shared" si="275"/>
        <v>5.31</v>
      </c>
      <c r="G169" s="16">
        <f t="shared" si="266"/>
        <v>0.94266597064926205</v>
      </c>
      <c r="H169" s="15">
        <f t="shared" si="279"/>
        <v>2.5181701168189798</v>
      </c>
      <c r="I169" s="17">
        <f t="shared" si="218"/>
        <v>0.51264907238200796</v>
      </c>
      <c r="J169" s="14">
        <f t="shared" si="267"/>
        <v>145</v>
      </c>
      <c r="K169" s="25">
        <f t="shared" si="219"/>
        <v>13</v>
      </c>
      <c r="L169" s="18" t="str">
        <f t="shared" ref="L169" si="285">L157</f>
        <v>jan</v>
      </c>
      <c r="M169" s="43">
        <f t="shared" si="281"/>
        <v>836</v>
      </c>
      <c r="N169" s="53">
        <f t="shared" si="250"/>
        <v>1506.525951162954</v>
      </c>
      <c r="O169" s="43">
        <f t="shared" si="251"/>
        <v>250.79999999999998</v>
      </c>
      <c r="P169" s="43">
        <f t="shared" si="269"/>
        <v>1255.7259511629541</v>
      </c>
      <c r="Q169" s="43">
        <f t="shared" si="270"/>
        <v>585.20000000000005</v>
      </c>
      <c r="R169" s="43">
        <f t="shared" si="271"/>
        <v>670.52595116295402</v>
      </c>
      <c r="S169" s="43">
        <f t="shared" si="256"/>
        <v>6967.9346186050134</v>
      </c>
      <c r="T169" s="43">
        <f t="shared" si="272"/>
        <v>585.20000000000005</v>
      </c>
      <c r="U169" s="50">
        <f t="shared" si="273"/>
        <v>300.00223715795107</v>
      </c>
      <c r="V169" s="20">
        <f t="shared" si="252"/>
        <v>300.00223715795107</v>
      </c>
      <c r="W169" s="20">
        <f t="shared" si="253"/>
        <v>1831.5154893647805</v>
      </c>
      <c r="X169" s="19">
        <f t="shared" si="274"/>
        <v>1531.5132522068293</v>
      </c>
      <c r="Y169" s="38">
        <f t="shared" si="254"/>
        <v>0.83619999999999994</v>
      </c>
      <c r="Z169" s="37">
        <f t="shared" si="257"/>
        <v>209982.45451215797</v>
      </c>
      <c r="AA169" s="44">
        <f t="shared" si="258"/>
        <v>0</v>
      </c>
      <c r="AC169" s="48">
        <f t="shared" si="259"/>
        <v>1531.5132522068293</v>
      </c>
    </row>
    <row r="170" spans="1:29" x14ac:dyDescent="0.2">
      <c r="A170" s="14" t="str">
        <f t="shared" si="275"/>
        <v>Fevereiro</v>
      </c>
      <c r="B170" s="14">
        <f t="shared" si="275"/>
        <v>28</v>
      </c>
      <c r="C170" s="15">
        <f t="shared" si="275"/>
        <v>4.75</v>
      </c>
      <c r="D170" s="15">
        <f t="shared" si="275"/>
        <v>5.2254652301665043</v>
      </c>
      <c r="E170" s="15">
        <f t="shared" si="275"/>
        <v>5.82</v>
      </c>
      <c r="F170" s="57">
        <f t="shared" si="275"/>
        <v>5.28</v>
      </c>
      <c r="G170" s="16">
        <f t="shared" si="266"/>
        <v>0.94266597064926205</v>
      </c>
      <c r="H170" s="15">
        <f t="shared" si="279"/>
        <v>2.5181701168189798</v>
      </c>
      <c r="I170" s="17">
        <f t="shared" si="218"/>
        <v>0.51264907238200796</v>
      </c>
      <c r="J170" s="14">
        <f t="shared" si="267"/>
        <v>146</v>
      </c>
      <c r="K170" s="25">
        <f t="shared" si="219"/>
        <v>13</v>
      </c>
      <c r="L170" s="18" t="str">
        <f t="shared" ref="L170" si="286">L158</f>
        <v>fev</v>
      </c>
      <c r="M170" s="43">
        <f t="shared" si="281"/>
        <v>1088</v>
      </c>
      <c r="N170" s="53">
        <f t="shared" si="250"/>
        <v>1346.1412762587843</v>
      </c>
      <c r="O170" s="43">
        <f t="shared" si="251"/>
        <v>326.39999999999998</v>
      </c>
      <c r="P170" s="43">
        <f t="shared" si="269"/>
        <v>1019.7412762587843</v>
      </c>
      <c r="Q170" s="43">
        <f t="shared" si="270"/>
        <v>761.6</v>
      </c>
      <c r="R170" s="43">
        <f t="shared" si="271"/>
        <v>258.14127625878427</v>
      </c>
      <c r="S170" s="43">
        <f t="shared" si="256"/>
        <v>7226.0758948637977</v>
      </c>
      <c r="T170" s="43">
        <f t="shared" si="272"/>
        <v>761.6</v>
      </c>
      <c r="U170" s="50">
        <f t="shared" si="273"/>
        <v>390.4335335261373</v>
      </c>
      <c r="V170" s="20">
        <f t="shared" si="252"/>
        <v>390.4335335261373</v>
      </c>
      <c r="W170" s="20">
        <f t="shared" si="253"/>
        <v>2383.5991057761735</v>
      </c>
      <c r="X170" s="19">
        <f t="shared" si="274"/>
        <v>1993.1655722500361</v>
      </c>
      <c r="Y170" s="38">
        <f t="shared" si="254"/>
        <v>0.83619999999999994</v>
      </c>
      <c r="Z170" s="37">
        <f t="shared" si="257"/>
        <v>211975.620084408</v>
      </c>
      <c r="AA170" s="44">
        <f t="shared" si="258"/>
        <v>0</v>
      </c>
      <c r="AC170" s="48">
        <f t="shared" si="259"/>
        <v>1993.1655722500361</v>
      </c>
    </row>
    <row r="171" spans="1:29" x14ac:dyDescent="0.2">
      <c r="A171" s="14" t="str">
        <f t="shared" si="275"/>
        <v>Março</v>
      </c>
      <c r="B171" s="14">
        <f t="shared" si="275"/>
        <v>31</v>
      </c>
      <c r="C171" s="15">
        <f t="shared" si="275"/>
        <v>4.21</v>
      </c>
      <c r="D171" s="15">
        <f t="shared" si="275"/>
        <v>4.7494613124387861</v>
      </c>
      <c r="E171" s="15">
        <f t="shared" si="275"/>
        <v>5.43</v>
      </c>
      <c r="F171" s="57">
        <f t="shared" si="275"/>
        <v>5.14</v>
      </c>
      <c r="G171" s="16">
        <f t="shared" si="266"/>
        <v>0.94266597064926205</v>
      </c>
      <c r="H171" s="15">
        <f t="shared" si="279"/>
        <v>2.5181701168189798</v>
      </c>
      <c r="I171" s="17">
        <f t="shared" si="218"/>
        <v>0.51264907238200796</v>
      </c>
      <c r="J171" s="14">
        <f t="shared" si="267"/>
        <v>147</v>
      </c>
      <c r="K171" s="25">
        <f t="shared" si="219"/>
        <v>13</v>
      </c>
      <c r="L171" s="18" t="str">
        <f t="shared" ref="L171" si="287">L159</f>
        <v>mar</v>
      </c>
      <c r="M171" s="43">
        <f t="shared" si="281"/>
        <v>1152</v>
      </c>
      <c r="N171" s="53">
        <f t="shared" si="250"/>
        <v>1354.6081856742351</v>
      </c>
      <c r="O171" s="43">
        <f t="shared" si="251"/>
        <v>345.59999999999997</v>
      </c>
      <c r="P171" s="43">
        <f t="shared" si="269"/>
        <v>1009.0081856742352</v>
      </c>
      <c r="Q171" s="43">
        <f t="shared" si="270"/>
        <v>806.40000000000009</v>
      </c>
      <c r="R171" s="43">
        <f t="shared" si="271"/>
        <v>202.60818567423507</v>
      </c>
      <c r="S171" s="43">
        <f t="shared" si="256"/>
        <v>7428.6840805380325</v>
      </c>
      <c r="T171" s="43">
        <f t="shared" si="272"/>
        <v>806.40000000000009</v>
      </c>
      <c r="U171" s="50">
        <f t="shared" si="273"/>
        <v>413.40021196885129</v>
      </c>
      <c r="V171" s="20">
        <f t="shared" si="252"/>
        <v>413.40021196885129</v>
      </c>
      <c r="W171" s="20">
        <f t="shared" si="253"/>
        <v>2523.8108178806542</v>
      </c>
      <c r="X171" s="19">
        <f t="shared" si="274"/>
        <v>2110.410605911803</v>
      </c>
      <c r="Y171" s="38">
        <f t="shared" si="254"/>
        <v>0.83619999999999994</v>
      </c>
      <c r="Z171" s="37">
        <f t="shared" si="257"/>
        <v>214086.03069031981</v>
      </c>
      <c r="AA171" s="44">
        <f t="shared" si="258"/>
        <v>0</v>
      </c>
      <c r="AC171" s="48">
        <f t="shared" si="259"/>
        <v>2110.410605911803</v>
      </c>
    </row>
    <row r="172" spans="1:29" x14ac:dyDescent="0.2">
      <c r="A172" s="14" t="str">
        <f t="shared" si="275"/>
        <v>Abril</v>
      </c>
      <c r="B172" s="14">
        <f t="shared" si="275"/>
        <v>30</v>
      </c>
      <c r="C172" s="15">
        <f t="shared" si="275"/>
        <v>3.59</v>
      </c>
      <c r="D172" s="15">
        <f t="shared" si="275"/>
        <v>4.1465230166503426</v>
      </c>
      <c r="E172" s="15">
        <f t="shared" si="275"/>
        <v>4.91</v>
      </c>
      <c r="F172" s="57">
        <f t="shared" si="275"/>
        <v>4.97</v>
      </c>
      <c r="G172" s="16">
        <f t="shared" si="266"/>
        <v>0.94266597064926205</v>
      </c>
      <c r="H172" s="15">
        <f t="shared" si="279"/>
        <v>2.5181701168189798</v>
      </c>
      <c r="I172" s="17">
        <f t="shared" si="218"/>
        <v>0.51264907238200796</v>
      </c>
      <c r="J172" s="14">
        <f t="shared" si="267"/>
        <v>148</v>
      </c>
      <c r="K172" s="25">
        <f t="shared" si="219"/>
        <v>13</v>
      </c>
      <c r="L172" s="18" t="str">
        <f t="shared" ref="L172" si="288">L160</f>
        <v>abr</v>
      </c>
      <c r="M172" s="43">
        <f t="shared" si="281"/>
        <v>1000</v>
      </c>
      <c r="N172" s="53">
        <f t="shared" si="250"/>
        <v>1144.4925830540269</v>
      </c>
      <c r="O172" s="43">
        <f t="shared" si="251"/>
        <v>300</v>
      </c>
      <c r="P172" s="43">
        <f t="shared" si="269"/>
        <v>844.49258305402691</v>
      </c>
      <c r="Q172" s="43">
        <f t="shared" si="270"/>
        <v>700</v>
      </c>
      <c r="R172" s="43">
        <f t="shared" si="271"/>
        <v>144.49258305402691</v>
      </c>
      <c r="S172" s="43">
        <f t="shared" si="256"/>
        <v>7573.1766635920594</v>
      </c>
      <c r="T172" s="43">
        <f t="shared" si="272"/>
        <v>700</v>
      </c>
      <c r="U172" s="50">
        <f t="shared" si="273"/>
        <v>358.85435066740558</v>
      </c>
      <c r="V172" s="20">
        <f t="shared" si="252"/>
        <v>358.85435066740558</v>
      </c>
      <c r="W172" s="20">
        <f t="shared" si="253"/>
        <v>2190.8080016325125</v>
      </c>
      <c r="X172" s="19">
        <f t="shared" si="274"/>
        <v>1831.953650965107</v>
      </c>
      <c r="Y172" s="38">
        <f t="shared" si="254"/>
        <v>0.83620000000000005</v>
      </c>
      <c r="Z172" s="37">
        <f t="shared" si="257"/>
        <v>215917.9843412849</v>
      </c>
      <c r="AA172" s="44">
        <f t="shared" si="258"/>
        <v>0</v>
      </c>
      <c r="AC172" s="48">
        <f t="shared" si="259"/>
        <v>1831.953650965107</v>
      </c>
    </row>
    <row r="173" spans="1:29" x14ac:dyDescent="0.2">
      <c r="A173" s="14" t="str">
        <f t="shared" si="275"/>
        <v>Maio</v>
      </c>
      <c r="B173" s="14">
        <f t="shared" si="275"/>
        <v>31</v>
      </c>
      <c r="C173" s="15">
        <f t="shared" si="275"/>
        <v>2.98</v>
      </c>
      <c r="D173" s="15">
        <f t="shared" si="275"/>
        <v>3.3849167482859945</v>
      </c>
      <c r="E173" s="15">
        <f t="shared" si="275"/>
        <v>4.25</v>
      </c>
      <c r="F173" s="57">
        <f t="shared" si="275"/>
        <v>4.66</v>
      </c>
      <c r="G173" s="16">
        <f t="shared" si="266"/>
        <v>0.94266597064926205</v>
      </c>
      <c r="H173" s="15">
        <f t="shared" si="279"/>
        <v>2.5181701168189798</v>
      </c>
      <c r="I173" s="17">
        <f t="shared" si="218"/>
        <v>0.51264907238200796</v>
      </c>
      <c r="J173" s="14">
        <f t="shared" si="267"/>
        <v>149</v>
      </c>
      <c r="K173" s="25">
        <f t="shared" si="219"/>
        <v>13</v>
      </c>
      <c r="L173" s="18" t="str">
        <f t="shared" ref="L173" si="289">L161</f>
        <v>mai</v>
      </c>
      <c r="M173" s="43">
        <f t="shared" si="281"/>
        <v>1396</v>
      </c>
      <c r="N173" s="53">
        <f t="shared" si="250"/>
        <v>965.42231495713861</v>
      </c>
      <c r="O173" s="43">
        <f t="shared" si="251"/>
        <v>418.8</v>
      </c>
      <c r="P173" s="43">
        <f t="shared" si="269"/>
        <v>546.62231495713854</v>
      </c>
      <c r="Q173" s="43">
        <f t="shared" si="270"/>
        <v>977.2</v>
      </c>
      <c r="R173" s="43">
        <f t="shared" si="271"/>
        <v>-430.5776850428615</v>
      </c>
      <c r="S173" s="43">
        <f t="shared" si="256"/>
        <v>7142.5989785491984</v>
      </c>
      <c r="T173" s="43">
        <f t="shared" si="272"/>
        <v>977.2</v>
      </c>
      <c r="U173" s="50">
        <f t="shared" si="273"/>
        <v>500.96067353169821</v>
      </c>
      <c r="V173" s="20">
        <f t="shared" si="252"/>
        <v>500.96067353169821</v>
      </c>
      <c r="W173" s="20">
        <f t="shared" si="253"/>
        <v>3058.3679702789873</v>
      </c>
      <c r="X173" s="19">
        <f t="shared" si="274"/>
        <v>2557.4072967472889</v>
      </c>
      <c r="Y173" s="38">
        <f t="shared" si="254"/>
        <v>0.83619999999999994</v>
      </c>
      <c r="Z173" s="37">
        <f t="shared" si="257"/>
        <v>218475.39163803219</v>
      </c>
      <c r="AA173" s="44">
        <f t="shared" si="258"/>
        <v>0</v>
      </c>
      <c r="AC173" s="48">
        <f t="shared" si="259"/>
        <v>2557.4072967472889</v>
      </c>
    </row>
    <row r="174" spans="1:29" x14ac:dyDescent="0.2">
      <c r="A174" s="14" t="str">
        <f t="shared" si="275"/>
        <v>Junho</v>
      </c>
      <c r="B174" s="14">
        <f t="shared" si="275"/>
        <v>30</v>
      </c>
      <c r="C174" s="15">
        <f t="shared" si="275"/>
        <v>2.74</v>
      </c>
      <c r="D174" s="15">
        <f t="shared" si="275"/>
        <v>3.1945151811949071</v>
      </c>
      <c r="E174" s="15">
        <f t="shared" si="275"/>
        <v>3.92</v>
      </c>
      <c r="F174" s="57">
        <f t="shared" si="275"/>
        <v>4.47</v>
      </c>
      <c r="G174" s="16">
        <f t="shared" si="266"/>
        <v>0.94266597064926205</v>
      </c>
      <c r="H174" s="15">
        <f t="shared" si="279"/>
        <v>2.5181701168189798</v>
      </c>
      <c r="I174" s="17">
        <f t="shared" si="218"/>
        <v>0.51264907238200796</v>
      </c>
      <c r="J174" s="14">
        <f t="shared" si="267"/>
        <v>150</v>
      </c>
      <c r="K174" s="25">
        <f t="shared" si="219"/>
        <v>13</v>
      </c>
      <c r="L174" s="18" t="str">
        <f t="shared" ref="L174" si="290">L162</f>
        <v>jun</v>
      </c>
      <c r="M174" s="43">
        <f t="shared" si="281"/>
        <v>1428</v>
      </c>
      <c r="N174" s="53">
        <f t="shared" si="250"/>
        <v>881.7264287814188</v>
      </c>
      <c r="O174" s="43">
        <f t="shared" si="251"/>
        <v>428.4</v>
      </c>
      <c r="P174" s="43">
        <f t="shared" si="269"/>
        <v>453.32642878141883</v>
      </c>
      <c r="Q174" s="43">
        <f t="shared" si="270"/>
        <v>999.6</v>
      </c>
      <c r="R174" s="43">
        <f t="shared" si="271"/>
        <v>-546.2735712185812</v>
      </c>
      <c r="S174" s="43">
        <f t="shared" si="256"/>
        <v>6596.3254073306171</v>
      </c>
      <c r="T174" s="43">
        <f t="shared" si="272"/>
        <v>999.6</v>
      </c>
      <c r="U174" s="50">
        <f t="shared" si="273"/>
        <v>512.44401275305518</v>
      </c>
      <c r="V174" s="20">
        <f t="shared" si="252"/>
        <v>512.44401275305518</v>
      </c>
      <c r="W174" s="20">
        <f t="shared" si="253"/>
        <v>3128.4738263312274</v>
      </c>
      <c r="X174" s="19">
        <f t="shared" si="274"/>
        <v>2616.0298135781723</v>
      </c>
      <c r="Y174" s="38">
        <f t="shared" si="254"/>
        <v>0.83619999999999994</v>
      </c>
      <c r="Z174" s="37">
        <f t="shared" si="257"/>
        <v>221091.42145161037</v>
      </c>
      <c r="AA174" s="44">
        <f t="shared" si="258"/>
        <v>0</v>
      </c>
      <c r="AC174" s="48">
        <f t="shared" si="259"/>
        <v>2616.0298135781723</v>
      </c>
    </row>
    <row r="175" spans="1:29" x14ac:dyDescent="0.2">
      <c r="A175" s="14" t="str">
        <f t="shared" si="275"/>
        <v>Julho</v>
      </c>
      <c r="B175" s="14">
        <f t="shared" si="275"/>
        <v>31</v>
      </c>
      <c r="C175" s="15">
        <f t="shared" si="275"/>
        <v>2.91</v>
      </c>
      <c r="D175" s="15">
        <f t="shared" si="275"/>
        <v>3.4272282076395695</v>
      </c>
      <c r="E175" s="15">
        <f t="shared" si="275"/>
        <v>4.18</v>
      </c>
      <c r="F175" s="57">
        <f t="shared" si="275"/>
        <v>4.74</v>
      </c>
      <c r="G175" s="16">
        <f t="shared" si="266"/>
        <v>0.94266597064926205</v>
      </c>
      <c r="H175" s="15">
        <f t="shared" si="279"/>
        <v>2.5181701168189798</v>
      </c>
      <c r="I175" s="17">
        <f t="shared" si="218"/>
        <v>0.51264907238200796</v>
      </c>
      <c r="J175" s="14">
        <f t="shared" si="267"/>
        <v>151</v>
      </c>
      <c r="K175" s="25">
        <f t="shared" si="219"/>
        <v>13</v>
      </c>
      <c r="L175" s="18" t="str">
        <f t="shared" ref="L175" si="291">L163</f>
        <v>jul</v>
      </c>
      <c r="M175" s="43">
        <f t="shared" si="281"/>
        <v>1392</v>
      </c>
      <c r="N175" s="53">
        <f t="shared" si="250"/>
        <v>977.49009389410276</v>
      </c>
      <c r="O175" s="43">
        <f t="shared" si="251"/>
        <v>417.59999999999997</v>
      </c>
      <c r="P175" s="43">
        <f t="shared" si="269"/>
        <v>559.89009389410285</v>
      </c>
      <c r="Q175" s="43">
        <f t="shared" si="270"/>
        <v>974.40000000000009</v>
      </c>
      <c r="R175" s="43">
        <f t="shared" si="271"/>
        <v>-414.50990610589724</v>
      </c>
      <c r="S175" s="43">
        <f t="shared" si="256"/>
        <v>6181.8155012247198</v>
      </c>
      <c r="T175" s="43">
        <f t="shared" si="272"/>
        <v>974.40000000000009</v>
      </c>
      <c r="U175" s="50">
        <f t="shared" si="273"/>
        <v>499.52525612902861</v>
      </c>
      <c r="V175" s="20">
        <f t="shared" si="252"/>
        <v>499.52525612902861</v>
      </c>
      <c r="W175" s="20">
        <f t="shared" si="253"/>
        <v>3049.6047382724573</v>
      </c>
      <c r="X175" s="19">
        <f t="shared" si="274"/>
        <v>2550.0794821434288</v>
      </c>
      <c r="Y175" s="38">
        <f t="shared" si="254"/>
        <v>0.83619999999999994</v>
      </c>
      <c r="Z175" s="37">
        <f t="shared" si="257"/>
        <v>223641.50093375379</v>
      </c>
      <c r="AA175" s="44">
        <f t="shared" si="258"/>
        <v>0</v>
      </c>
      <c r="AC175" s="48">
        <f t="shared" si="259"/>
        <v>2550.0794821434288</v>
      </c>
    </row>
    <row r="176" spans="1:29" x14ac:dyDescent="0.2">
      <c r="A176" s="14" t="str">
        <f t="shared" si="275"/>
        <v>Agosto</v>
      </c>
      <c r="B176" s="14">
        <f t="shared" si="275"/>
        <v>31</v>
      </c>
      <c r="C176" s="15">
        <f t="shared" si="275"/>
        <v>3.45</v>
      </c>
      <c r="D176" s="15">
        <f t="shared" si="275"/>
        <v>4.1147894221351615</v>
      </c>
      <c r="E176" s="15">
        <f t="shared" si="275"/>
        <v>4.83</v>
      </c>
      <c r="F176" s="57">
        <f t="shared" si="275"/>
        <v>5.21</v>
      </c>
      <c r="G176" s="16">
        <f t="shared" si="266"/>
        <v>0.94266597064926205</v>
      </c>
      <c r="H176" s="15">
        <f t="shared" si="279"/>
        <v>2.5181701168189798</v>
      </c>
      <c r="I176" s="17">
        <f t="shared" si="218"/>
        <v>0.51264907238200796</v>
      </c>
      <c r="J176" s="14">
        <f t="shared" si="267"/>
        <v>152</v>
      </c>
      <c r="K176" s="25">
        <f t="shared" si="219"/>
        <v>13</v>
      </c>
      <c r="L176" s="18" t="str">
        <f t="shared" ref="L176" si="292">L164</f>
        <v>ago</v>
      </c>
      <c r="M176" s="43">
        <f t="shared" si="281"/>
        <v>1520</v>
      </c>
      <c r="N176" s="53">
        <f t="shared" si="250"/>
        <v>1173.5915016197716</v>
      </c>
      <c r="O176" s="43">
        <f t="shared" si="251"/>
        <v>456</v>
      </c>
      <c r="P176" s="43">
        <f t="shared" si="269"/>
        <v>717.59150161977163</v>
      </c>
      <c r="Q176" s="43">
        <f t="shared" si="270"/>
        <v>1064</v>
      </c>
      <c r="R176" s="43">
        <f t="shared" si="271"/>
        <v>-346.40849838022837</v>
      </c>
      <c r="S176" s="43">
        <f t="shared" si="256"/>
        <v>5835.4070028444912</v>
      </c>
      <c r="T176" s="43">
        <f t="shared" si="272"/>
        <v>1064</v>
      </c>
      <c r="U176" s="50">
        <f t="shared" si="273"/>
        <v>545.45861301445643</v>
      </c>
      <c r="V176" s="20">
        <f t="shared" si="252"/>
        <v>545.45861301445643</v>
      </c>
      <c r="W176" s="20">
        <f t="shared" si="253"/>
        <v>3330.0281624814193</v>
      </c>
      <c r="X176" s="19">
        <f t="shared" si="274"/>
        <v>2784.5695494669626</v>
      </c>
      <c r="Y176" s="38">
        <f t="shared" si="254"/>
        <v>0.83619999999999994</v>
      </c>
      <c r="Z176" s="37">
        <f t="shared" si="257"/>
        <v>226426.07048322074</v>
      </c>
      <c r="AA176" s="44">
        <f t="shared" si="258"/>
        <v>0</v>
      </c>
      <c r="AC176" s="48">
        <f t="shared" si="259"/>
        <v>2784.5695494669626</v>
      </c>
    </row>
    <row r="177" spans="1:29" x14ac:dyDescent="0.2">
      <c r="A177" s="14" t="str">
        <f t="shared" si="275"/>
        <v>Setembro</v>
      </c>
      <c r="B177" s="14">
        <f t="shared" si="275"/>
        <v>30</v>
      </c>
      <c r="C177" s="15">
        <f t="shared" si="275"/>
        <v>3.82</v>
      </c>
      <c r="D177" s="15">
        <f t="shared" si="275"/>
        <v>4.2417238001958868</v>
      </c>
      <c r="E177" s="15">
        <f t="shared" si="275"/>
        <v>5.12</v>
      </c>
      <c r="F177" s="57">
        <f t="shared" si="275"/>
        <v>5.1100000000000003</v>
      </c>
      <c r="G177" s="16">
        <f t="shared" si="266"/>
        <v>0.94266597064926205</v>
      </c>
      <c r="H177" s="15">
        <f t="shared" si="279"/>
        <v>2.5181701168189798</v>
      </c>
      <c r="I177" s="17">
        <f t="shared" si="218"/>
        <v>0.51264907238200796</v>
      </c>
      <c r="J177" s="14">
        <f t="shared" si="267"/>
        <v>153</v>
      </c>
      <c r="K177" s="25">
        <f t="shared" si="219"/>
        <v>13</v>
      </c>
      <c r="L177" s="18" t="str">
        <f t="shared" ref="L177" si="293">L165</f>
        <v>set</v>
      </c>
      <c r="M177" s="43">
        <f t="shared" si="281"/>
        <v>1400</v>
      </c>
      <c r="N177" s="53">
        <f t="shared" si="250"/>
        <v>1170.7691984812882</v>
      </c>
      <c r="O177" s="43">
        <f t="shared" si="251"/>
        <v>420</v>
      </c>
      <c r="P177" s="43">
        <f t="shared" si="269"/>
        <v>750.76919848128819</v>
      </c>
      <c r="Q177" s="43">
        <f t="shared" si="270"/>
        <v>980</v>
      </c>
      <c r="R177" s="43">
        <f t="shared" si="271"/>
        <v>-229.23080151871181</v>
      </c>
      <c r="S177" s="43">
        <f t="shared" si="256"/>
        <v>5606.1762013257794</v>
      </c>
      <c r="T177" s="43">
        <f t="shared" si="272"/>
        <v>980</v>
      </c>
      <c r="U177" s="50">
        <f t="shared" si="273"/>
        <v>502.39609093436781</v>
      </c>
      <c r="V177" s="20">
        <f t="shared" si="252"/>
        <v>502.39609093436781</v>
      </c>
      <c r="W177" s="20">
        <f t="shared" si="253"/>
        <v>3067.1312022855172</v>
      </c>
      <c r="X177" s="19">
        <f t="shared" si="274"/>
        <v>2564.7351113511495</v>
      </c>
      <c r="Y177" s="38">
        <f t="shared" si="254"/>
        <v>0.83619999999999994</v>
      </c>
      <c r="Z177" s="37">
        <f t="shared" si="257"/>
        <v>228990.8055945719</v>
      </c>
      <c r="AA177" s="44">
        <f t="shared" si="258"/>
        <v>0</v>
      </c>
      <c r="AC177" s="48">
        <f t="shared" si="259"/>
        <v>2564.7351113511495</v>
      </c>
    </row>
    <row r="178" spans="1:29" x14ac:dyDescent="0.2">
      <c r="A178" s="14" t="str">
        <f t="shared" ref="A178:F193" si="294">A166</f>
        <v>Outubro</v>
      </c>
      <c r="B178" s="14">
        <f t="shared" si="294"/>
        <v>31</v>
      </c>
      <c r="C178" s="15">
        <f t="shared" si="294"/>
        <v>4.33</v>
      </c>
      <c r="D178" s="15">
        <f t="shared" si="294"/>
        <v>4.8763956904995114</v>
      </c>
      <c r="E178" s="15">
        <f t="shared" si="294"/>
        <v>5.57</v>
      </c>
      <c r="F178" s="57">
        <f t="shared" si="294"/>
        <v>5.17</v>
      </c>
      <c r="G178" s="16">
        <f t="shared" si="266"/>
        <v>0.94266597064926205</v>
      </c>
      <c r="H178" s="15">
        <f t="shared" si="279"/>
        <v>2.5181701168189798</v>
      </c>
      <c r="I178" s="17">
        <f t="shared" si="218"/>
        <v>0.51264907238200796</v>
      </c>
      <c r="J178" s="14">
        <f t="shared" si="267"/>
        <v>154</v>
      </c>
      <c r="K178" s="25">
        <f t="shared" si="219"/>
        <v>13</v>
      </c>
      <c r="L178" s="18" t="str">
        <f t="shared" ref="L178" si="295">L166</f>
        <v>out</v>
      </c>
      <c r="M178" s="43">
        <f t="shared" si="281"/>
        <v>1340</v>
      </c>
      <c r="N178" s="53">
        <f t="shared" si="250"/>
        <v>1390.8115224851276</v>
      </c>
      <c r="O178" s="43">
        <f t="shared" si="251"/>
        <v>402</v>
      </c>
      <c r="P178" s="43">
        <f t="shared" si="269"/>
        <v>988.81152248512763</v>
      </c>
      <c r="Q178" s="43">
        <f t="shared" si="270"/>
        <v>938</v>
      </c>
      <c r="R178" s="43">
        <f t="shared" si="271"/>
        <v>50.811522485127625</v>
      </c>
      <c r="S178" s="43">
        <f t="shared" si="256"/>
        <v>5656.9877238109075</v>
      </c>
      <c r="T178" s="43">
        <f t="shared" si="272"/>
        <v>938</v>
      </c>
      <c r="U178" s="50">
        <f t="shared" si="273"/>
        <v>480.86482989432346</v>
      </c>
      <c r="V178" s="20">
        <f t="shared" si="252"/>
        <v>480.86482989432346</v>
      </c>
      <c r="W178" s="20">
        <f t="shared" si="253"/>
        <v>2935.6827221875665</v>
      </c>
      <c r="X178" s="19">
        <f t="shared" si="274"/>
        <v>2454.8178922932429</v>
      </c>
      <c r="Y178" s="38">
        <f t="shared" si="254"/>
        <v>0.83619999999999994</v>
      </c>
      <c r="Z178" s="37">
        <f t="shared" si="257"/>
        <v>231445.62348686514</v>
      </c>
      <c r="AA178" s="44">
        <f t="shared" si="258"/>
        <v>0</v>
      </c>
      <c r="AC178" s="48">
        <f t="shared" si="259"/>
        <v>2454.8178922932429</v>
      </c>
    </row>
    <row r="179" spans="1:29" x14ac:dyDescent="0.2">
      <c r="A179" s="14" t="str">
        <f t="shared" si="294"/>
        <v>Novembro</v>
      </c>
      <c r="B179" s="14">
        <f t="shared" si="294"/>
        <v>30</v>
      </c>
      <c r="C179" s="15">
        <f t="shared" si="294"/>
        <v>4.68</v>
      </c>
      <c r="D179" s="15">
        <f t="shared" si="294"/>
        <v>5.5745347698334964</v>
      </c>
      <c r="E179" s="15">
        <f t="shared" si="294"/>
        <v>5.89</v>
      </c>
      <c r="F179" s="57">
        <f t="shared" si="294"/>
        <v>5.23</v>
      </c>
      <c r="G179" s="16">
        <f t="shared" si="266"/>
        <v>0.94266597064926205</v>
      </c>
      <c r="H179" s="15">
        <f t="shared" si="279"/>
        <v>2.5181701168189798</v>
      </c>
      <c r="I179" s="17">
        <f t="shared" si="218"/>
        <v>0.51264907238200796</v>
      </c>
      <c r="J179" s="14">
        <f t="shared" si="267"/>
        <v>155</v>
      </c>
      <c r="K179" s="25">
        <f t="shared" si="219"/>
        <v>13</v>
      </c>
      <c r="L179" s="18" t="str">
        <f t="shared" ref="L179" si="296">L167</f>
        <v>nov</v>
      </c>
      <c r="M179" s="43">
        <f t="shared" si="281"/>
        <v>1288</v>
      </c>
      <c r="N179" s="53">
        <f t="shared" si="250"/>
        <v>1538.6418144629395</v>
      </c>
      <c r="O179" s="43">
        <f t="shared" si="251"/>
        <v>386.4</v>
      </c>
      <c r="P179" s="43">
        <f t="shared" si="269"/>
        <v>1152.2418144629396</v>
      </c>
      <c r="Q179" s="43">
        <f t="shared" si="270"/>
        <v>901.6</v>
      </c>
      <c r="R179" s="43">
        <f t="shared" si="271"/>
        <v>250.64181446293958</v>
      </c>
      <c r="S179" s="43">
        <f t="shared" si="256"/>
        <v>5907.6295382738472</v>
      </c>
      <c r="T179" s="43">
        <f t="shared" si="272"/>
        <v>901.6</v>
      </c>
      <c r="U179" s="50">
        <f t="shared" si="273"/>
        <v>462.20440365961838</v>
      </c>
      <c r="V179" s="20">
        <f t="shared" si="252"/>
        <v>462.20440365961838</v>
      </c>
      <c r="W179" s="20">
        <f t="shared" si="253"/>
        <v>2821.7607061026761</v>
      </c>
      <c r="X179" s="19">
        <f t="shared" si="274"/>
        <v>2359.5563024430576</v>
      </c>
      <c r="Y179" s="38">
        <f t="shared" si="254"/>
        <v>0.83619999999999994</v>
      </c>
      <c r="Z179" s="37">
        <f t="shared" si="257"/>
        <v>233805.1797893082</v>
      </c>
      <c r="AA179" s="44">
        <f t="shared" si="258"/>
        <v>0</v>
      </c>
      <c r="AC179" s="48">
        <f t="shared" si="259"/>
        <v>2359.5563024430576</v>
      </c>
    </row>
    <row r="180" spans="1:29" x14ac:dyDescent="0.2">
      <c r="A180" s="14" t="str">
        <f t="shared" si="294"/>
        <v>Dezembro</v>
      </c>
      <c r="B180" s="14">
        <f t="shared" si="294"/>
        <v>31</v>
      </c>
      <c r="C180" s="15">
        <f t="shared" si="294"/>
        <v>4.8499999999999996</v>
      </c>
      <c r="D180" s="15">
        <f t="shared" si="294"/>
        <v>5.6062683643486775</v>
      </c>
      <c r="E180" s="15">
        <f t="shared" si="294"/>
        <v>6.05</v>
      </c>
      <c r="F180" s="57">
        <f t="shared" si="294"/>
        <v>5.29</v>
      </c>
      <c r="G180" s="16">
        <f t="shared" si="266"/>
        <v>0.94266597064926205</v>
      </c>
      <c r="H180" s="15">
        <f t="shared" si="279"/>
        <v>2.5181701168189798</v>
      </c>
      <c r="I180" s="17">
        <f t="shared" si="218"/>
        <v>0.51264907238200796</v>
      </c>
      <c r="J180" s="14">
        <f t="shared" si="267"/>
        <v>156</v>
      </c>
      <c r="K180" s="25">
        <f t="shared" si="219"/>
        <v>13</v>
      </c>
      <c r="L180" s="18" t="str">
        <f t="shared" ref="L180" si="297">L168</f>
        <v>dez</v>
      </c>
      <c r="M180" s="43">
        <f t="shared" si="281"/>
        <v>1140</v>
      </c>
      <c r="N180" s="53">
        <f t="shared" si="250"/>
        <v>1598.9807091477605</v>
      </c>
      <c r="O180" s="43">
        <f t="shared" si="251"/>
        <v>342</v>
      </c>
      <c r="P180" s="43">
        <f t="shared" si="269"/>
        <v>1256.9807091477605</v>
      </c>
      <c r="Q180" s="43">
        <f t="shared" si="270"/>
        <v>798</v>
      </c>
      <c r="R180" s="43">
        <f t="shared" si="271"/>
        <v>458.98070914776054</v>
      </c>
      <c r="S180" s="43">
        <f t="shared" si="256"/>
        <v>6366.6102474216077</v>
      </c>
      <c r="T180" s="43">
        <f t="shared" si="272"/>
        <v>798</v>
      </c>
      <c r="U180" s="50">
        <f t="shared" si="273"/>
        <v>409.09395976084238</v>
      </c>
      <c r="V180" s="20">
        <f t="shared" si="252"/>
        <v>409.09395976084238</v>
      </c>
      <c r="W180" s="20">
        <f t="shared" si="253"/>
        <v>2497.5211218610639</v>
      </c>
      <c r="X180" s="19">
        <f t="shared" si="274"/>
        <v>2088.4271621002217</v>
      </c>
      <c r="Y180" s="38">
        <f t="shared" si="254"/>
        <v>0.83620000000000005</v>
      </c>
      <c r="Z180" s="37">
        <f t="shared" si="257"/>
        <v>235893.60695140841</v>
      </c>
      <c r="AA180" s="44">
        <f t="shared" si="258"/>
        <v>0</v>
      </c>
      <c r="AC180" s="48">
        <f t="shared" si="259"/>
        <v>2088.4271621002217</v>
      </c>
    </row>
    <row r="181" spans="1:29" x14ac:dyDescent="0.2">
      <c r="A181" s="14" t="str">
        <f t="shared" si="294"/>
        <v>Janeiro</v>
      </c>
      <c r="B181" s="14">
        <f t="shared" si="294"/>
        <v>30</v>
      </c>
      <c r="C181" s="15">
        <f t="shared" si="294"/>
        <v>4.87</v>
      </c>
      <c r="D181" s="15">
        <f t="shared" si="294"/>
        <v>5.4581782566111663</v>
      </c>
      <c r="E181" s="15">
        <f t="shared" si="294"/>
        <v>6.01</v>
      </c>
      <c r="F181" s="57">
        <f t="shared" si="294"/>
        <v>5.31</v>
      </c>
      <c r="G181" s="16">
        <f t="shared" si="266"/>
        <v>0.93847676307569672</v>
      </c>
      <c r="H181" s="15">
        <f t="shared" si="279"/>
        <v>2.7196237261644982</v>
      </c>
      <c r="I181" s="17">
        <f t="shared" si="218"/>
        <v>0.55366099817256853</v>
      </c>
      <c r="J181" s="14">
        <f t="shared" si="267"/>
        <v>157</v>
      </c>
      <c r="K181" s="25">
        <f t="shared" si="219"/>
        <v>14</v>
      </c>
      <c r="L181" s="18" t="str">
        <f t="shared" ref="L181" si="298">L169</f>
        <v>jan</v>
      </c>
      <c r="M181" s="43">
        <f t="shared" si="281"/>
        <v>836</v>
      </c>
      <c r="N181" s="53">
        <f t="shared" si="250"/>
        <v>1499.8309498359858</v>
      </c>
      <c r="O181" s="43">
        <f t="shared" si="251"/>
        <v>250.79999999999998</v>
      </c>
      <c r="P181" s="43">
        <f t="shared" si="269"/>
        <v>1249.0309498359859</v>
      </c>
      <c r="Q181" s="43">
        <f t="shared" si="270"/>
        <v>585.20000000000005</v>
      </c>
      <c r="R181" s="43">
        <f t="shared" si="271"/>
        <v>663.83094983598585</v>
      </c>
      <c r="S181" s="43">
        <f t="shared" si="256"/>
        <v>7030.4411972575936</v>
      </c>
      <c r="T181" s="43">
        <f t="shared" si="272"/>
        <v>585.20000000000005</v>
      </c>
      <c r="U181" s="50">
        <f t="shared" si="273"/>
        <v>324.00241613058711</v>
      </c>
      <c r="V181" s="20">
        <f t="shared" si="252"/>
        <v>324.00241613058711</v>
      </c>
      <c r="W181" s="20">
        <f t="shared" si="253"/>
        <v>1978.036728513963</v>
      </c>
      <c r="X181" s="19">
        <f t="shared" si="274"/>
        <v>1654.0343123833759</v>
      </c>
      <c r="Y181" s="38">
        <f t="shared" si="254"/>
        <v>0.83620000000000005</v>
      </c>
      <c r="Z181" s="37">
        <f t="shared" si="257"/>
        <v>237547.6412637918</v>
      </c>
      <c r="AA181" s="44">
        <f t="shared" si="258"/>
        <v>0</v>
      </c>
      <c r="AC181" s="48">
        <f t="shared" si="259"/>
        <v>1654.0343123833759</v>
      </c>
    </row>
    <row r="182" spans="1:29" x14ac:dyDescent="0.2">
      <c r="A182" s="14" t="str">
        <f t="shared" si="294"/>
        <v>Fevereiro</v>
      </c>
      <c r="B182" s="14">
        <f t="shared" si="294"/>
        <v>28</v>
      </c>
      <c r="C182" s="15">
        <f t="shared" si="294"/>
        <v>4.75</v>
      </c>
      <c r="D182" s="15">
        <f t="shared" si="294"/>
        <v>5.2254652301665043</v>
      </c>
      <c r="E182" s="15">
        <f t="shared" si="294"/>
        <v>5.82</v>
      </c>
      <c r="F182" s="57">
        <f t="shared" si="294"/>
        <v>5.28</v>
      </c>
      <c r="G182" s="16">
        <f t="shared" si="266"/>
        <v>0.93847676307569672</v>
      </c>
      <c r="H182" s="15">
        <f t="shared" si="279"/>
        <v>2.7196237261644982</v>
      </c>
      <c r="I182" s="17">
        <f t="shared" si="218"/>
        <v>0.55366099817256853</v>
      </c>
      <c r="J182" s="14">
        <f t="shared" si="267"/>
        <v>158</v>
      </c>
      <c r="K182" s="25">
        <f t="shared" si="219"/>
        <v>14</v>
      </c>
      <c r="L182" s="18" t="str">
        <f t="shared" ref="L182" si="299">L170</f>
        <v>fev</v>
      </c>
      <c r="M182" s="43">
        <f t="shared" si="281"/>
        <v>1088</v>
      </c>
      <c r="N182" s="53">
        <f t="shared" si="250"/>
        <v>1340.1590244270903</v>
      </c>
      <c r="O182" s="43">
        <f t="shared" si="251"/>
        <v>326.39999999999998</v>
      </c>
      <c r="P182" s="43">
        <f t="shared" si="269"/>
        <v>1013.7590244270904</v>
      </c>
      <c r="Q182" s="43">
        <f t="shared" si="270"/>
        <v>761.6</v>
      </c>
      <c r="R182" s="43">
        <f t="shared" si="271"/>
        <v>252.15902442709034</v>
      </c>
      <c r="S182" s="43">
        <f t="shared" si="256"/>
        <v>7282.6002216846837</v>
      </c>
      <c r="T182" s="43">
        <f t="shared" si="272"/>
        <v>761.6</v>
      </c>
      <c r="U182" s="50">
        <f t="shared" si="273"/>
        <v>421.66821620822822</v>
      </c>
      <c r="V182" s="20">
        <f t="shared" si="252"/>
        <v>421.66821620822822</v>
      </c>
      <c r="W182" s="20">
        <f t="shared" si="253"/>
        <v>2574.2870342382671</v>
      </c>
      <c r="X182" s="19">
        <f t="shared" si="274"/>
        <v>2152.6188180300387</v>
      </c>
      <c r="Y182" s="38">
        <f t="shared" si="254"/>
        <v>0.83619999999999994</v>
      </c>
      <c r="Z182" s="37">
        <f t="shared" si="257"/>
        <v>239700.26008182185</v>
      </c>
      <c r="AA182" s="44">
        <f t="shared" si="258"/>
        <v>0</v>
      </c>
      <c r="AC182" s="48">
        <f t="shared" si="259"/>
        <v>2152.6188180300387</v>
      </c>
    </row>
    <row r="183" spans="1:29" x14ac:dyDescent="0.2">
      <c r="A183" s="14" t="str">
        <f t="shared" si="294"/>
        <v>Março</v>
      </c>
      <c r="B183" s="14">
        <f t="shared" si="294"/>
        <v>31</v>
      </c>
      <c r="C183" s="15">
        <f t="shared" si="294"/>
        <v>4.21</v>
      </c>
      <c r="D183" s="15">
        <f t="shared" si="294"/>
        <v>4.7494613124387861</v>
      </c>
      <c r="E183" s="15">
        <f t="shared" si="294"/>
        <v>5.43</v>
      </c>
      <c r="F183" s="57">
        <f t="shared" si="294"/>
        <v>5.14</v>
      </c>
      <c r="G183" s="16">
        <f t="shared" si="266"/>
        <v>0.93847676307569672</v>
      </c>
      <c r="H183" s="15">
        <f t="shared" si="279"/>
        <v>2.7196237261644982</v>
      </c>
      <c r="I183" s="17">
        <f t="shared" si="218"/>
        <v>0.55366099817256853</v>
      </c>
      <c r="J183" s="14">
        <f t="shared" si="267"/>
        <v>159</v>
      </c>
      <c r="K183" s="25">
        <f t="shared" si="219"/>
        <v>14</v>
      </c>
      <c r="L183" s="18" t="str">
        <f t="shared" ref="L183" si="300">L171</f>
        <v>mar</v>
      </c>
      <c r="M183" s="43">
        <f t="shared" si="281"/>
        <v>1152</v>
      </c>
      <c r="N183" s="53">
        <f t="shared" si="250"/>
        <v>1348.5883068970986</v>
      </c>
      <c r="O183" s="43">
        <f t="shared" si="251"/>
        <v>345.59999999999997</v>
      </c>
      <c r="P183" s="43">
        <f t="shared" si="269"/>
        <v>1002.9883068970987</v>
      </c>
      <c r="Q183" s="43">
        <f t="shared" si="270"/>
        <v>806.40000000000009</v>
      </c>
      <c r="R183" s="43">
        <f t="shared" si="271"/>
        <v>196.58830689709862</v>
      </c>
      <c r="S183" s="43">
        <f t="shared" si="256"/>
        <v>7479.1885285817825</v>
      </c>
      <c r="T183" s="43">
        <f t="shared" si="272"/>
        <v>806.40000000000009</v>
      </c>
      <c r="U183" s="50">
        <f t="shared" si="273"/>
        <v>446.47222892635932</v>
      </c>
      <c r="V183" s="20">
        <f t="shared" si="252"/>
        <v>446.47222892635932</v>
      </c>
      <c r="W183" s="20">
        <f t="shared" si="253"/>
        <v>2725.7156833111067</v>
      </c>
      <c r="X183" s="19">
        <f t="shared" si="274"/>
        <v>2279.2434543847476</v>
      </c>
      <c r="Y183" s="38">
        <f t="shared" si="254"/>
        <v>0.83620000000000005</v>
      </c>
      <c r="Z183" s="37">
        <f t="shared" si="257"/>
        <v>241979.50353620658</v>
      </c>
      <c r="AA183" s="44">
        <f t="shared" si="258"/>
        <v>0</v>
      </c>
      <c r="AC183" s="48">
        <f t="shared" si="259"/>
        <v>2279.2434543847476</v>
      </c>
    </row>
    <row r="184" spans="1:29" x14ac:dyDescent="0.2">
      <c r="A184" s="14" t="str">
        <f t="shared" si="294"/>
        <v>Abril</v>
      </c>
      <c r="B184" s="14">
        <f t="shared" si="294"/>
        <v>30</v>
      </c>
      <c r="C184" s="15">
        <f t="shared" si="294"/>
        <v>3.59</v>
      </c>
      <c r="D184" s="15">
        <f t="shared" si="294"/>
        <v>4.1465230166503426</v>
      </c>
      <c r="E184" s="15">
        <f t="shared" si="294"/>
        <v>4.91</v>
      </c>
      <c r="F184" s="57">
        <f t="shared" si="294"/>
        <v>4.97</v>
      </c>
      <c r="G184" s="16">
        <f t="shared" si="266"/>
        <v>0.93847676307569672</v>
      </c>
      <c r="H184" s="15">
        <f t="shared" si="279"/>
        <v>2.7196237261644982</v>
      </c>
      <c r="I184" s="17">
        <f t="shared" si="218"/>
        <v>0.55366099817256853</v>
      </c>
      <c r="J184" s="14">
        <f t="shared" si="267"/>
        <v>160</v>
      </c>
      <c r="K184" s="25">
        <f t="shared" si="219"/>
        <v>14</v>
      </c>
      <c r="L184" s="18" t="str">
        <f t="shared" ref="L184" si="301">L172</f>
        <v>abr</v>
      </c>
      <c r="M184" s="43">
        <f t="shared" si="281"/>
        <v>1000</v>
      </c>
      <c r="N184" s="53">
        <f t="shared" si="250"/>
        <v>1139.4064580149347</v>
      </c>
      <c r="O184" s="43">
        <f t="shared" si="251"/>
        <v>300</v>
      </c>
      <c r="P184" s="43">
        <f t="shared" si="269"/>
        <v>839.40645801493474</v>
      </c>
      <c r="Q184" s="43">
        <f t="shared" si="270"/>
        <v>700</v>
      </c>
      <c r="R184" s="43">
        <f t="shared" si="271"/>
        <v>139.40645801493474</v>
      </c>
      <c r="S184" s="43">
        <f t="shared" si="256"/>
        <v>7618.5949865967177</v>
      </c>
      <c r="T184" s="43">
        <f t="shared" si="272"/>
        <v>700</v>
      </c>
      <c r="U184" s="50">
        <f t="shared" si="273"/>
        <v>387.56269872079798</v>
      </c>
      <c r="V184" s="20">
        <f t="shared" si="252"/>
        <v>387.56269872079798</v>
      </c>
      <c r="W184" s="20">
        <f t="shared" si="253"/>
        <v>2366.0726417631136</v>
      </c>
      <c r="X184" s="19">
        <f t="shared" si="274"/>
        <v>1978.5099430423156</v>
      </c>
      <c r="Y184" s="38">
        <f t="shared" si="254"/>
        <v>0.83620000000000005</v>
      </c>
      <c r="Z184" s="37">
        <f t="shared" si="257"/>
        <v>243958.01347924891</v>
      </c>
      <c r="AA184" s="44">
        <f t="shared" si="258"/>
        <v>0</v>
      </c>
      <c r="AC184" s="48">
        <f t="shared" si="259"/>
        <v>1978.5099430423156</v>
      </c>
    </row>
    <row r="185" spans="1:29" x14ac:dyDescent="0.2">
      <c r="A185" s="14" t="str">
        <f t="shared" si="294"/>
        <v>Maio</v>
      </c>
      <c r="B185" s="14">
        <f t="shared" si="294"/>
        <v>31</v>
      </c>
      <c r="C185" s="15">
        <f t="shared" si="294"/>
        <v>2.98</v>
      </c>
      <c r="D185" s="15">
        <f t="shared" si="294"/>
        <v>3.3849167482859945</v>
      </c>
      <c r="E185" s="15">
        <f t="shared" si="294"/>
        <v>4.25</v>
      </c>
      <c r="F185" s="57">
        <f t="shared" si="294"/>
        <v>4.66</v>
      </c>
      <c r="G185" s="16">
        <f t="shared" si="266"/>
        <v>0.93847676307569672</v>
      </c>
      <c r="H185" s="15">
        <f t="shared" si="279"/>
        <v>2.7196237261644982</v>
      </c>
      <c r="I185" s="17">
        <f t="shared" si="218"/>
        <v>0.55366099817256853</v>
      </c>
      <c r="J185" s="14">
        <f t="shared" si="267"/>
        <v>161</v>
      </c>
      <c r="K185" s="25">
        <f t="shared" si="219"/>
        <v>14</v>
      </c>
      <c r="L185" s="18" t="str">
        <f t="shared" ref="L185" si="302">L173</f>
        <v>mai</v>
      </c>
      <c r="M185" s="43">
        <f t="shared" si="281"/>
        <v>1396</v>
      </c>
      <c r="N185" s="53">
        <f t="shared" si="250"/>
        <v>961.13197818946901</v>
      </c>
      <c r="O185" s="43">
        <f t="shared" si="251"/>
        <v>418.8</v>
      </c>
      <c r="P185" s="43">
        <f t="shared" si="269"/>
        <v>542.33197818946905</v>
      </c>
      <c r="Q185" s="43">
        <f t="shared" si="270"/>
        <v>977.2</v>
      </c>
      <c r="R185" s="43">
        <f t="shared" si="271"/>
        <v>-434.86802181053099</v>
      </c>
      <c r="S185" s="43">
        <f t="shared" si="256"/>
        <v>7183.7269647861867</v>
      </c>
      <c r="T185" s="43">
        <f t="shared" si="272"/>
        <v>977.2</v>
      </c>
      <c r="U185" s="50">
        <f t="shared" si="273"/>
        <v>541.03752741423398</v>
      </c>
      <c r="V185" s="20">
        <f t="shared" si="252"/>
        <v>541.03752741423398</v>
      </c>
      <c r="W185" s="20">
        <f t="shared" si="253"/>
        <v>3303.0374079013063</v>
      </c>
      <c r="X185" s="19">
        <f t="shared" si="274"/>
        <v>2761.9998804870725</v>
      </c>
      <c r="Y185" s="38">
        <f t="shared" si="254"/>
        <v>0.83620000000000005</v>
      </c>
      <c r="Z185" s="37">
        <f t="shared" si="257"/>
        <v>246720.01335973598</v>
      </c>
      <c r="AA185" s="44">
        <f t="shared" si="258"/>
        <v>0</v>
      </c>
      <c r="AC185" s="48">
        <f t="shared" si="259"/>
        <v>2761.9998804870725</v>
      </c>
    </row>
    <row r="186" spans="1:29" x14ac:dyDescent="0.2">
      <c r="A186" s="14" t="str">
        <f t="shared" si="294"/>
        <v>Junho</v>
      </c>
      <c r="B186" s="14">
        <f t="shared" si="294"/>
        <v>30</v>
      </c>
      <c r="C186" s="15">
        <f t="shared" si="294"/>
        <v>2.74</v>
      </c>
      <c r="D186" s="15">
        <f t="shared" si="294"/>
        <v>3.1945151811949071</v>
      </c>
      <c r="E186" s="15">
        <f t="shared" si="294"/>
        <v>3.92</v>
      </c>
      <c r="F186" s="57">
        <f t="shared" si="294"/>
        <v>4.47</v>
      </c>
      <c r="G186" s="16">
        <f t="shared" si="266"/>
        <v>0.93847676307569672</v>
      </c>
      <c r="H186" s="15">
        <f t="shared" si="279"/>
        <v>2.7196237261644982</v>
      </c>
      <c r="I186" s="17">
        <f t="shared" si="218"/>
        <v>0.55366099817256853</v>
      </c>
      <c r="J186" s="14">
        <f t="shared" si="267"/>
        <v>162</v>
      </c>
      <c r="K186" s="25">
        <f t="shared" si="219"/>
        <v>14</v>
      </c>
      <c r="L186" s="18" t="str">
        <f t="shared" ref="L186" si="303">L174</f>
        <v>jun</v>
      </c>
      <c r="M186" s="43">
        <f t="shared" si="281"/>
        <v>1428</v>
      </c>
      <c r="N186" s="53">
        <f t="shared" si="250"/>
        <v>877.80803653191413</v>
      </c>
      <c r="O186" s="43">
        <f t="shared" si="251"/>
        <v>428.4</v>
      </c>
      <c r="P186" s="43">
        <f t="shared" si="269"/>
        <v>449.40803653191415</v>
      </c>
      <c r="Q186" s="43">
        <f t="shared" si="270"/>
        <v>999.6</v>
      </c>
      <c r="R186" s="43">
        <f t="shared" si="271"/>
        <v>-550.19196346808587</v>
      </c>
      <c r="S186" s="43">
        <f t="shared" si="256"/>
        <v>6633.5350013181005</v>
      </c>
      <c r="T186" s="43">
        <f t="shared" si="272"/>
        <v>999.6</v>
      </c>
      <c r="U186" s="50">
        <f t="shared" si="273"/>
        <v>553.43953377329956</v>
      </c>
      <c r="V186" s="20">
        <f t="shared" si="252"/>
        <v>553.43953377329956</v>
      </c>
      <c r="W186" s="20">
        <f t="shared" si="253"/>
        <v>3378.7517324377259</v>
      </c>
      <c r="X186" s="19">
        <f t="shared" si="274"/>
        <v>2825.3121986644264</v>
      </c>
      <c r="Y186" s="38">
        <f t="shared" si="254"/>
        <v>0.83620000000000005</v>
      </c>
      <c r="Z186" s="37">
        <f t="shared" si="257"/>
        <v>249545.32555840042</v>
      </c>
      <c r="AA186" s="44">
        <f t="shared" si="258"/>
        <v>0</v>
      </c>
      <c r="AC186" s="48">
        <f t="shared" si="259"/>
        <v>2825.3121986644264</v>
      </c>
    </row>
    <row r="187" spans="1:29" x14ac:dyDescent="0.2">
      <c r="A187" s="14" t="str">
        <f t="shared" si="294"/>
        <v>Julho</v>
      </c>
      <c r="B187" s="14">
        <f t="shared" si="294"/>
        <v>31</v>
      </c>
      <c r="C187" s="15">
        <f t="shared" si="294"/>
        <v>2.91</v>
      </c>
      <c r="D187" s="15">
        <f t="shared" si="294"/>
        <v>3.4272282076395695</v>
      </c>
      <c r="E187" s="15">
        <f t="shared" si="294"/>
        <v>4.18</v>
      </c>
      <c r="F187" s="57">
        <f t="shared" si="294"/>
        <v>4.74</v>
      </c>
      <c r="G187" s="16">
        <f t="shared" si="266"/>
        <v>0.93847676307569672</v>
      </c>
      <c r="H187" s="15">
        <f t="shared" si="279"/>
        <v>2.7196237261644982</v>
      </c>
      <c r="I187" s="17">
        <f t="shared" si="218"/>
        <v>0.55366099817256853</v>
      </c>
      <c r="J187" s="14">
        <f t="shared" si="267"/>
        <v>163</v>
      </c>
      <c r="K187" s="25">
        <f t="shared" si="219"/>
        <v>14</v>
      </c>
      <c r="L187" s="18" t="str">
        <f t="shared" ref="L187" si="304">L175</f>
        <v>jul</v>
      </c>
      <c r="M187" s="43">
        <f t="shared" si="281"/>
        <v>1392</v>
      </c>
      <c r="N187" s="53">
        <f t="shared" si="250"/>
        <v>973.14612791683737</v>
      </c>
      <c r="O187" s="43">
        <f t="shared" si="251"/>
        <v>417.59999999999997</v>
      </c>
      <c r="P187" s="43">
        <f t="shared" si="269"/>
        <v>555.54612791683735</v>
      </c>
      <c r="Q187" s="43">
        <f t="shared" si="270"/>
        <v>974.40000000000009</v>
      </c>
      <c r="R187" s="43">
        <f t="shared" si="271"/>
        <v>-418.85387208316274</v>
      </c>
      <c r="S187" s="43">
        <f t="shared" si="256"/>
        <v>6214.6811292349375</v>
      </c>
      <c r="T187" s="43">
        <f t="shared" si="272"/>
        <v>974.40000000000009</v>
      </c>
      <c r="U187" s="50">
        <f t="shared" si="273"/>
        <v>539.48727661935084</v>
      </c>
      <c r="V187" s="20">
        <f t="shared" si="252"/>
        <v>539.48727661935084</v>
      </c>
      <c r="W187" s="20">
        <f t="shared" si="253"/>
        <v>3293.5731173342538</v>
      </c>
      <c r="X187" s="19">
        <f t="shared" si="274"/>
        <v>2754.085840714903</v>
      </c>
      <c r="Y187" s="38">
        <f t="shared" si="254"/>
        <v>0.83620000000000005</v>
      </c>
      <c r="Z187" s="37">
        <f t="shared" si="257"/>
        <v>252299.41139911531</v>
      </c>
      <c r="AA187" s="44">
        <f t="shared" si="258"/>
        <v>0</v>
      </c>
      <c r="AC187" s="48">
        <f t="shared" si="259"/>
        <v>2754.085840714903</v>
      </c>
    </row>
    <row r="188" spans="1:29" x14ac:dyDescent="0.2">
      <c r="A188" s="14" t="str">
        <f t="shared" si="294"/>
        <v>Agosto</v>
      </c>
      <c r="B188" s="14">
        <f t="shared" si="294"/>
        <v>31</v>
      </c>
      <c r="C188" s="15">
        <f t="shared" si="294"/>
        <v>3.45</v>
      </c>
      <c r="D188" s="15">
        <f t="shared" si="294"/>
        <v>4.1147894221351615</v>
      </c>
      <c r="E188" s="15">
        <f t="shared" si="294"/>
        <v>4.83</v>
      </c>
      <c r="F188" s="57">
        <f t="shared" si="294"/>
        <v>5.21</v>
      </c>
      <c r="G188" s="16">
        <f t="shared" si="266"/>
        <v>0.93847676307569672</v>
      </c>
      <c r="H188" s="15">
        <f t="shared" si="279"/>
        <v>2.7196237261644982</v>
      </c>
      <c r="I188" s="17">
        <f t="shared" si="218"/>
        <v>0.55366099817256853</v>
      </c>
      <c r="J188" s="14">
        <f t="shared" si="267"/>
        <v>164</v>
      </c>
      <c r="K188" s="25">
        <f t="shared" si="219"/>
        <v>14</v>
      </c>
      <c r="L188" s="18" t="str">
        <f t="shared" ref="L188" si="305">L176</f>
        <v>ago</v>
      </c>
      <c r="M188" s="43">
        <f t="shared" si="281"/>
        <v>1520</v>
      </c>
      <c r="N188" s="53">
        <f t="shared" si="250"/>
        <v>1168.3760609865733</v>
      </c>
      <c r="O188" s="43">
        <f t="shared" si="251"/>
        <v>456</v>
      </c>
      <c r="P188" s="43">
        <f t="shared" si="269"/>
        <v>712.37606098657329</v>
      </c>
      <c r="Q188" s="43">
        <f t="shared" si="270"/>
        <v>1064</v>
      </c>
      <c r="R188" s="43">
        <f t="shared" si="271"/>
        <v>-351.62393901342671</v>
      </c>
      <c r="S188" s="43">
        <f t="shared" si="256"/>
        <v>5863.0571902215106</v>
      </c>
      <c r="T188" s="43">
        <f t="shared" si="272"/>
        <v>1064</v>
      </c>
      <c r="U188" s="50">
        <f t="shared" si="273"/>
        <v>589.09530205561293</v>
      </c>
      <c r="V188" s="20">
        <f t="shared" si="252"/>
        <v>589.09530205561293</v>
      </c>
      <c r="W188" s="20">
        <f t="shared" si="253"/>
        <v>3596.4304154799329</v>
      </c>
      <c r="X188" s="19">
        <f t="shared" si="274"/>
        <v>3007.3351134243198</v>
      </c>
      <c r="Y188" s="38">
        <f t="shared" si="254"/>
        <v>0.83619999999999994</v>
      </c>
      <c r="Z188" s="37">
        <f t="shared" si="257"/>
        <v>255306.74651253963</v>
      </c>
      <c r="AA188" s="44">
        <f t="shared" si="258"/>
        <v>0</v>
      </c>
      <c r="AC188" s="48">
        <f t="shared" si="259"/>
        <v>3007.3351134243198</v>
      </c>
    </row>
    <row r="189" spans="1:29" x14ac:dyDescent="0.2">
      <c r="A189" s="14" t="str">
        <f t="shared" si="294"/>
        <v>Setembro</v>
      </c>
      <c r="B189" s="14">
        <f t="shared" si="294"/>
        <v>30</v>
      </c>
      <c r="C189" s="15">
        <f t="shared" si="294"/>
        <v>3.82</v>
      </c>
      <c r="D189" s="15">
        <f t="shared" si="294"/>
        <v>4.2417238001958868</v>
      </c>
      <c r="E189" s="15">
        <f t="shared" si="294"/>
        <v>5.12</v>
      </c>
      <c r="F189" s="57">
        <f t="shared" si="294"/>
        <v>5.1100000000000003</v>
      </c>
      <c r="G189" s="16">
        <f t="shared" si="266"/>
        <v>0.93847676307569672</v>
      </c>
      <c r="H189" s="15">
        <f t="shared" si="279"/>
        <v>2.7196237261644982</v>
      </c>
      <c r="I189" s="17">
        <f t="shared" si="218"/>
        <v>0.55366099817256853</v>
      </c>
      <c r="J189" s="14">
        <f t="shared" si="267"/>
        <v>165</v>
      </c>
      <c r="K189" s="25">
        <f t="shared" si="219"/>
        <v>14</v>
      </c>
      <c r="L189" s="18" t="str">
        <f t="shared" ref="L189" si="306">L177</f>
        <v>set</v>
      </c>
      <c r="M189" s="43">
        <f t="shared" si="281"/>
        <v>1400</v>
      </c>
      <c r="N189" s="53">
        <f t="shared" si="250"/>
        <v>1165.5663001632372</v>
      </c>
      <c r="O189" s="43">
        <f t="shared" si="251"/>
        <v>420</v>
      </c>
      <c r="P189" s="43">
        <f t="shared" si="269"/>
        <v>745.5663001632372</v>
      </c>
      <c r="Q189" s="43">
        <f t="shared" si="270"/>
        <v>980</v>
      </c>
      <c r="R189" s="43">
        <f t="shared" si="271"/>
        <v>-234.4336998367628</v>
      </c>
      <c r="S189" s="43">
        <f t="shared" si="256"/>
        <v>5628.623490384748</v>
      </c>
      <c r="T189" s="43">
        <f t="shared" si="272"/>
        <v>980</v>
      </c>
      <c r="U189" s="50">
        <f t="shared" si="273"/>
        <v>542.58777820911712</v>
      </c>
      <c r="V189" s="20">
        <f t="shared" si="252"/>
        <v>542.58777820911712</v>
      </c>
      <c r="W189" s="20">
        <f t="shared" si="253"/>
        <v>3312.5016984683589</v>
      </c>
      <c r="X189" s="19">
        <f t="shared" si="274"/>
        <v>2769.9139202592419</v>
      </c>
      <c r="Y189" s="38">
        <f t="shared" si="254"/>
        <v>0.83620000000000005</v>
      </c>
      <c r="Z189" s="37">
        <f t="shared" si="257"/>
        <v>258076.66043279888</v>
      </c>
      <c r="AA189" s="44">
        <f t="shared" si="258"/>
        <v>0</v>
      </c>
      <c r="AC189" s="48">
        <f t="shared" si="259"/>
        <v>2769.9139202592419</v>
      </c>
    </row>
    <row r="190" spans="1:29" x14ac:dyDescent="0.2">
      <c r="A190" s="14" t="str">
        <f t="shared" si="294"/>
        <v>Outubro</v>
      </c>
      <c r="B190" s="14">
        <f t="shared" si="294"/>
        <v>31</v>
      </c>
      <c r="C190" s="15">
        <f t="shared" si="294"/>
        <v>4.33</v>
      </c>
      <c r="D190" s="15">
        <f t="shared" si="294"/>
        <v>4.8763956904995114</v>
      </c>
      <c r="E190" s="15">
        <f t="shared" si="294"/>
        <v>5.57</v>
      </c>
      <c r="F190" s="57">
        <f t="shared" si="294"/>
        <v>5.17</v>
      </c>
      <c r="G190" s="16">
        <f t="shared" si="266"/>
        <v>0.93847676307569672</v>
      </c>
      <c r="H190" s="15">
        <f t="shared" si="279"/>
        <v>2.7196237261644982</v>
      </c>
      <c r="I190" s="17">
        <f t="shared" ref="I190:I253" si="307">$F$2*$B$2*H190*$G$6</f>
        <v>0.55366099817256853</v>
      </c>
      <c r="J190" s="14">
        <f t="shared" si="267"/>
        <v>166</v>
      </c>
      <c r="K190" s="25">
        <f t="shared" ref="K190:K253" si="308">K178+1</f>
        <v>14</v>
      </c>
      <c r="L190" s="18" t="str">
        <f t="shared" ref="L190" si="309">L178</f>
        <v>out</v>
      </c>
      <c r="M190" s="43">
        <f t="shared" si="281"/>
        <v>1340</v>
      </c>
      <c r="N190" s="53">
        <f t="shared" si="250"/>
        <v>1384.6307560792038</v>
      </c>
      <c r="O190" s="43">
        <f t="shared" si="251"/>
        <v>402</v>
      </c>
      <c r="P190" s="43">
        <f t="shared" si="269"/>
        <v>982.63075607920382</v>
      </c>
      <c r="Q190" s="43">
        <f t="shared" si="270"/>
        <v>938</v>
      </c>
      <c r="R190" s="43">
        <f t="shared" si="271"/>
        <v>44.63075607920382</v>
      </c>
      <c r="S190" s="43">
        <f t="shared" si="256"/>
        <v>5673.2542464639519</v>
      </c>
      <c r="T190" s="43">
        <f t="shared" si="272"/>
        <v>938</v>
      </c>
      <c r="U190" s="50">
        <f t="shared" si="273"/>
        <v>519.33401628586932</v>
      </c>
      <c r="V190" s="20">
        <f t="shared" si="252"/>
        <v>519.33401628586932</v>
      </c>
      <c r="W190" s="20">
        <f t="shared" si="253"/>
        <v>3170.5373399625719</v>
      </c>
      <c r="X190" s="19">
        <f t="shared" si="274"/>
        <v>2651.2033236767024</v>
      </c>
      <c r="Y190" s="38">
        <f t="shared" si="254"/>
        <v>0.83619999999999994</v>
      </c>
      <c r="Z190" s="37">
        <f t="shared" si="257"/>
        <v>260727.86375647559</v>
      </c>
      <c r="AA190" s="44">
        <f t="shared" si="258"/>
        <v>0</v>
      </c>
      <c r="AC190" s="48">
        <f t="shared" si="259"/>
        <v>2651.2033236767024</v>
      </c>
    </row>
    <row r="191" spans="1:29" x14ac:dyDescent="0.2">
      <c r="A191" s="14" t="str">
        <f t="shared" si="294"/>
        <v>Novembro</v>
      </c>
      <c r="B191" s="14">
        <f t="shared" si="294"/>
        <v>30</v>
      </c>
      <c r="C191" s="15">
        <f t="shared" si="294"/>
        <v>4.68</v>
      </c>
      <c r="D191" s="15">
        <f t="shared" si="294"/>
        <v>5.5745347698334964</v>
      </c>
      <c r="E191" s="15">
        <f t="shared" si="294"/>
        <v>5.89</v>
      </c>
      <c r="F191" s="57">
        <f t="shared" si="294"/>
        <v>5.23</v>
      </c>
      <c r="G191" s="16">
        <f t="shared" si="266"/>
        <v>0.93847676307569672</v>
      </c>
      <c r="H191" s="15">
        <f t="shared" si="279"/>
        <v>2.7196237261644982</v>
      </c>
      <c r="I191" s="17">
        <f t="shared" si="307"/>
        <v>0.55366099817256853</v>
      </c>
      <c r="J191" s="14">
        <f t="shared" si="267"/>
        <v>167</v>
      </c>
      <c r="K191" s="25">
        <f t="shared" si="308"/>
        <v>14</v>
      </c>
      <c r="L191" s="18" t="str">
        <f t="shared" ref="L191" si="310">L179</f>
        <v>nov</v>
      </c>
      <c r="M191" s="43">
        <f t="shared" si="281"/>
        <v>1288</v>
      </c>
      <c r="N191" s="53">
        <f t="shared" si="250"/>
        <v>1531.8040902394662</v>
      </c>
      <c r="O191" s="43">
        <f t="shared" si="251"/>
        <v>386.4</v>
      </c>
      <c r="P191" s="43">
        <f t="shared" si="269"/>
        <v>1145.4040902394663</v>
      </c>
      <c r="Q191" s="43">
        <f t="shared" si="270"/>
        <v>901.6</v>
      </c>
      <c r="R191" s="43">
        <f t="shared" si="271"/>
        <v>243.80409023946629</v>
      </c>
      <c r="S191" s="43">
        <f t="shared" si="256"/>
        <v>5917.0583367034178</v>
      </c>
      <c r="T191" s="43">
        <f t="shared" si="272"/>
        <v>901.6</v>
      </c>
      <c r="U191" s="50">
        <f t="shared" si="273"/>
        <v>499.18075595238781</v>
      </c>
      <c r="V191" s="20">
        <f t="shared" si="252"/>
        <v>499.18075595238781</v>
      </c>
      <c r="W191" s="20">
        <f t="shared" si="253"/>
        <v>3047.50156259089</v>
      </c>
      <c r="X191" s="19">
        <f t="shared" si="274"/>
        <v>2548.3208066385023</v>
      </c>
      <c r="Y191" s="38">
        <f t="shared" si="254"/>
        <v>0.83620000000000005</v>
      </c>
      <c r="Z191" s="37">
        <f t="shared" si="257"/>
        <v>263276.18456311407</v>
      </c>
      <c r="AA191" s="44">
        <f t="shared" si="258"/>
        <v>0</v>
      </c>
      <c r="AC191" s="48">
        <f t="shared" si="259"/>
        <v>2548.3208066385023</v>
      </c>
    </row>
    <row r="192" spans="1:29" x14ac:dyDescent="0.2">
      <c r="A192" s="14" t="str">
        <f t="shared" si="294"/>
        <v>Dezembro</v>
      </c>
      <c r="B192" s="14">
        <f t="shared" si="294"/>
        <v>31</v>
      </c>
      <c r="C192" s="15">
        <f t="shared" si="294"/>
        <v>4.8499999999999996</v>
      </c>
      <c r="D192" s="15">
        <f t="shared" si="294"/>
        <v>5.6062683643486775</v>
      </c>
      <c r="E192" s="15">
        <f t="shared" si="294"/>
        <v>6.05</v>
      </c>
      <c r="F192" s="57">
        <f t="shared" si="294"/>
        <v>5.29</v>
      </c>
      <c r="G192" s="16">
        <f t="shared" si="266"/>
        <v>0.93847676307569672</v>
      </c>
      <c r="H192" s="15">
        <f t="shared" si="279"/>
        <v>2.7196237261644982</v>
      </c>
      <c r="I192" s="17">
        <f t="shared" si="307"/>
        <v>0.55366099817256853</v>
      </c>
      <c r="J192" s="14">
        <f t="shared" si="267"/>
        <v>168</v>
      </c>
      <c r="K192" s="25">
        <f t="shared" si="308"/>
        <v>14</v>
      </c>
      <c r="L192" s="18" t="str">
        <f t="shared" ref="L192" si="311">L180</f>
        <v>dez</v>
      </c>
      <c r="M192" s="43">
        <f t="shared" si="281"/>
        <v>1140</v>
      </c>
      <c r="N192" s="53">
        <f t="shared" si="250"/>
        <v>1591.8748388763076</v>
      </c>
      <c r="O192" s="43">
        <f t="shared" si="251"/>
        <v>342</v>
      </c>
      <c r="P192" s="43">
        <f t="shared" si="269"/>
        <v>1249.8748388763076</v>
      </c>
      <c r="Q192" s="43">
        <f t="shared" si="270"/>
        <v>798</v>
      </c>
      <c r="R192" s="43">
        <f t="shared" si="271"/>
        <v>451.87483887630765</v>
      </c>
      <c r="S192" s="43">
        <f t="shared" si="256"/>
        <v>6368.9331755797257</v>
      </c>
      <c r="T192" s="43">
        <f t="shared" si="272"/>
        <v>798</v>
      </c>
      <c r="U192" s="50">
        <f t="shared" si="273"/>
        <v>441.82147654170967</v>
      </c>
      <c r="V192" s="20">
        <f t="shared" si="252"/>
        <v>441.82147654170967</v>
      </c>
      <c r="W192" s="20">
        <f t="shared" si="253"/>
        <v>2697.322811609949</v>
      </c>
      <c r="X192" s="19">
        <f t="shared" si="274"/>
        <v>2255.5013350682393</v>
      </c>
      <c r="Y192" s="38">
        <f t="shared" si="254"/>
        <v>0.83619999999999994</v>
      </c>
      <c r="Z192" s="37">
        <f t="shared" si="257"/>
        <v>265531.68589818233</v>
      </c>
      <c r="AA192" s="44">
        <f t="shared" si="258"/>
        <v>0</v>
      </c>
      <c r="AC192" s="48">
        <f t="shared" si="259"/>
        <v>2255.5013350682393</v>
      </c>
    </row>
    <row r="193" spans="1:29" x14ac:dyDescent="0.2">
      <c r="A193" s="14" t="str">
        <f t="shared" si="294"/>
        <v>Janeiro</v>
      </c>
      <c r="B193" s="14">
        <f t="shared" si="294"/>
        <v>30</v>
      </c>
      <c r="C193" s="15">
        <f t="shared" si="294"/>
        <v>4.87</v>
      </c>
      <c r="D193" s="15">
        <f t="shared" si="294"/>
        <v>5.4581782566111663</v>
      </c>
      <c r="E193" s="15">
        <f t="shared" si="294"/>
        <v>6.01</v>
      </c>
      <c r="F193" s="57">
        <f t="shared" si="294"/>
        <v>5.31</v>
      </c>
      <c r="G193" s="16">
        <f t="shared" si="266"/>
        <v>0.93430617234058821</v>
      </c>
      <c r="H193" s="15">
        <f t="shared" si="279"/>
        <v>2.9371936242576586</v>
      </c>
      <c r="I193" s="17">
        <f t="shared" si="307"/>
        <v>0.59795387802637412</v>
      </c>
      <c r="J193" s="14">
        <f t="shared" si="267"/>
        <v>169</v>
      </c>
      <c r="K193" s="25">
        <f t="shared" si="308"/>
        <v>15</v>
      </c>
      <c r="L193" s="18" t="str">
        <f t="shared" ref="L193" si="312">L181</f>
        <v>jan</v>
      </c>
      <c r="M193" s="43">
        <f t="shared" si="281"/>
        <v>836</v>
      </c>
      <c r="N193" s="53">
        <f t="shared" si="250"/>
        <v>1493.1657010949145</v>
      </c>
      <c r="O193" s="43">
        <f t="shared" si="251"/>
        <v>250.79999999999998</v>
      </c>
      <c r="P193" s="43">
        <f t="shared" si="269"/>
        <v>1242.3657010949146</v>
      </c>
      <c r="Q193" s="43">
        <f t="shared" si="270"/>
        <v>585.20000000000005</v>
      </c>
      <c r="R193" s="43">
        <f t="shared" si="271"/>
        <v>657.16570109491454</v>
      </c>
      <c r="S193" s="43">
        <f t="shared" si="256"/>
        <v>7026.0988766746405</v>
      </c>
      <c r="T193" s="43">
        <f t="shared" si="272"/>
        <v>585.20000000000005</v>
      </c>
      <c r="U193" s="50">
        <f t="shared" si="273"/>
        <v>349.92260942103417</v>
      </c>
      <c r="V193" s="20">
        <f t="shared" si="252"/>
        <v>349.92260942103417</v>
      </c>
      <c r="W193" s="20">
        <f t="shared" si="253"/>
        <v>2136.2796667950806</v>
      </c>
      <c r="X193" s="19">
        <f t="shared" si="274"/>
        <v>1786.3570573740465</v>
      </c>
      <c r="Y193" s="38">
        <f t="shared" si="254"/>
        <v>0.83620000000000005</v>
      </c>
      <c r="Z193" s="37">
        <f t="shared" si="257"/>
        <v>267318.04295555636</v>
      </c>
      <c r="AA193" s="44">
        <f t="shared" si="258"/>
        <v>0</v>
      </c>
      <c r="AC193" s="48">
        <f t="shared" si="259"/>
        <v>1786.3570573740465</v>
      </c>
    </row>
    <row r="194" spans="1:29" x14ac:dyDescent="0.2">
      <c r="A194" s="14" t="str">
        <f t="shared" ref="A194:F209" si="313">A182</f>
        <v>Fevereiro</v>
      </c>
      <c r="B194" s="14">
        <f t="shared" si="313"/>
        <v>28</v>
      </c>
      <c r="C194" s="15">
        <f t="shared" si="313"/>
        <v>4.75</v>
      </c>
      <c r="D194" s="15">
        <f t="shared" si="313"/>
        <v>5.2254652301665043</v>
      </c>
      <c r="E194" s="15">
        <f t="shared" si="313"/>
        <v>5.82</v>
      </c>
      <c r="F194" s="57">
        <f t="shared" si="313"/>
        <v>5.28</v>
      </c>
      <c r="G194" s="16">
        <f t="shared" si="266"/>
        <v>0.93430617234058821</v>
      </c>
      <c r="H194" s="15">
        <f t="shared" si="279"/>
        <v>2.9371936242576586</v>
      </c>
      <c r="I194" s="17">
        <f t="shared" si="307"/>
        <v>0.59795387802637412</v>
      </c>
      <c r="J194" s="14">
        <f t="shared" si="267"/>
        <v>170</v>
      </c>
      <c r="K194" s="25">
        <f t="shared" si="308"/>
        <v>15</v>
      </c>
      <c r="L194" s="18" t="str">
        <f t="shared" ref="L194" si="314">L182</f>
        <v>fev</v>
      </c>
      <c r="M194" s="43">
        <f t="shared" si="281"/>
        <v>1088</v>
      </c>
      <c r="N194" s="53">
        <f t="shared" si="250"/>
        <v>1334.2033577225361</v>
      </c>
      <c r="O194" s="43">
        <f t="shared" si="251"/>
        <v>326.39999999999998</v>
      </c>
      <c r="P194" s="43">
        <f t="shared" si="269"/>
        <v>1007.8033577225361</v>
      </c>
      <c r="Q194" s="43">
        <f t="shared" si="270"/>
        <v>761.6</v>
      </c>
      <c r="R194" s="43">
        <f t="shared" si="271"/>
        <v>246.20335772253611</v>
      </c>
      <c r="S194" s="43">
        <f t="shared" si="256"/>
        <v>7272.302234397177</v>
      </c>
      <c r="T194" s="43">
        <f t="shared" si="272"/>
        <v>761.6</v>
      </c>
      <c r="U194" s="50">
        <f t="shared" si="273"/>
        <v>455.40167350488656</v>
      </c>
      <c r="V194" s="20">
        <f t="shared" si="252"/>
        <v>455.40167350488656</v>
      </c>
      <c r="W194" s="20">
        <f t="shared" si="253"/>
        <v>2780.2299969773294</v>
      </c>
      <c r="X194" s="19">
        <f t="shared" si="274"/>
        <v>2324.8283234724427</v>
      </c>
      <c r="Y194" s="38">
        <f t="shared" si="254"/>
        <v>0.83619999999999994</v>
      </c>
      <c r="Z194" s="37">
        <f t="shared" si="257"/>
        <v>269642.87127902883</v>
      </c>
      <c r="AA194" s="44">
        <f t="shared" si="258"/>
        <v>0</v>
      </c>
      <c r="AC194" s="48">
        <f t="shared" si="259"/>
        <v>2324.8283234724427</v>
      </c>
    </row>
    <row r="195" spans="1:29" x14ac:dyDescent="0.2">
      <c r="A195" s="14" t="str">
        <f t="shared" si="313"/>
        <v>Março</v>
      </c>
      <c r="B195" s="14">
        <f t="shared" si="313"/>
        <v>31</v>
      </c>
      <c r="C195" s="15">
        <f t="shared" si="313"/>
        <v>4.21</v>
      </c>
      <c r="D195" s="15">
        <f t="shared" si="313"/>
        <v>4.7494613124387861</v>
      </c>
      <c r="E195" s="15">
        <f t="shared" si="313"/>
        <v>5.43</v>
      </c>
      <c r="F195" s="57">
        <f t="shared" si="313"/>
        <v>5.14</v>
      </c>
      <c r="G195" s="16">
        <f t="shared" si="266"/>
        <v>0.93430617234058821</v>
      </c>
      <c r="H195" s="15">
        <f t="shared" si="279"/>
        <v>2.9371936242576586</v>
      </c>
      <c r="I195" s="17">
        <f t="shared" si="307"/>
        <v>0.59795387802637412</v>
      </c>
      <c r="J195" s="14">
        <f t="shared" si="267"/>
        <v>171</v>
      </c>
      <c r="K195" s="25">
        <f t="shared" si="308"/>
        <v>15</v>
      </c>
      <c r="L195" s="18" t="str">
        <f t="shared" ref="L195" si="315">L183</f>
        <v>mar</v>
      </c>
      <c r="M195" s="43">
        <f t="shared" si="281"/>
        <v>1152</v>
      </c>
      <c r="N195" s="53">
        <f t="shared" si="250"/>
        <v>1342.5951804612478</v>
      </c>
      <c r="O195" s="43">
        <f t="shared" si="251"/>
        <v>345.59999999999997</v>
      </c>
      <c r="P195" s="43">
        <f t="shared" si="269"/>
        <v>996.99518046124786</v>
      </c>
      <c r="Q195" s="43">
        <f t="shared" si="270"/>
        <v>806.40000000000009</v>
      </c>
      <c r="R195" s="43">
        <f t="shared" si="271"/>
        <v>190.59518046124776</v>
      </c>
      <c r="S195" s="43">
        <f t="shared" si="256"/>
        <v>7462.8974148584248</v>
      </c>
      <c r="T195" s="43">
        <f t="shared" si="272"/>
        <v>806.40000000000009</v>
      </c>
      <c r="U195" s="50">
        <f t="shared" si="273"/>
        <v>482.19000724046816</v>
      </c>
      <c r="V195" s="20">
        <f t="shared" si="252"/>
        <v>482.19000724046816</v>
      </c>
      <c r="W195" s="20">
        <f t="shared" si="253"/>
        <v>2943.7729379759958</v>
      </c>
      <c r="X195" s="19">
        <f t="shared" si="274"/>
        <v>2461.5829307355275</v>
      </c>
      <c r="Y195" s="38">
        <f t="shared" si="254"/>
        <v>0.83619999999999994</v>
      </c>
      <c r="Z195" s="37">
        <f t="shared" si="257"/>
        <v>272104.45420976437</v>
      </c>
      <c r="AA195" s="44">
        <f t="shared" si="258"/>
        <v>0</v>
      </c>
      <c r="AC195" s="48">
        <f t="shared" si="259"/>
        <v>2461.5829307355275</v>
      </c>
    </row>
    <row r="196" spans="1:29" x14ac:dyDescent="0.2">
      <c r="A196" s="14" t="str">
        <f t="shared" si="313"/>
        <v>Abril</v>
      </c>
      <c r="B196" s="14">
        <f t="shared" si="313"/>
        <v>30</v>
      </c>
      <c r="C196" s="15">
        <f t="shared" si="313"/>
        <v>3.59</v>
      </c>
      <c r="D196" s="15">
        <f t="shared" si="313"/>
        <v>4.1465230166503426</v>
      </c>
      <c r="E196" s="15">
        <f t="shared" si="313"/>
        <v>4.91</v>
      </c>
      <c r="F196" s="57">
        <f t="shared" si="313"/>
        <v>4.97</v>
      </c>
      <c r="G196" s="16">
        <f t="shared" si="266"/>
        <v>0.93430617234058821</v>
      </c>
      <c r="H196" s="15">
        <f t="shared" si="279"/>
        <v>2.9371936242576586</v>
      </c>
      <c r="I196" s="17">
        <f t="shared" si="307"/>
        <v>0.59795387802637412</v>
      </c>
      <c r="J196" s="14">
        <f t="shared" si="267"/>
        <v>172</v>
      </c>
      <c r="K196" s="25">
        <f t="shared" si="308"/>
        <v>15</v>
      </c>
      <c r="L196" s="18" t="str">
        <f t="shared" ref="L196" si="316">L184</f>
        <v>abr</v>
      </c>
      <c r="M196" s="43">
        <f t="shared" si="281"/>
        <v>1000</v>
      </c>
      <c r="N196" s="53">
        <f t="shared" si="250"/>
        <v>1134.3429357155164</v>
      </c>
      <c r="O196" s="43">
        <f t="shared" si="251"/>
        <v>300</v>
      </c>
      <c r="P196" s="43">
        <f t="shared" si="269"/>
        <v>834.34293571551643</v>
      </c>
      <c r="Q196" s="43">
        <f t="shared" si="270"/>
        <v>700</v>
      </c>
      <c r="R196" s="43">
        <f t="shared" si="271"/>
        <v>134.34293571551643</v>
      </c>
      <c r="S196" s="43">
        <f t="shared" si="256"/>
        <v>7597.2403505739412</v>
      </c>
      <c r="T196" s="43">
        <f t="shared" si="272"/>
        <v>700</v>
      </c>
      <c r="U196" s="50">
        <f t="shared" si="273"/>
        <v>418.56771461846188</v>
      </c>
      <c r="V196" s="20">
        <f t="shared" si="252"/>
        <v>418.56771461846188</v>
      </c>
      <c r="W196" s="20">
        <f t="shared" si="253"/>
        <v>2555.3584531041629</v>
      </c>
      <c r="X196" s="19">
        <f t="shared" si="274"/>
        <v>2136.7907384857008</v>
      </c>
      <c r="Y196" s="38">
        <f t="shared" si="254"/>
        <v>0.83619999999999994</v>
      </c>
      <c r="Z196" s="37">
        <f t="shared" si="257"/>
        <v>274241.24494825007</v>
      </c>
      <c r="AA196" s="44">
        <f t="shared" si="258"/>
        <v>0</v>
      </c>
      <c r="AC196" s="48">
        <f t="shared" si="259"/>
        <v>2136.7907384857008</v>
      </c>
    </row>
    <row r="197" spans="1:29" x14ac:dyDescent="0.2">
      <c r="A197" s="14" t="str">
        <f t="shared" si="313"/>
        <v>Maio</v>
      </c>
      <c r="B197" s="14">
        <f t="shared" si="313"/>
        <v>31</v>
      </c>
      <c r="C197" s="15">
        <f t="shared" si="313"/>
        <v>2.98</v>
      </c>
      <c r="D197" s="15">
        <f t="shared" si="313"/>
        <v>3.3849167482859945</v>
      </c>
      <c r="E197" s="15">
        <f t="shared" si="313"/>
        <v>4.25</v>
      </c>
      <c r="F197" s="57">
        <f t="shared" si="313"/>
        <v>4.66</v>
      </c>
      <c r="G197" s="16">
        <f t="shared" si="266"/>
        <v>0.93430617234058821</v>
      </c>
      <c r="H197" s="15">
        <f t="shared" si="279"/>
        <v>2.9371936242576586</v>
      </c>
      <c r="I197" s="17">
        <f t="shared" si="307"/>
        <v>0.59795387802637412</v>
      </c>
      <c r="J197" s="14">
        <f t="shared" si="267"/>
        <v>173</v>
      </c>
      <c r="K197" s="25">
        <f t="shared" si="308"/>
        <v>15</v>
      </c>
      <c r="L197" s="18" t="str">
        <f t="shared" ref="L197" si="317">L185</f>
        <v>mai</v>
      </c>
      <c r="M197" s="43">
        <f t="shared" si="281"/>
        <v>1396</v>
      </c>
      <c r="N197" s="53">
        <f t="shared" si="250"/>
        <v>956.86070767839499</v>
      </c>
      <c r="O197" s="43">
        <f t="shared" si="251"/>
        <v>418.8</v>
      </c>
      <c r="P197" s="43">
        <f t="shared" si="269"/>
        <v>538.06070767839492</v>
      </c>
      <c r="Q197" s="43">
        <f t="shared" si="270"/>
        <v>977.2</v>
      </c>
      <c r="R197" s="43">
        <f t="shared" si="271"/>
        <v>-439.13929232160513</v>
      </c>
      <c r="S197" s="43">
        <f t="shared" si="256"/>
        <v>7158.1010582523359</v>
      </c>
      <c r="T197" s="43">
        <f t="shared" si="272"/>
        <v>977.2</v>
      </c>
      <c r="U197" s="50">
        <f t="shared" si="273"/>
        <v>584.32052960737281</v>
      </c>
      <c r="V197" s="20">
        <f t="shared" si="252"/>
        <v>584.32052960737281</v>
      </c>
      <c r="W197" s="20">
        <f t="shared" si="253"/>
        <v>3567.2804005334115</v>
      </c>
      <c r="X197" s="19">
        <f t="shared" si="274"/>
        <v>2982.9598709260385</v>
      </c>
      <c r="Y197" s="38">
        <f t="shared" si="254"/>
        <v>0.83619999999999994</v>
      </c>
      <c r="Z197" s="37">
        <f t="shared" si="257"/>
        <v>277224.20481917611</v>
      </c>
      <c r="AA197" s="44">
        <f t="shared" si="258"/>
        <v>0</v>
      </c>
      <c r="AC197" s="48">
        <f t="shared" si="259"/>
        <v>2982.9598709260385</v>
      </c>
    </row>
    <row r="198" spans="1:29" x14ac:dyDescent="0.2">
      <c r="A198" s="14" t="str">
        <f t="shared" si="313"/>
        <v>Junho</v>
      </c>
      <c r="B198" s="14">
        <f t="shared" si="313"/>
        <v>30</v>
      </c>
      <c r="C198" s="15">
        <f t="shared" si="313"/>
        <v>2.74</v>
      </c>
      <c r="D198" s="15">
        <f t="shared" si="313"/>
        <v>3.1945151811949071</v>
      </c>
      <c r="E198" s="15">
        <f t="shared" si="313"/>
        <v>3.92</v>
      </c>
      <c r="F198" s="57">
        <f t="shared" si="313"/>
        <v>4.47</v>
      </c>
      <c r="G198" s="16">
        <f t="shared" si="266"/>
        <v>0.93430617234058821</v>
      </c>
      <c r="H198" s="15">
        <f t="shared" si="279"/>
        <v>2.9371936242576586</v>
      </c>
      <c r="I198" s="17">
        <f t="shared" si="307"/>
        <v>0.59795387802637412</v>
      </c>
      <c r="J198" s="14">
        <f t="shared" si="267"/>
        <v>174</v>
      </c>
      <c r="K198" s="25">
        <f t="shared" si="308"/>
        <v>15</v>
      </c>
      <c r="L198" s="18" t="str">
        <f t="shared" ref="L198" si="318">L186</f>
        <v>jun</v>
      </c>
      <c r="M198" s="43">
        <f t="shared" si="281"/>
        <v>1428</v>
      </c>
      <c r="N198" s="53">
        <f t="shared" si="250"/>
        <v>873.90705761756624</v>
      </c>
      <c r="O198" s="43">
        <f t="shared" si="251"/>
        <v>428.4</v>
      </c>
      <c r="P198" s="43">
        <f t="shared" si="269"/>
        <v>445.50705761756626</v>
      </c>
      <c r="Q198" s="43">
        <f t="shared" si="270"/>
        <v>999.6</v>
      </c>
      <c r="R198" s="43">
        <f t="shared" si="271"/>
        <v>-554.09294238243376</v>
      </c>
      <c r="S198" s="43">
        <f t="shared" si="256"/>
        <v>6604.0081158699022</v>
      </c>
      <c r="T198" s="43">
        <f t="shared" si="272"/>
        <v>999.6</v>
      </c>
      <c r="U198" s="50">
        <f t="shared" si="273"/>
        <v>597.71469647516358</v>
      </c>
      <c r="V198" s="20">
        <f t="shared" si="252"/>
        <v>597.71469647516358</v>
      </c>
      <c r="W198" s="20">
        <f t="shared" si="253"/>
        <v>3649.0518710327447</v>
      </c>
      <c r="X198" s="19">
        <f t="shared" si="274"/>
        <v>3051.337174557581</v>
      </c>
      <c r="Y198" s="38">
        <f t="shared" si="254"/>
        <v>0.83619999999999994</v>
      </c>
      <c r="Z198" s="37">
        <f t="shared" si="257"/>
        <v>280275.54199373367</v>
      </c>
      <c r="AA198" s="44">
        <f t="shared" si="258"/>
        <v>0</v>
      </c>
      <c r="AC198" s="48">
        <f t="shared" si="259"/>
        <v>3051.337174557581</v>
      </c>
    </row>
    <row r="199" spans="1:29" x14ac:dyDescent="0.2">
      <c r="A199" s="14" t="str">
        <f t="shared" si="313"/>
        <v>Julho</v>
      </c>
      <c r="B199" s="14">
        <f t="shared" si="313"/>
        <v>31</v>
      </c>
      <c r="C199" s="15">
        <f t="shared" si="313"/>
        <v>2.91</v>
      </c>
      <c r="D199" s="15">
        <f t="shared" si="313"/>
        <v>3.4272282076395695</v>
      </c>
      <c r="E199" s="15">
        <f t="shared" si="313"/>
        <v>4.18</v>
      </c>
      <c r="F199" s="57">
        <f t="shared" si="313"/>
        <v>4.74</v>
      </c>
      <c r="G199" s="16">
        <f t="shared" si="266"/>
        <v>0.93430617234058821</v>
      </c>
      <c r="H199" s="15">
        <f t="shared" si="279"/>
        <v>2.9371936242576586</v>
      </c>
      <c r="I199" s="17">
        <f t="shared" si="307"/>
        <v>0.59795387802637412</v>
      </c>
      <c r="J199" s="14">
        <f t="shared" si="267"/>
        <v>175</v>
      </c>
      <c r="K199" s="25">
        <f t="shared" si="308"/>
        <v>15</v>
      </c>
      <c r="L199" s="18" t="str">
        <f t="shared" ref="L199" si="319">L187</f>
        <v>jul</v>
      </c>
      <c r="M199" s="43">
        <f t="shared" si="281"/>
        <v>1392</v>
      </c>
      <c r="N199" s="53">
        <f t="shared" si="250"/>
        <v>968.82146652437484</v>
      </c>
      <c r="O199" s="43">
        <f t="shared" si="251"/>
        <v>417.59999999999997</v>
      </c>
      <c r="P199" s="43">
        <f t="shared" si="269"/>
        <v>551.22146652437482</v>
      </c>
      <c r="Q199" s="43">
        <f t="shared" si="270"/>
        <v>974.40000000000009</v>
      </c>
      <c r="R199" s="43">
        <f t="shared" si="271"/>
        <v>-423.17853347562527</v>
      </c>
      <c r="S199" s="43">
        <f t="shared" si="256"/>
        <v>6180.8295823942772</v>
      </c>
      <c r="T199" s="43">
        <f t="shared" si="272"/>
        <v>974.40000000000009</v>
      </c>
      <c r="U199" s="50">
        <f t="shared" si="273"/>
        <v>582.64625874889896</v>
      </c>
      <c r="V199" s="20">
        <f t="shared" si="252"/>
        <v>582.64625874889896</v>
      </c>
      <c r="W199" s="20">
        <f t="shared" si="253"/>
        <v>3557.0589667209947</v>
      </c>
      <c r="X199" s="19">
        <f t="shared" si="274"/>
        <v>2974.4127079720956</v>
      </c>
      <c r="Y199" s="38">
        <f t="shared" si="254"/>
        <v>0.83619999999999994</v>
      </c>
      <c r="Z199" s="37">
        <f t="shared" si="257"/>
        <v>283249.95470170578</v>
      </c>
      <c r="AA199" s="44">
        <f t="shared" si="258"/>
        <v>0</v>
      </c>
      <c r="AC199" s="48">
        <f t="shared" si="259"/>
        <v>2974.4127079720956</v>
      </c>
    </row>
    <row r="200" spans="1:29" x14ac:dyDescent="0.2">
      <c r="A200" s="14" t="str">
        <f t="shared" si="313"/>
        <v>Agosto</v>
      </c>
      <c r="B200" s="14">
        <f t="shared" si="313"/>
        <v>31</v>
      </c>
      <c r="C200" s="15">
        <f t="shared" si="313"/>
        <v>3.45</v>
      </c>
      <c r="D200" s="15">
        <f t="shared" si="313"/>
        <v>4.1147894221351615</v>
      </c>
      <c r="E200" s="15">
        <f t="shared" si="313"/>
        <v>4.83</v>
      </c>
      <c r="F200" s="57">
        <f t="shared" si="313"/>
        <v>5.21</v>
      </c>
      <c r="G200" s="16">
        <f t="shared" si="266"/>
        <v>0.93430617234058821</v>
      </c>
      <c r="H200" s="15">
        <f t="shared" si="279"/>
        <v>2.9371936242576586</v>
      </c>
      <c r="I200" s="17">
        <f t="shared" si="307"/>
        <v>0.59795387802637412</v>
      </c>
      <c r="J200" s="14">
        <f t="shared" si="267"/>
        <v>176</v>
      </c>
      <c r="K200" s="25">
        <f t="shared" si="308"/>
        <v>15</v>
      </c>
      <c r="L200" s="18" t="str">
        <f t="shared" ref="L200" si="320">L188</f>
        <v>ago</v>
      </c>
      <c r="M200" s="43">
        <f t="shared" si="281"/>
        <v>1520</v>
      </c>
      <c r="N200" s="53">
        <f t="shared" si="250"/>
        <v>1163.1837977715488</v>
      </c>
      <c r="O200" s="43">
        <f t="shared" si="251"/>
        <v>456</v>
      </c>
      <c r="P200" s="43">
        <f t="shared" si="269"/>
        <v>707.18379777154883</v>
      </c>
      <c r="Q200" s="43">
        <f t="shared" si="270"/>
        <v>1064</v>
      </c>
      <c r="R200" s="43">
        <f t="shared" si="271"/>
        <v>-356.81620222845117</v>
      </c>
      <c r="S200" s="43">
        <f t="shared" si="256"/>
        <v>5824.0133801658258</v>
      </c>
      <c r="T200" s="43">
        <f t="shared" si="272"/>
        <v>1064</v>
      </c>
      <c r="U200" s="50">
        <f t="shared" si="273"/>
        <v>636.22292622006205</v>
      </c>
      <c r="V200" s="20">
        <f t="shared" si="252"/>
        <v>636.22292622006205</v>
      </c>
      <c r="W200" s="20">
        <f t="shared" si="253"/>
        <v>3884.1448487183279</v>
      </c>
      <c r="X200" s="19">
        <f t="shared" si="274"/>
        <v>3247.9219224982658</v>
      </c>
      <c r="Y200" s="38">
        <f t="shared" si="254"/>
        <v>0.83619999999999994</v>
      </c>
      <c r="Z200" s="37">
        <f t="shared" si="257"/>
        <v>286497.87662420404</v>
      </c>
      <c r="AA200" s="44">
        <f t="shared" si="258"/>
        <v>0</v>
      </c>
      <c r="AC200" s="48">
        <f t="shared" si="259"/>
        <v>3247.9219224982658</v>
      </c>
    </row>
    <row r="201" spans="1:29" x14ac:dyDescent="0.2">
      <c r="A201" s="14" t="str">
        <f t="shared" si="313"/>
        <v>Setembro</v>
      </c>
      <c r="B201" s="14">
        <f t="shared" si="313"/>
        <v>30</v>
      </c>
      <c r="C201" s="15">
        <f t="shared" si="313"/>
        <v>3.82</v>
      </c>
      <c r="D201" s="15">
        <f t="shared" si="313"/>
        <v>4.2417238001958868</v>
      </c>
      <c r="E201" s="15">
        <f t="shared" si="313"/>
        <v>5.12</v>
      </c>
      <c r="F201" s="57">
        <f t="shared" si="313"/>
        <v>5.1100000000000003</v>
      </c>
      <c r="G201" s="16">
        <f t="shared" si="266"/>
        <v>0.93430617234058821</v>
      </c>
      <c r="H201" s="15">
        <f t="shared" si="279"/>
        <v>2.9371936242576586</v>
      </c>
      <c r="I201" s="17">
        <f t="shared" si="307"/>
        <v>0.59795387802637412</v>
      </c>
      <c r="J201" s="14">
        <f t="shared" si="267"/>
        <v>177</v>
      </c>
      <c r="K201" s="25">
        <f t="shared" si="308"/>
        <v>15</v>
      </c>
      <c r="L201" s="18" t="str">
        <f t="shared" ref="L201" si="321">L189</f>
        <v>set</v>
      </c>
      <c r="M201" s="43">
        <f t="shared" si="281"/>
        <v>1400</v>
      </c>
      <c r="N201" s="53">
        <f t="shared" si="250"/>
        <v>1160.3865235253118</v>
      </c>
      <c r="O201" s="43">
        <f t="shared" si="251"/>
        <v>420</v>
      </c>
      <c r="P201" s="43">
        <f t="shared" si="269"/>
        <v>740.38652352531176</v>
      </c>
      <c r="Q201" s="43">
        <f t="shared" si="270"/>
        <v>980</v>
      </c>
      <c r="R201" s="43">
        <f t="shared" si="271"/>
        <v>-239.61347647468824</v>
      </c>
      <c r="S201" s="43">
        <f t="shared" si="256"/>
        <v>5584.3999036911373</v>
      </c>
      <c r="T201" s="43">
        <f t="shared" si="272"/>
        <v>980</v>
      </c>
      <c r="U201" s="50">
        <f t="shared" si="273"/>
        <v>585.99480046584665</v>
      </c>
      <c r="V201" s="20">
        <f t="shared" si="252"/>
        <v>585.99480046584665</v>
      </c>
      <c r="W201" s="20">
        <f t="shared" si="253"/>
        <v>3577.5018343458282</v>
      </c>
      <c r="X201" s="19">
        <f t="shared" si="274"/>
        <v>2991.5070338799815</v>
      </c>
      <c r="Y201" s="38">
        <f t="shared" si="254"/>
        <v>0.83619999999999994</v>
      </c>
      <c r="Z201" s="37">
        <f t="shared" si="257"/>
        <v>289489.38365808403</v>
      </c>
      <c r="AA201" s="44">
        <f t="shared" si="258"/>
        <v>0</v>
      </c>
      <c r="AC201" s="48">
        <f t="shared" si="259"/>
        <v>2991.5070338799815</v>
      </c>
    </row>
    <row r="202" spans="1:29" x14ac:dyDescent="0.2">
      <c r="A202" s="14" t="str">
        <f t="shared" si="313"/>
        <v>Outubro</v>
      </c>
      <c r="B202" s="14">
        <f t="shared" si="313"/>
        <v>31</v>
      </c>
      <c r="C202" s="15">
        <f t="shared" si="313"/>
        <v>4.33</v>
      </c>
      <c r="D202" s="15">
        <f t="shared" si="313"/>
        <v>4.8763956904995114</v>
      </c>
      <c r="E202" s="15">
        <f t="shared" si="313"/>
        <v>5.57</v>
      </c>
      <c r="F202" s="57">
        <f t="shared" si="313"/>
        <v>5.17</v>
      </c>
      <c r="G202" s="16">
        <f t="shared" si="266"/>
        <v>0.93430617234058821</v>
      </c>
      <c r="H202" s="15">
        <f t="shared" si="279"/>
        <v>2.9371936242576586</v>
      </c>
      <c r="I202" s="17">
        <f t="shared" si="307"/>
        <v>0.59795387802637412</v>
      </c>
      <c r="J202" s="14">
        <f t="shared" si="267"/>
        <v>178</v>
      </c>
      <c r="K202" s="25">
        <f t="shared" si="308"/>
        <v>15</v>
      </c>
      <c r="L202" s="18" t="str">
        <f t="shared" ref="L202" si="322">L190</f>
        <v>out</v>
      </c>
      <c r="M202" s="43">
        <f t="shared" si="281"/>
        <v>1340</v>
      </c>
      <c r="N202" s="53">
        <f t="shared" si="250"/>
        <v>1378.4774569991876</v>
      </c>
      <c r="O202" s="43">
        <f t="shared" si="251"/>
        <v>402</v>
      </c>
      <c r="P202" s="43">
        <f t="shared" si="269"/>
        <v>976.47745699918755</v>
      </c>
      <c r="Q202" s="43">
        <f t="shared" si="270"/>
        <v>938</v>
      </c>
      <c r="R202" s="43">
        <f t="shared" si="271"/>
        <v>38.477456999187552</v>
      </c>
      <c r="S202" s="43">
        <f t="shared" si="256"/>
        <v>5622.8773606903251</v>
      </c>
      <c r="T202" s="43">
        <f t="shared" si="272"/>
        <v>938</v>
      </c>
      <c r="U202" s="50">
        <f t="shared" si="273"/>
        <v>560.88073758873895</v>
      </c>
      <c r="V202" s="20">
        <f t="shared" si="252"/>
        <v>560.88073758873895</v>
      </c>
      <c r="W202" s="20">
        <f t="shared" si="253"/>
        <v>3424.1803271595782</v>
      </c>
      <c r="X202" s="19">
        <f t="shared" si="274"/>
        <v>2863.2995895708391</v>
      </c>
      <c r="Y202" s="38">
        <f t="shared" si="254"/>
        <v>0.83619999999999994</v>
      </c>
      <c r="Z202" s="37">
        <f t="shared" si="257"/>
        <v>292352.68324765487</v>
      </c>
      <c r="AA202" s="44">
        <f t="shared" si="258"/>
        <v>0</v>
      </c>
      <c r="AC202" s="48">
        <f t="shared" si="259"/>
        <v>2863.2995895708391</v>
      </c>
    </row>
    <row r="203" spans="1:29" x14ac:dyDescent="0.2">
      <c r="A203" s="14" t="str">
        <f t="shared" si="313"/>
        <v>Novembro</v>
      </c>
      <c r="B203" s="14">
        <f t="shared" si="313"/>
        <v>30</v>
      </c>
      <c r="C203" s="15">
        <f t="shared" si="313"/>
        <v>4.68</v>
      </c>
      <c r="D203" s="15">
        <f t="shared" si="313"/>
        <v>5.5745347698334964</v>
      </c>
      <c r="E203" s="15">
        <f t="shared" si="313"/>
        <v>5.89</v>
      </c>
      <c r="F203" s="57">
        <f t="shared" si="313"/>
        <v>5.23</v>
      </c>
      <c r="G203" s="16">
        <f t="shared" si="266"/>
        <v>0.93430617234058821</v>
      </c>
      <c r="H203" s="15">
        <f t="shared" si="279"/>
        <v>2.9371936242576586</v>
      </c>
      <c r="I203" s="17">
        <f t="shared" si="307"/>
        <v>0.59795387802637412</v>
      </c>
      <c r="J203" s="14">
        <f t="shared" si="267"/>
        <v>179</v>
      </c>
      <c r="K203" s="25">
        <f t="shared" si="308"/>
        <v>15</v>
      </c>
      <c r="L203" s="18" t="str">
        <f t="shared" ref="L203" si="323">L191</f>
        <v>nov</v>
      </c>
      <c r="M203" s="43">
        <f t="shared" si="281"/>
        <v>1288</v>
      </c>
      <c r="N203" s="53">
        <f t="shared" si="250"/>
        <v>1524.9967528624418</v>
      </c>
      <c r="O203" s="43">
        <f t="shared" si="251"/>
        <v>386.4</v>
      </c>
      <c r="P203" s="43">
        <f t="shared" si="269"/>
        <v>1138.5967528624419</v>
      </c>
      <c r="Q203" s="43">
        <f t="shared" si="270"/>
        <v>901.6</v>
      </c>
      <c r="R203" s="43">
        <f t="shared" si="271"/>
        <v>236.99675286244189</v>
      </c>
      <c r="S203" s="43">
        <f t="shared" si="256"/>
        <v>5859.8741135527671</v>
      </c>
      <c r="T203" s="43">
        <f t="shared" si="272"/>
        <v>901.6</v>
      </c>
      <c r="U203" s="50">
        <f t="shared" si="273"/>
        <v>539.11521642857895</v>
      </c>
      <c r="V203" s="20">
        <f t="shared" si="252"/>
        <v>539.11521642857895</v>
      </c>
      <c r="W203" s="20">
        <f t="shared" si="253"/>
        <v>3291.3016875981616</v>
      </c>
      <c r="X203" s="19">
        <f t="shared" si="274"/>
        <v>2752.1864711695825</v>
      </c>
      <c r="Y203" s="38">
        <f t="shared" si="254"/>
        <v>0.83619999999999994</v>
      </c>
      <c r="Z203" s="37">
        <f t="shared" si="257"/>
        <v>295104.86971882446</v>
      </c>
      <c r="AA203" s="44">
        <f t="shared" si="258"/>
        <v>0</v>
      </c>
      <c r="AC203" s="48">
        <f t="shared" si="259"/>
        <v>2752.1864711695825</v>
      </c>
    </row>
    <row r="204" spans="1:29" x14ac:dyDescent="0.2">
      <c r="A204" s="14" t="str">
        <f t="shared" si="313"/>
        <v>Dezembro</v>
      </c>
      <c r="B204" s="14">
        <f t="shared" si="313"/>
        <v>31</v>
      </c>
      <c r="C204" s="15">
        <f t="shared" si="313"/>
        <v>4.8499999999999996</v>
      </c>
      <c r="D204" s="15">
        <f t="shared" si="313"/>
        <v>5.6062683643486775</v>
      </c>
      <c r="E204" s="15">
        <f t="shared" si="313"/>
        <v>6.05</v>
      </c>
      <c r="F204" s="57">
        <f t="shared" si="313"/>
        <v>5.29</v>
      </c>
      <c r="G204" s="16">
        <f t="shared" si="266"/>
        <v>0.93430617234058821</v>
      </c>
      <c r="H204" s="15">
        <f t="shared" si="279"/>
        <v>2.9371936242576586</v>
      </c>
      <c r="I204" s="17">
        <f t="shared" si="307"/>
        <v>0.59795387802637412</v>
      </c>
      <c r="J204" s="14">
        <f t="shared" si="267"/>
        <v>180</v>
      </c>
      <c r="K204" s="25">
        <f t="shared" si="308"/>
        <v>15</v>
      </c>
      <c r="L204" s="18" t="str">
        <f t="shared" ref="L204" si="324">L192</f>
        <v>dez</v>
      </c>
      <c r="M204" s="43">
        <f t="shared" si="281"/>
        <v>1140</v>
      </c>
      <c r="N204" s="53">
        <f t="shared" si="250"/>
        <v>1584.8005470923413</v>
      </c>
      <c r="O204" s="43">
        <f t="shared" si="251"/>
        <v>342</v>
      </c>
      <c r="P204" s="43">
        <f t="shared" si="269"/>
        <v>1242.8005470923413</v>
      </c>
      <c r="Q204" s="43">
        <f t="shared" si="270"/>
        <v>798</v>
      </c>
      <c r="R204" s="43">
        <f t="shared" si="271"/>
        <v>444.80054709234128</v>
      </c>
      <c r="S204" s="43">
        <f t="shared" si="256"/>
        <v>6304.6746606451088</v>
      </c>
      <c r="T204" s="43">
        <f t="shared" si="272"/>
        <v>798</v>
      </c>
      <c r="U204" s="50">
        <f t="shared" si="273"/>
        <v>477.16719466504657</v>
      </c>
      <c r="V204" s="20">
        <f t="shared" si="252"/>
        <v>477.16719466504657</v>
      </c>
      <c r="W204" s="20">
        <f t="shared" si="253"/>
        <v>2913.1086365387455</v>
      </c>
      <c r="X204" s="19">
        <f t="shared" si="274"/>
        <v>2435.9414418736987</v>
      </c>
      <c r="Y204" s="38">
        <f t="shared" si="254"/>
        <v>0.83619999999999994</v>
      </c>
      <c r="Z204" s="37">
        <f t="shared" si="257"/>
        <v>297540.81116069813</v>
      </c>
      <c r="AA204" s="44">
        <f t="shared" si="258"/>
        <v>0</v>
      </c>
      <c r="AC204" s="48">
        <f t="shared" si="259"/>
        <v>2435.9414418736987</v>
      </c>
    </row>
    <row r="205" spans="1:29" x14ac:dyDescent="0.2">
      <c r="A205" s="14" t="str">
        <f t="shared" si="313"/>
        <v>Janeiro</v>
      </c>
      <c r="B205" s="14">
        <f t="shared" si="313"/>
        <v>30</v>
      </c>
      <c r="C205" s="15">
        <f t="shared" si="313"/>
        <v>4.87</v>
      </c>
      <c r="D205" s="15">
        <f t="shared" si="313"/>
        <v>5.4581782566111663</v>
      </c>
      <c r="E205" s="15">
        <f t="shared" si="313"/>
        <v>6.01</v>
      </c>
      <c r="F205" s="57">
        <f t="shared" si="313"/>
        <v>5.31</v>
      </c>
      <c r="G205" s="16">
        <f t="shared" si="266"/>
        <v>0.93015411571070672</v>
      </c>
      <c r="H205" s="15">
        <f t="shared" si="279"/>
        <v>3.1721691141982715</v>
      </c>
      <c r="I205" s="17">
        <f t="shared" si="307"/>
        <v>0.64579018826848411</v>
      </c>
      <c r="J205" s="14">
        <f t="shared" si="267"/>
        <v>181</v>
      </c>
      <c r="K205" s="25">
        <f t="shared" si="308"/>
        <v>16</v>
      </c>
      <c r="L205" s="18" t="str">
        <f t="shared" ref="L205" si="325">L193</f>
        <v>jan</v>
      </c>
      <c r="M205" s="43">
        <f t="shared" si="281"/>
        <v>836</v>
      </c>
      <c r="N205" s="53">
        <f t="shared" si="250"/>
        <v>1486.5300727192489</v>
      </c>
      <c r="O205" s="43">
        <f t="shared" si="251"/>
        <v>250.79999999999998</v>
      </c>
      <c r="P205" s="43">
        <f t="shared" si="269"/>
        <v>1235.7300727192489</v>
      </c>
      <c r="Q205" s="43">
        <f t="shared" si="270"/>
        <v>585.20000000000005</v>
      </c>
      <c r="R205" s="43">
        <f t="shared" si="271"/>
        <v>650.53007271924889</v>
      </c>
      <c r="S205" s="43">
        <f t="shared" si="256"/>
        <v>6955.2047333643577</v>
      </c>
      <c r="T205" s="43">
        <f t="shared" si="272"/>
        <v>585.20000000000005</v>
      </c>
      <c r="U205" s="50">
        <f t="shared" si="273"/>
        <v>377.91641817471691</v>
      </c>
      <c r="V205" s="20">
        <f t="shared" si="252"/>
        <v>377.91641817471691</v>
      </c>
      <c r="W205" s="20">
        <f t="shared" si="253"/>
        <v>2307.1820401386872</v>
      </c>
      <c r="X205" s="19">
        <f t="shared" si="274"/>
        <v>1929.2656219639703</v>
      </c>
      <c r="Y205" s="38">
        <f t="shared" si="254"/>
        <v>0.83620000000000005</v>
      </c>
      <c r="Z205" s="37">
        <f t="shared" si="257"/>
        <v>299470.07678266207</v>
      </c>
      <c r="AA205" s="44">
        <f t="shared" si="258"/>
        <v>0</v>
      </c>
      <c r="AC205" s="48">
        <f t="shared" si="259"/>
        <v>1929.2656219639703</v>
      </c>
    </row>
    <row r="206" spans="1:29" x14ac:dyDescent="0.2">
      <c r="A206" s="14" t="str">
        <f t="shared" si="313"/>
        <v>Fevereiro</v>
      </c>
      <c r="B206" s="14">
        <f t="shared" si="313"/>
        <v>28</v>
      </c>
      <c r="C206" s="15">
        <f t="shared" si="313"/>
        <v>4.75</v>
      </c>
      <c r="D206" s="15">
        <f t="shared" si="313"/>
        <v>5.2254652301665043</v>
      </c>
      <c r="E206" s="15">
        <f t="shared" si="313"/>
        <v>5.82</v>
      </c>
      <c r="F206" s="57">
        <f t="shared" si="313"/>
        <v>5.28</v>
      </c>
      <c r="G206" s="16">
        <f t="shared" si="266"/>
        <v>0.93015411571070672</v>
      </c>
      <c r="H206" s="15">
        <f t="shared" si="279"/>
        <v>3.1721691141982715</v>
      </c>
      <c r="I206" s="17">
        <f t="shared" si="307"/>
        <v>0.64579018826848411</v>
      </c>
      <c r="J206" s="14">
        <f t="shared" si="267"/>
        <v>182</v>
      </c>
      <c r="K206" s="25">
        <f t="shared" si="308"/>
        <v>16</v>
      </c>
      <c r="L206" s="18" t="str">
        <f t="shared" ref="L206" si="326">L194</f>
        <v>fev</v>
      </c>
      <c r="M206" s="43">
        <f t="shared" si="281"/>
        <v>1088</v>
      </c>
      <c r="N206" s="53">
        <f t="shared" si="250"/>
        <v>1328.2741580008174</v>
      </c>
      <c r="O206" s="43">
        <f t="shared" si="251"/>
        <v>326.39999999999998</v>
      </c>
      <c r="P206" s="43">
        <f t="shared" si="269"/>
        <v>1001.8741580008174</v>
      </c>
      <c r="Q206" s="43">
        <f t="shared" si="270"/>
        <v>761.6</v>
      </c>
      <c r="R206" s="43">
        <f t="shared" si="271"/>
        <v>240.27415800081735</v>
      </c>
      <c r="S206" s="43">
        <f t="shared" si="256"/>
        <v>7195.4788913651755</v>
      </c>
      <c r="T206" s="43">
        <f t="shared" si="272"/>
        <v>761.6</v>
      </c>
      <c r="U206" s="50">
        <f t="shared" si="273"/>
        <v>491.83380738527751</v>
      </c>
      <c r="V206" s="20">
        <f t="shared" si="252"/>
        <v>491.83380738527751</v>
      </c>
      <c r="W206" s="20">
        <f t="shared" si="253"/>
        <v>3002.6483967355157</v>
      </c>
      <c r="X206" s="19">
        <f t="shared" si="274"/>
        <v>2510.8145893502383</v>
      </c>
      <c r="Y206" s="38">
        <f t="shared" si="254"/>
        <v>0.83620000000000005</v>
      </c>
      <c r="Z206" s="37">
        <f t="shared" si="257"/>
        <v>301980.89137201232</v>
      </c>
      <c r="AA206" s="44">
        <f t="shared" si="258"/>
        <v>0</v>
      </c>
      <c r="AC206" s="48">
        <f t="shared" si="259"/>
        <v>2510.8145893502383</v>
      </c>
    </row>
    <row r="207" spans="1:29" x14ac:dyDescent="0.2">
      <c r="A207" s="14" t="str">
        <f t="shared" si="313"/>
        <v>Março</v>
      </c>
      <c r="B207" s="14">
        <f t="shared" si="313"/>
        <v>31</v>
      </c>
      <c r="C207" s="15">
        <f t="shared" si="313"/>
        <v>4.21</v>
      </c>
      <c r="D207" s="15">
        <f t="shared" si="313"/>
        <v>4.7494613124387861</v>
      </c>
      <c r="E207" s="15">
        <f t="shared" si="313"/>
        <v>5.43</v>
      </c>
      <c r="F207" s="57">
        <f t="shared" si="313"/>
        <v>5.14</v>
      </c>
      <c r="G207" s="16">
        <f t="shared" si="266"/>
        <v>0.93015411571070672</v>
      </c>
      <c r="H207" s="15">
        <f t="shared" si="279"/>
        <v>3.1721691141982715</v>
      </c>
      <c r="I207" s="17">
        <f t="shared" si="307"/>
        <v>0.64579018826848411</v>
      </c>
      <c r="J207" s="14">
        <f t="shared" si="267"/>
        <v>183</v>
      </c>
      <c r="K207" s="25">
        <f t="shared" si="308"/>
        <v>16</v>
      </c>
      <c r="L207" s="18" t="str">
        <f t="shared" ref="L207" si="327">L195</f>
        <v>mar</v>
      </c>
      <c r="M207" s="43">
        <f t="shared" si="281"/>
        <v>1152</v>
      </c>
      <c r="N207" s="53">
        <f t="shared" si="250"/>
        <v>1336.6286874792781</v>
      </c>
      <c r="O207" s="43">
        <f t="shared" si="251"/>
        <v>345.59999999999997</v>
      </c>
      <c r="P207" s="43">
        <f t="shared" si="269"/>
        <v>991.02868747927823</v>
      </c>
      <c r="Q207" s="43">
        <f t="shared" si="270"/>
        <v>806.40000000000009</v>
      </c>
      <c r="R207" s="43">
        <f t="shared" si="271"/>
        <v>184.62868747927814</v>
      </c>
      <c r="S207" s="43">
        <f t="shared" si="256"/>
        <v>7380.1075788444541</v>
      </c>
      <c r="T207" s="43">
        <f t="shared" si="272"/>
        <v>806.40000000000009</v>
      </c>
      <c r="U207" s="50">
        <f t="shared" si="273"/>
        <v>520.76520781970567</v>
      </c>
      <c r="V207" s="20">
        <f t="shared" si="252"/>
        <v>520.76520781970567</v>
      </c>
      <c r="W207" s="20">
        <f t="shared" si="253"/>
        <v>3179.2747730140759</v>
      </c>
      <c r="X207" s="19">
        <f t="shared" si="274"/>
        <v>2658.5095651943702</v>
      </c>
      <c r="Y207" s="38">
        <f t="shared" si="254"/>
        <v>0.83619999999999994</v>
      </c>
      <c r="Z207" s="37">
        <f t="shared" si="257"/>
        <v>304639.40093720669</v>
      </c>
      <c r="AA207" s="44">
        <f t="shared" si="258"/>
        <v>0</v>
      </c>
      <c r="AC207" s="48">
        <f t="shared" si="259"/>
        <v>2658.5095651943702</v>
      </c>
    </row>
    <row r="208" spans="1:29" x14ac:dyDescent="0.2">
      <c r="A208" s="14" t="str">
        <f t="shared" si="313"/>
        <v>Abril</v>
      </c>
      <c r="B208" s="14">
        <f t="shared" si="313"/>
        <v>30</v>
      </c>
      <c r="C208" s="15">
        <f t="shared" si="313"/>
        <v>3.59</v>
      </c>
      <c r="D208" s="15">
        <f t="shared" si="313"/>
        <v>4.1465230166503426</v>
      </c>
      <c r="E208" s="15">
        <f t="shared" si="313"/>
        <v>4.91</v>
      </c>
      <c r="F208" s="57">
        <f t="shared" si="313"/>
        <v>4.97</v>
      </c>
      <c r="G208" s="16">
        <f t="shared" si="266"/>
        <v>0.93015411571070672</v>
      </c>
      <c r="H208" s="15">
        <f t="shared" si="279"/>
        <v>3.1721691141982715</v>
      </c>
      <c r="I208" s="17">
        <f t="shared" si="307"/>
        <v>0.64579018826848411</v>
      </c>
      <c r="J208" s="14">
        <f t="shared" si="267"/>
        <v>184</v>
      </c>
      <c r="K208" s="25">
        <f t="shared" si="308"/>
        <v>16</v>
      </c>
      <c r="L208" s="18" t="str">
        <f t="shared" ref="L208" si="328">L196</f>
        <v>abr</v>
      </c>
      <c r="M208" s="43">
        <f t="shared" si="281"/>
        <v>1000</v>
      </c>
      <c r="N208" s="53">
        <f t="shared" si="250"/>
        <v>1129.3019157091967</v>
      </c>
      <c r="O208" s="43">
        <f t="shared" si="251"/>
        <v>300</v>
      </c>
      <c r="P208" s="43">
        <f t="shared" si="269"/>
        <v>829.30191570919669</v>
      </c>
      <c r="Q208" s="43">
        <f t="shared" si="270"/>
        <v>700</v>
      </c>
      <c r="R208" s="43">
        <f t="shared" si="271"/>
        <v>129.30191570919669</v>
      </c>
      <c r="S208" s="43">
        <f t="shared" si="256"/>
        <v>7509.4094945536508</v>
      </c>
      <c r="T208" s="43">
        <f t="shared" si="272"/>
        <v>700</v>
      </c>
      <c r="U208" s="50">
        <f t="shared" si="273"/>
        <v>452.05313178793887</v>
      </c>
      <c r="V208" s="20">
        <f t="shared" si="252"/>
        <v>452.05313178793887</v>
      </c>
      <c r="W208" s="20">
        <f t="shared" si="253"/>
        <v>2759.7871293524963</v>
      </c>
      <c r="X208" s="19">
        <f t="shared" si="274"/>
        <v>2307.7339975645573</v>
      </c>
      <c r="Y208" s="38">
        <f t="shared" si="254"/>
        <v>0.83619999999999994</v>
      </c>
      <c r="Z208" s="37">
        <f t="shared" si="257"/>
        <v>306947.13493477122</v>
      </c>
      <c r="AA208" s="44">
        <f t="shared" si="258"/>
        <v>0</v>
      </c>
      <c r="AC208" s="48">
        <f t="shared" si="259"/>
        <v>2307.7339975645573</v>
      </c>
    </row>
    <row r="209" spans="1:29" x14ac:dyDescent="0.2">
      <c r="A209" s="14" t="str">
        <f t="shared" si="313"/>
        <v>Maio</v>
      </c>
      <c r="B209" s="14">
        <f t="shared" si="313"/>
        <v>31</v>
      </c>
      <c r="C209" s="15">
        <f t="shared" si="313"/>
        <v>2.98</v>
      </c>
      <c r="D209" s="15">
        <f t="shared" si="313"/>
        <v>3.3849167482859945</v>
      </c>
      <c r="E209" s="15">
        <f t="shared" si="313"/>
        <v>4.25</v>
      </c>
      <c r="F209" s="57">
        <f t="shared" si="313"/>
        <v>4.66</v>
      </c>
      <c r="G209" s="16">
        <f t="shared" si="266"/>
        <v>0.93015411571070672</v>
      </c>
      <c r="H209" s="15">
        <f t="shared" si="279"/>
        <v>3.1721691141982715</v>
      </c>
      <c r="I209" s="17">
        <f t="shared" si="307"/>
        <v>0.64579018826848411</v>
      </c>
      <c r="J209" s="14">
        <f t="shared" si="267"/>
        <v>185</v>
      </c>
      <c r="K209" s="25">
        <f t="shared" si="308"/>
        <v>16</v>
      </c>
      <c r="L209" s="18" t="str">
        <f t="shared" ref="L209" si="329">L197</f>
        <v>mai</v>
      </c>
      <c r="M209" s="43">
        <f t="shared" si="281"/>
        <v>1396</v>
      </c>
      <c r="N209" s="53">
        <f t="shared" si="250"/>
        <v>952.60841869347223</v>
      </c>
      <c r="O209" s="43">
        <f t="shared" si="251"/>
        <v>418.8</v>
      </c>
      <c r="P209" s="43">
        <f t="shared" si="269"/>
        <v>533.80841869347228</v>
      </c>
      <c r="Q209" s="43">
        <f t="shared" si="270"/>
        <v>977.2</v>
      </c>
      <c r="R209" s="43">
        <f t="shared" si="271"/>
        <v>-443.39158130652777</v>
      </c>
      <c r="S209" s="43">
        <f t="shared" si="256"/>
        <v>7066.017913247123</v>
      </c>
      <c r="T209" s="43">
        <f t="shared" si="272"/>
        <v>977.2</v>
      </c>
      <c r="U209" s="50">
        <f t="shared" si="273"/>
        <v>631.06617197596267</v>
      </c>
      <c r="V209" s="20">
        <f t="shared" si="252"/>
        <v>631.06617197596267</v>
      </c>
      <c r="W209" s="20">
        <f t="shared" si="253"/>
        <v>3852.6628325760848</v>
      </c>
      <c r="X209" s="19">
        <f t="shared" si="274"/>
        <v>3221.596660600122</v>
      </c>
      <c r="Y209" s="38">
        <f t="shared" si="254"/>
        <v>0.83619999999999994</v>
      </c>
      <c r="Z209" s="37">
        <f t="shared" si="257"/>
        <v>310168.73159537133</v>
      </c>
      <c r="AA209" s="44">
        <f t="shared" si="258"/>
        <v>0</v>
      </c>
      <c r="AC209" s="48">
        <f t="shared" si="259"/>
        <v>3221.596660600122</v>
      </c>
    </row>
    <row r="210" spans="1:29" x14ac:dyDescent="0.2">
      <c r="A210" s="14" t="str">
        <f t="shared" ref="A210:F225" si="330">A198</f>
        <v>Junho</v>
      </c>
      <c r="B210" s="14">
        <f t="shared" si="330"/>
        <v>30</v>
      </c>
      <c r="C210" s="15">
        <f t="shared" si="330"/>
        <v>2.74</v>
      </c>
      <c r="D210" s="15">
        <f t="shared" si="330"/>
        <v>3.1945151811949071</v>
      </c>
      <c r="E210" s="15">
        <f t="shared" si="330"/>
        <v>3.92</v>
      </c>
      <c r="F210" s="57">
        <f t="shared" si="330"/>
        <v>4.47</v>
      </c>
      <c r="G210" s="16">
        <f t="shared" si="266"/>
        <v>0.93015411571070672</v>
      </c>
      <c r="H210" s="15">
        <f t="shared" si="279"/>
        <v>3.1721691141982715</v>
      </c>
      <c r="I210" s="17">
        <f t="shared" si="307"/>
        <v>0.64579018826848411</v>
      </c>
      <c r="J210" s="14">
        <f t="shared" si="267"/>
        <v>186</v>
      </c>
      <c r="K210" s="25">
        <f t="shared" si="308"/>
        <v>16</v>
      </c>
      <c r="L210" s="18" t="str">
        <f t="shared" ref="L210" si="331">L198</f>
        <v>jun</v>
      </c>
      <c r="M210" s="43">
        <f t="shared" si="281"/>
        <v>1428</v>
      </c>
      <c r="N210" s="53">
        <f t="shared" si="250"/>
        <v>870.02341465351378</v>
      </c>
      <c r="O210" s="43">
        <f t="shared" si="251"/>
        <v>428.4</v>
      </c>
      <c r="P210" s="43">
        <f t="shared" si="269"/>
        <v>441.62341465351381</v>
      </c>
      <c r="Q210" s="43">
        <f t="shared" si="270"/>
        <v>999.6</v>
      </c>
      <c r="R210" s="43">
        <f t="shared" si="271"/>
        <v>-557.97658534648622</v>
      </c>
      <c r="S210" s="43">
        <f t="shared" si="256"/>
        <v>6508.041327900637</v>
      </c>
      <c r="T210" s="43">
        <f t="shared" si="272"/>
        <v>999.6</v>
      </c>
      <c r="U210" s="50">
        <f t="shared" si="273"/>
        <v>645.5318721931767</v>
      </c>
      <c r="V210" s="20">
        <f t="shared" si="252"/>
        <v>645.5318721931767</v>
      </c>
      <c r="W210" s="20">
        <f t="shared" si="253"/>
        <v>3940.9760207153645</v>
      </c>
      <c r="X210" s="19">
        <f t="shared" si="274"/>
        <v>3295.4441485221878</v>
      </c>
      <c r="Y210" s="38">
        <f t="shared" si="254"/>
        <v>0.83620000000000005</v>
      </c>
      <c r="Z210" s="37">
        <f t="shared" si="257"/>
        <v>313464.17574389349</v>
      </c>
      <c r="AA210" s="44">
        <f t="shared" si="258"/>
        <v>0</v>
      </c>
      <c r="AC210" s="48">
        <f t="shared" si="259"/>
        <v>3295.4441485221878</v>
      </c>
    </row>
    <row r="211" spans="1:29" x14ac:dyDescent="0.2">
      <c r="A211" s="14" t="str">
        <f t="shared" si="330"/>
        <v>Julho</v>
      </c>
      <c r="B211" s="14">
        <f t="shared" si="330"/>
        <v>31</v>
      </c>
      <c r="C211" s="15">
        <f t="shared" si="330"/>
        <v>2.91</v>
      </c>
      <c r="D211" s="15">
        <f t="shared" si="330"/>
        <v>3.4272282076395695</v>
      </c>
      <c r="E211" s="15">
        <f t="shared" si="330"/>
        <v>4.18</v>
      </c>
      <c r="F211" s="57">
        <f t="shared" si="330"/>
        <v>4.74</v>
      </c>
      <c r="G211" s="16">
        <f t="shared" si="266"/>
        <v>0.93015411571070672</v>
      </c>
      <c r="H211" s="15">
        <f t="shared" si="279"/>
        <v>3.1721691141982715</v>
      </c>
      <c r="I211" s="17">
        <f t="shared" si="307"/>
        <v>0.64579018826848411</v>
      </c>
      <c r="J211" s="14">
        <f t="shared" si="267"/>
        <v>187</v>
      </c>
      <c r="K211" s="25">
        <f t="shared" si="308"/>
        <v>16</v>
      </c>
      <c r="L211" s="18" t="str">
        <f t="shared" ref="L211" si="332">L199</f>
        <v>jul</v>
      </c>
      <c r="M211" s="43">
        <f t="shared" si="281"/>
        <v>1392</v>
      </c>
      <c r="N211" s="53">
        <f t="shared" si="250"/>
        <v>964.51602392714062</v>
      </c>
      <c r="O211" s="43">
        <f t="shared" si="251"/>
        <v>417.59999999999997</v>
      </c>
      <c r="P211" s="43">
        <f t="shared" si="269"/>
        <v>546.91602392714071</v>
      </c>
      <c r="Q211" s="43">
        <f t="shared" si="270"/>
        <v>974.40000000000009</v>
      </c>
      <c r="R211" s="43">
        <f t="shared" si="271"/>
        <v>-427.48397607285938</v>
      </c>
      <c r="S211" s="43">
        <f t="shared" si="256"/>
        <v>6080.5573518277779</v>
      </c>
      <c r="T211" s="43">
        <f t="shared" si="272"/>
        <v>974.40000000000009</v>
      </c>
      <c r="U211" s="50">
        <f t="shared" si="273"/>
        <v>629.25795944881099</v>
      </c>
      <c r="V211" s="20">
        <f t="shared" si="252"/>
        <v>629.25795944881099</v>
      </c>
      <c r="W211" s="20">
        <f t="shared" si="253"/>
        <v>3841.6236840586748</v>
      </c>
      <c r="X211" s="19">
        <f t="shared" si="274"/>
        <v>3212.3657246098637</v>
      </c>
      <c r="Y211" s="38">
        <f t="shared" si="254"/>
        <v>0.83619999999999994</v>
      </c>
      <c r="Z211" s="37">
        <f t="shared" si="257"/>
        <v>316676.54146850336</v>
      </c>
      <c r="AA211" s="44">
        <f t="shared" si="258"/>
        <v>0</v>
      </c>
      <c r="AC211" s="48">
        <f t="shared" si="259"/>
        <v>3212.3657246098637</v>
      </c>
    </row>
    <row r="212" spans="1:29" x14ac:dyDescent="0.2">
      <c r="A212" s="14" t="str">
        <f t="shared" si="330"/>
        <v>Agosto</v>
      </c>
      <c r="B212" s="14">
        <f t="shared" si="330"/>
        <v>31</v>
      </c>
      <c r="C212" s="15">
        <f t="shared" si="330"/>
        <v>3.45</v>
      </c>
      <c r="D212" s="15">
        <f t="shared" si="330"/>
        <v>4.1147894221351615</v>
      </c>
      <c r="E212" s="15">
        <f t="shared" si="330"/>
        <v>4.83</v>
      </c>
      <c r="F212" s="57">
        <f t="shared" si="330"/>
        <v>5.21</v>
      </c>
      <c r="G212" s="16">
        <f t="shared" si="266"/>
        <v>0.93015411571070672</v>
      </c>
      <c r="H212" s="15">
        <f t="shared" si="279"/>
        <v>3.1721691141982715</v>
      </c>
      <c r="I212" s="17">
        <f t="shared" si="307"/>
        <v>0.64579018826848411</v>
      </c>
      <c r="J212" s="14">
        <f t="shared" si="267"/>
        <v>188</v>
      </c>
      <c r="K212" s="25">
        <f t="shared" si="308"/>
        <v>16</v>
      </c>
      <c r="L212" s="18" t="str">
        <f t="shared" ref="L212" si="333">L200</f>
        <v>ago</v>
      </c>
      <c r="M212" s="43">
        <f t="shared" si="281"/>
        <v>1520</v>
      </c>
      <c r="N212" s="53">
        <f t="shared" si="250"/>
        <v>1158.014608974252</v>
      </c>
      <c r="O212" s="43">
        <f t="shared" si="251"/>
        <v>456</v>
      </c>
      <c r="P212" s="43">
        <f t="shared" si="269"/>
        <v>702.01460897425204</v>
      </c>
      <c r="Q212" s="43">
        <f t="shared" si="270"/>
        <v>1064</v>
      </c>
      <c r="R212" s="43">
        <f t="shared" si="271"/>
        <v>-361.98539102574796</v>
      </c>
      <c r="S212" s="43">
        <f t="shared" si="256"/>
        <v>5718.5719608020299</v>
      </c>
      <c r="T212" s="43">
        <f t="shared" si="272"/>
        <v>1064</v>
      </c>
      <c r="U212" s="50">
        <f t="shared" si="273"/>
        <v>687.12076031766708</v>
      </c>
      <c r="V212" s="20">
        <f t="shared" si="252"/>
        <v>687.12076031766708</v>
      </c>
      <c r="W212" s="20">
        <f t="shared" si="253"/>
        <v>4194.8764366157948</v>
      </c>
      <c r="X212" s="19">
        <f t="shared" si="274"/>
        <v>3507.7556762981276</v>
      </c>
      <c r="Y212" s="38">
        <f t="shared" si="254"/>
        <v>0.83619999999999994</v>
      </c>
      <c r="Z212" s="37">
        <f t="shared" si="257"/>
        <v>320184.29714480147</v>
      </c>
      <c r="AA212" s="44">
        <f t="shared" si="258"/>
        <v>0</v>
      </c>
      <c r="AC212" s="48">
        <f t="shared" si="259"/>
        <v>3507.7556762981276</v>
      </c>
    </row>
    <row r="213" spans="1:29" x14ac:dyDescent="0.2">
      <c r="A213" s="14" t="str">
        <f t="shared" si="330"/>
        <v>Setembro</v>
      </c>
      <c r="B213" s="14">
        <f t="shared" si="330"/>
        <v>30</v>
      </c>
      <c r="C213" s="15">
        <f t="shared" si="330"/>
        <v>3.82</v>
      </c>
      <c r="D213" s="15">
        <f t="shared" si="330"/>
        <v>4.2417238001958868</v>
      </c>
      <c r="E213" s="15">
        <f t="shared" si="330"/>
        <v>5.12</v>
      </c>
      <c r="F213" s="57">
        <f t="shared" si="330"/>
        <v>5.1100000000000003</v>
      </c>
      <c r="G213" s="16">
        <f t="shared" si="266"/>
        <v>0.93015411571070672</v>
      </c>
      <c r="H213" s="15">
        <f t="shared" si="279"/>
        <v>3.1721691141982715</v>
      </c>
      <c r="I213" s="17">
        <f t="shared" si="307"/>
        <v>0.64579018826848411</v>
      </c>
      <c r="J213" s="14">
        <f t="shared" si="267"/>
        <v>189</v>
      </c>
      <c r="K213" s="25">
        <f t="shared" si="308"/>
        <v>16</v>
      </c>
      <c r="L213" s="18" t="str">
        <f t="shared" ref="L213" si="334">L201</f>
        <v>set</v>
      </c>
      <c r="M213" s="43">
        <f t="shared" si="281"/>
        <v>1400</v>
      </c>
      <c r="N213" s="53">
        <f t="shared" si="250"/>
        <v>1155.2297658147654</v>
      </c>
      <c r="O213" s="43">
        <f t="shared" si="251"/>
        <v>420</v>
      </c>
      <c r="P213" s="43">
        <f t="shared" si="269"/>
        <v>735.22976581476541</v>
      </c>
      <c r="Q213" s="43">
        <f t="shared" si="270"/>
        <v>980</v>
      </c>
      <c r="R213" s="43">
        <f t="shared" si="271"/>
        <v>-244.77023418523459</v>
      </c>
      <c r="S213" s="43">
        <f t="shared" si="256"/>
        <v>5473.8017266167953</v>
      </c>
      <c r="T213" s="43">
        <f t="shared" si="272"/>
        <v>980</v>
      </c>
      <c r="U213" s="50">
        <f t="shared" si="273"/>
        <v>632.87438450311447</v>
      </c>
      <c r="V213" s="20">
        <f t="shared" si="252"/>
        <v>632.87438450311447</v>
      </c>
      <c r="W213" s="20">
        <f t="shared" si="253"/>
        <v>3863.7019810934949</v>
      </c>
      <c r="X213" s="19">
        <f t="shared" si="274"/>
        <v>3230.8275965903804</v>
      </c>
      <c r="Y213" s="38">
        <f t="shared" si="254"/>
        <v>0.83619999999999994</v>
      </c>
      <c r="Z213" s="37">
        <f t="shared" si="257"/>
        <v>323415.12474139186</v>
      </c>
      <c r="AA213" s="44">
        <f t="shared" si="258"/>
        <v>0</v>
      </c>
      <c r="AC213" s="48">
        <f t="shared" si="259"/>
        <v>3230.8275965903804</v>
      </c>
    </row>
    <row r="214" spans="1:29" x14ac:dyDescent="0.2">
      <c r="A214" s="14" t="str">
        <f t="shared" si="330"/>
        <v>Outubro</v>
      </c>
      <c r="B214" s="14">
        <f t="shared" si="330"/>
        <v>31</v>
      </c>
      <c r="C214" s="15">
        <f t="shared" si="330"/>
        <v>4.33</v>
      </c>
      <c r="D214" s="15">
        <f t="shared" si="330"/>
        <v>4.8763956904995114</v>
      </c>
      <c r="E214" s="15">
        <f t="shared" si="330"/>
        <v>5.57</v>
      </c>
      <c r="F214" s="57">
        <f t="shared" si="330"/>
        <v>5.17</v>
      </c>
      <c r="G214" s="16">
        <f t="shared" si="266"/>
        <v>0.93015411571070672</v>
      </c>
      <c r="H214" s="15">
        <f t="shared" si="279"/>
        <v>3.1721691141982715</v>
      </c>
      <c r="I214" s="17">
        <f t="shared" si="307"/>
        <v>0.64579018826848411</v>
      </c>
      <c r="J214" s="14">
        <f t="shared" si="267"/>
        <v>190</v>
      </c>
      <c r="K214" s="25">
        <f t="shared" si="308"/>
        <v>16</v>
      </c>
      <c r="L214" s="18" t="str">
        <f t="shared" ref="L214" si="335">L202</f>
        <v>out</v>
      </c>
      <c r="M214" s="43">
        <f t="shared" si="281"/>
        <v>1340</v>
      </c>
      <c r="N214" s="53">
        <f t="shared" si="250"/>
        <v>1372.3515031802833</v>
      </c>
      <c r="O214" s="43">
        <f t="shared" si="251"/>
        <v>402</v>
      </c>
      <c r="P214" s="43">
        <f t="shared" si="269"/>
        <v>970.35150318028332</v>
      </c>
      <c r="Q214" s="43">
        <f t="shared" si="270"/>
        <v>938</v>
      </c>
      <c r="R214" s="43">
        <f t="shared" si="271"/>
        <v>32.351503180283316</v>
      </c>
      <c r="S214" s="43">
        <f t="shared" si="256"/>
        <v>5506.1532297970789</v>
      </c>
      <c r="T214" s="43">
        <f t="shared" si="272"/>
        <v>938</v>
      </c>
      <c r="U214" s="50">
        <f t="shared" si="273"/>
        <v>605.75119659583811</v>
      </c>
      <c r="V214" s="20">
        <f t="shared" si="252"/>
        <v>605.75119659583811</v>
      </c>
      <c r="W214" s="20">
        <f t="shared" si="253"/>
        <v>3698.1147533323447</v>
      </c>
      <c r="X214" s="19">
        <f t="shared" si="274"/>
        <v>3092.3635567365063</v>
      </c>
      <c r="Y214" s="38">
        <f t="shared" si="254"/>
        <v>0.83619999999999994</v>
      </c>
      <c r="Z214" s="37">
        <f t="shared" si="257"/>
        <v>326507.48829812836</v>
      </c>
      <c r="AA214" s="44">
        <f t="shared" si="258"/>
        <v>0</v>
      </c>
      <c r="AC214" s="48">
        <f t="shared" si="259"/>
        <v>3092.3635567365063</v>
      </c>
    </row>
    <row r="215" spans="1:29" x14ac:dyDescent="0.2">
      <c r="A215" s="14" t="str">
        <f t="shared" si="330"/>
        <v>Novembro</v>
      </c>
      <c r="B215" s="14">
        <f t="shared" si="330"/>
        <v>30</v>
      </c>
      <c r="C215" s="15">
        <f t="shared" si="330"/>
        <v>4.68</v>
      </c>
      <c r="D215" s="15">
        <f t="shared" si="330"/>
        <v>5.5745347698334964</v>
      </c>
      <c r="E215" s="15">
        <f t="shared" si="330"/>
        <v>5.89</v>
      </c>
      <c r="F215" s="57">
        <f t="shared" si="330"/>
        <v>5.23</v>
      </c>
      <c r="G215" s="16">
        <f t="shared" si="266"/>
        <v>0.93015411571070672</v>
      </c>
      <c r="H215" s="15">
        <f t="shared" si="279"/>
        <v>3.1721691141982715</v>
      </c>
      <c r="I215" s="17">
        <f t="shared" si="307"/>
        <v>0.64579018826848411</v>
      </c>
      <c r="J215" s="14">
        <f t="shared" si="267"/>
        <v>191</v>
      </c>
      <c r="K215" s="25">
        <f t="shared" si="308"/>
        <v>16</v>
      </c>
      <c r="L215" s="18" t="str">
        <f t="shared" ref="L215" si="336">L203</f>
        <v>nov</v>
      </c>
      <c r="M215" s="43">
        <f t="shared" si="281"/>
        <v>1288</v>
      </c>
      <c r="N215" s="53">
        <f t="shared" si="250"/>
        <v>1518.2196672927212</v>
      </c>
      <c r="O215" s="43">
        <f t="shared" si="251"/>
        <v>386.4</v>
      </c>
      <c r="P215" s="43">
        <f t="shared" si="269"/>
        <v>1131.8196672927211</v>
      </c>
      <c r="Q215" s="43">
        <f t="shared" si="270"/>
        <v>901.6</v>
      </c>
      <c r="R215" s="43">
        <f t="shared" si="271"/>
        <v>230.21966729272106</v>
      </c>
      <c r="S215" s="43">
        <f t="shared" si="256"/>
        <v>5736.3728970898001</v>
      </c>
      <c r="T215" s="43">
        <f t="shared" si="272"/>
        <v>901.6</v>
      </c>
      <c r="U215" s="50">
        <f t="shared" si="273"/>
        <v>582.24443374286534</v>
      </c>
      <c r="V215" s="20">
        <f t="shared" si="252"/>
        <v>582.24443374286534</v>
      </c>
      <c r="W215" s="20">
        <f t="shared" si="253"/>
        <v>3554.605822606015</v>
      </c>
      <c r="X215" s="19">
        <f t="shared" si="274"/>
        <v>2972.3613888631498</v>
      </c>
      <c r="Y215" s="38">
        <f t="shared" si="254"/>
        <v>0.83620000000000005</v>
      </c>
      <c r="Z215" s="37">
        <f t="shared" si="257"/>
        <v>329479.84968699148</v>
      </c>
      <c r="AA215" s="44">
        <f t="shared" si="258"/>
        <v>0</v>
      </c>
      <c r="AC215" s="48">
        <f t="shared" si="259"/>
        <v>2972.3613888631498</v>
      </c>
    </row>
    <row r="216" spans="1:29" x14ac:dyDescent="0.2">
      <c r="A216" s="14" t="str">
        <f t="shared" si="330"/>
        <v>Dezembro</v>
      </c>
      <c r="B216" s="14">
        <f t="shared" si="330"/>
        <v>31</v>
      </c>
      <c r="C216" s="15">
        <f t="shared" si="330"/>
        <v>4.8499999999999996</v>
      </c>
      <c r="D216" s="15">
        <f t="shared" si="330"/>
        <v>5.6062683643486775</v>
      </c>
      <c r="E216" s="15">
        <f t="shared" si="330"/>
        <v>6.05</v>
      </c>
      <c r="F216" s="57">
        <f t="shared" si="330"/>
        <v>5.29</v>
      </c>
      <c r="G216" s="16">
        <f t="shared" si="266"/>
        <v>0.93015411571070672</v>
      </c>
      <c r="H216" s="15">
        <f t="shared" si="279"/>
        <v>3.1721691141982715</v>
      </c>
      <c r="I216" s="17">
        <f t="shared" si="307"/>
        <v>0.64579018826848411</v>
      </c>
      <c r="J216" s="14">
        <f t="shared" si="267"/>
        <v>192</v>
      </c>
      <c r="K216" s="25">
        <f t="shared" si="308"/>
        <v>16</v>
      </c>
      <c r="L216" s="18" t="str">
        <f t="shared" ref="L216" si="337">L204</f>
        <v>dez</v>
      </c>
      <c r="M216" s="43">
        <f t="shared" si="281"/>
        <v>1140</v>
      </c>
      <c r="N216" s="53">
        <f t="shared" si="250"/>
        <v>1577.7576934610631</v>
      </c>
      <c r="O216" s="43">
        <f t="shared" si="251"/>
        <v>342</v>
      </c>
      <c r="P216" s="43">
        <f t="shared" si="269"/>
        <v>1235.7576934610631</v>
      </c>
      <c r="Q216" s="43">
        <f t="shared" si="270"/>
        <v>798</v>
      </c>
      <c r="R216" s="43">
        <f t="shared" si="271"/>
        <v>437.75769346106313</v>
      </c>
      <c r="S216" s="43">
        <f t="shared" si="256"/>
        <v>6174.1305905508634</v>
      </c>
      <c r="T216" s="43">
        <f t="shared" si="272"/>
        <v>798</v>
      </c>
      <c r="U216" s="50">
        <f t="shared" si="273"/>
        <v>515.34057023825028</v>
      </c>
      <c r="V216" s="20">
        <f t="shared" si="252"/>
        <v>515.34057023825028</v>
      </c>
      <c r="W216" s="20">
        <f t="shared" si="253"/>
        <v>3146.1573274618454</v>
      </c>
      <c r="X216" s="19">
        <f t="shared" si="274"/>
        <v>2630.8167572235952</v>
      </c>
      <c r="Y216" s="38">
        <f t="shared" si="254"/>
        <v>0.83620000000000005</v>
      </c>
      <c r="Z216" s="37">
        <f t="shared" si="257"/>
        <v>332110.66644421505</v>
      </c>
      <c r="AA216" s="44">
        <f t="shared" si="258"/>
        <v>0</v>
      </c>
      <c r="AC216" s="48">
        <f t="shared" si="259"/>
        <v>2630.8167572235952</v>
      </c>
    </row>
    <row r="217" spans="1:29" x14ac:dyDescent="0.2">
      <c r="A217" s="14" t="str">
        <f t="shared" si="330"/>
        <v>Janeiro</v>
      </c>
      <c r="B217" s="14">
        <f t="shared" si="330"/>
        <v>30</v>
      </c>
      <c r="C217" s="15">
        <f t="shared" si="330"/>
        <v>4.87</v>
      </c>
      <c r="D217" s="15">
        <f t="shared" si="330"/>
        <v>5.4581782566111663</v>
      </c>
      <c r="E217" s="15">
        <f t="shared" si="330"/>
        <v>6.01</v>
      </c>
      <c r="F217" s="57">
        <f t="shared" si="330"/>
        <v>5.31</v>
      </c>
      <c r="G217" s="16">
        <f t="shared" si="266"/>
        <v>0.92602051082048831</v>
      </c>
      <c r="H217" s="15">
        <f t="shared" si="279"/>
        <v>3.4259426433341331</v>
      </c>
      <c r="I217" s="17">
        <f t="shared" si="307"/>
        <v>0.69745340332996286</v>
      </c>
      <c r="J217" s="14">
        <f t="shared" si="267"/>
        <v>193</v>
      </c>
      <c r="K217" s="25">
        <f t="shared" si="308"/>
        <v>17</v>
      </c>
      <c r="L217" s="18" t="str">
        <f t="shared" ref="L217" si="338">L205</f>
        <v>jan</v>
      </c>
      <c r="M217" s="43">
        <f t="shared" si="281"/>
        <v>836</v>
      </c>
      <c r="N217" s="53">
        <f t="shared" ref="N217:N280" si="339">B217*IF($A$6="Curitiba",D217,F217)*0.8*$B$9*G217</f>
        <v>1479.9239330760845</v>
      </c>
      <c r="O217" s="43">
        <f t="shared" ref="O217:O280" si="340">MIN($B$11*M217,N217)</f>
        <v>250.79999999999998</v>
      </c>
      <c r="P217" s="43">
        <f t="shared" si="269"/>
        <v>1229.1239330760845</v>
      </c>
      <c r="Q217" s="43">
        <f t="shared" si="270"/>
        <v>585.20000000000005</v>
      </c>
      <c r="R217" s="43">
        <f t="shared" si="271"/>
        <v>643.9239330760845</v>
      </c>
      <c r="S217" s="43">
        <f t="shared" si="256"/>
        <v>6818.0545236269481</v>
      </c>
      <c r="T217" s="43">
        <f t="shared" si="272"/>
        <v>585.20000000000005</v>
      </c>
      <c r="U217" s="50">
        <f t="shared" si="273"/>
        <v>408.14973162869433</v>
      </c>
      <c r="V217" s="20">
        <f t="shared" ref="V217:V280" si="341">IF(U217+((Q217-T217)*$B$2*H217)&lt;$B$5*$B$2*H217,$B$5*$B$2*H217,U217+((Q217-T217)*$B$2*H217))</f>
        <v>408.14973162869433</v>
      </c>
      <c r="W217" s="20">
        <f t="shared" ref="W217:W280" si="342">M217*$B$2*H217</f>
        <v>2491.7566033497819</v>
      </c>
      <c r="X217" s="19">
        <f t="shared" si="274"/>
        <v>2083.6068717210874</v>
      </c>
      <c r="Y217" s="38">
        <f t="shared" ref="Y217:Y280" si="343">X217/W217</f>
        <v>0.83619999999999994</v>
      </c>
      <c r="Z217" s="37">
        <f t="shared" si="257"/>
        <v>334194.27331593615</v>
      </c>
      <c r="AA217" s="44">
        <f t="shared" si="258"/>
        <v>0</v>
      </c>
      <c r="AC217" s="48">
        <f t="shared" si="259"/>
        <v>2083.6068717210874</v>
      </c>
    </row>
    <row r="218" spans="1:29" x14ac:dyDescent="0.2">
      <c r="A218" s="14" t="str">
        <f t="shared" si="330"/>
        <v>Fevereiro</v>
      </c>
      <c r="B218" s="14">
        <f t="shared" si="330"/>
        <v>28</v>
      </c>
      <c r="C218" s="15">
        <f t="shared" si="330"/>
        <v>4.75</v>
      </c>
      <c r="D218" s="15">
        <f t="shared" si="330"/>
        <v>5.2254652301665043</v>
      </c>
      <c r="E218" s="15">
        <f t="shared" si="330"/>
        <v>5.82</v>
      </c>
      <c r="F218" s="57">
        <f t="shared" si="330"/>
        <v>5.28</v>
      </c>
      <c r="G218" s="16">
        <f t="shared" si="266"/>
        <v>0.92602051082048831</v>
      </c>
      <c r="H218" s="15">
        <f t="shared" si="279"/>
        <v>3.4259426433341331</v>
      </c>
      <c r="I218" s="17">
        <f t="shared" si="307"/>
        <v>0.69745340332996286</v>
      </c>
      <c r="J218" s="14">
        <f t="shared" si="267"/>
        <v>194</v>
      </c>
      <c r="K218" s="25">
        <f t="shared" si="308"/>
        <v>17</v>
      </c>
      <c r="L218" s="18" t="str">
        <f t="shared" ref="L218" si="344">L206</f>
        <v>fev</v>
      </c>
      <c r="M218" s="43">
        <f t="shared" si="281"/>
        <v>1088</v>
      </c>
      <c r="N218" s="53">
        <f t="shared" si="339"/>
        <v>1322.3713076426616</v>
      </c>
      <c r="O218" s="43">
        <f t="shared" si="340"/>
        <v>326.39999999999998</v>
      </c>
      <c r="P218" s="43">
        <f t="shared" si="269"/>
        <v>995.9713076426616</v>
      </c>
      <c r="Q218" s="43">
        <f t="shared" si="270"/>
        <v>761.6</v>
      </c>
      <c r="R218" s="43">
        <f t="shared" si="271"/>
        <v>234.37130764266158</v>
      </c>
      <c r="S218" s="43">
        <f t="shared" ref="S218:S281" si="345">MAX(0,S217+R218)</f>
        <v>7052.4258312696093</v>
      </c>
      <c r="T218" s="43">
        <f t="shared" si="272"/>
        <v>761.6</v>
      </c>
      <c r="U218" s="50">
        <f t="shared" si="273"/>
        <v>531.18051197609975</v>
      </c>
      <c r="V218" s="20">
        <f t="shared" si="341"/>
        <v>531.18051197609975</v>
      </c>
      <c r="W218" s="20">
        <f t="shared" si="342"/>
        <v>3242.8602684743569</v>
      </c>
      <c r="X218" s="19">
        <f t="shared" si="274"/>
        <v>2711.6797564982571</v>
      </c>
      <c r="Y218" s="38">
        <f t="shared" si="343"/>
        <v>0.83619999999999994</v>
      </c>
      <c r="Z218" s="37">
        <f t="shared" ref="Z218:Z281" si="346">Z217+X218</f>
        <v>336905.95307243441</v>
      </c>
      <c r="AA218" s="44">
        <f t="shared" ref="AA218:AA281" si="347">IF(AND(Z218&gt;0,Z217&lt;0),J218,0)</f>
        <v>0</v>
      </c>
      <c r="AC218" s="48">
        <f t="shared" ref="AC218:AC281" si="348">X218</f>
        <v>2711.6797564982571</v>
      </c>
    </row>
    <row r="219" spans="1:29" x14ac:dyDescent="0.2">
      <c r="A219" s="14" t="str">
        <f t="shared" si="330"/>
        <v>Março</v>
      </c>
      <c r="B219" s="14">
        <f t="shared" si="330"/>
        <v>31</v>
      </c>
      <c r="C219" s="15">
        <f t="shared" si="330"/>
        <v>4.21</v>
      </c>
      <c r="D219" s="15">
        <f t="shared" si="330"/>
        <v>4.7494613124387861</v>
      </c>
      <c r="E219" s="15">
        <f t="shared" si="330"/>
        <v>5.43</v>
      </c>
      <c r="F219" s="57">
        <f t="shared" si="330"/>
        <v>5.14</v>
      </c>
      <c r="G219" s="16">
        <f t="shared" si="266"/>
        <v>0.92602051082048831</v>
      </c>
      <c r="H219" s="15">
        <f t="shared" si="279"/>
        <v>3.4259426433341331</v>
      </c>
      <c r="I219" s="17">
        <f t="shared" si="307"/>
        <v>0.69745340332996286</v>
      </c>
      <c r="J219" s="14">
        <f t="shared" si="267"/>
        <v>195</v>
      </c>
      <c r="K219" s="25">
        <f t="shared" si="308"/>
        <v>17</v>
      </c>
      <c r="L219" s="18" t="str">
        <f t="shared" ref="L219" si="349">L207</f>
        <v>mar</v>
      </c>
      <c r="M219" s="43">
        <f t="shared" si="281"/>
        <v>1152</v>
      </c>
      <c r="N219" s="53">
        <f t="shared" si="339"/>
        <v>1330.6887095921202</v>
      </c>
      <c r="O219" s="43">
        <f t="shared" si="340"/>
        <v>345.59999999999997</v>
      </c>
      <c r="P219" s="43">
        <f t="shared" si="269"/>
        <v>985.08870959212027</v>
      </c>
      <c r="Q219" s="43">
        <f t="shared" si="270"/>
        <v>806.40000000000009</v>
      </c>
      <c r="R219" s="43">
        <f t="shared" si="271"/>
        <v>178.68870959212018</v>
      </c>
      <c r="S219" s="43">
        <f t="shared" si="345"/>
        <v>7231.1145408617294</v>
      </c>
      <c r="T219" s="43">
        <f t="shared" si="272"/>
        <v>806.40000000000009</v>
      </c>
      <c r="U219" s="50">
        <f t="shared" si="273"/>
        <v>562.42642444528212</v>
      </c>
      <c r="V219" s="20">
        <f t="shared" si="341"/>
        <v>562.42642444528212</v>
      </c>
      <c r="W219" s="20">
        <f t="shared" si="342"/>
        <v>3433.6167548552016</v>
      </c>
      <c r="X219" s="19">
        <f t="shared" si="274"/>
        <v>2871.1903304099196</v>
      </c>
      <c r="Y219" s="38">
        <f t="shared" si="343"/>
        <v>0.83620000000000005</v>
      </c>
      <c r="Z219" s="37">
        <f t="shared" si="346"/>
        <v>339777.14340284432</v>
      </c>
      <c r="AA219" s="44">
        <f t="shared" si="347"/>
        <v>0</v>
      </c>
      <c r="AC219" s="48">
        <f t="shared" si="348"/>
        <v>2871.1903304099196</v>
      </c>
    </row>
    <row r="220" spans="1:29" x14ac:dyDescent="0.2">
      <c r="A220" s="14" t="str">
        <f t="shared" si="330"/>
        <v>Abril</v>
      </c>
      <c r="B220" s="14">
        <f t="shared" si="330"/>
        <v>30</v>
      </c>
      <c r="C220" s="15">
        <f t="shared" si="330"/>
        <v>3.59</v>
      </c>
      <c r="D220" s="15">
        <f t="shared" si="330"/>
        <v>4.1465230166503426</v>
      </c>
      <c r="E220" s="15">
        <f t="shared" si="330"/>
        <v>4.91</v>
      </c>
      <c r="F220" s="57">
        <f t="shared" si="330"/>
        <v>4.97</v>
      </c>
      <c r="G220" s="16">
        <f t="shared" si="266"/>
        <v>0.92602051082048831</v>
      </c>
      <c r="H220" s="15">
        <f t="shared" si="279"/>
        <v>3.4259426433341331</v>
      </c>
      <c r="I220" s="17">
        <f t="shared" si="307"/>
        <v>0.69745340332996286</v>
      </c>
      <c r="J220" s="14">
        <f t="shared" si="267"/>
        <v>196</v>
      </c>
      <c r="K220" s="25">
        <f t="shared" si="308"/>
        <v>17</v>
      </c>
      <c r="L220" s="18" t="str">
        <f t="shared" ref="L220" si="350">L208</f>
        <v>abr</v>
      </c>
      <c r="M220" s="43">
        <f t="shared" si="281"/>
        <v>1000</v>
      </c>
      <c r="N220" s="53">
        <f t="shared" si="339"/>
        <v>1124.283297995785</v>
      </c>
      <c r="O220" s="43">
        <f t="shared" si="340"/>
        <v>300</v>
      </c>
      <c r="P220" s="43">
        <f t="shared" si="269"/>
        <v>824.28329799578501</v>
      </c>
      <c r="Q220" s="43">
        <f t="shared" si="270"/>
        <v>700</v>
      </c>
      <c r="R220" s="43">
        <f t="shared" si="271"/>
        <v>124.28329799578501</v>
      </c>
      <c r="S220" s="43">
        <f t="shared" si="345"/>
        <v>7355.3978388575142</v>
      </c>
      <c r="T220" s="43">
        <f t="shared" si="272"/>
        <v>700</v>
      </c>
      <c r="U220" s="50">
        <f t="shared" si="273"/>
        <v>488.21738233097398</v>
      </c>
      <c r="V220" s="20">
        <f t="shared" si="341"/>
        <v>488.21738233097398</v>
      </c>
      <c r="W220" s="20">
        <f t="shared" si="342"/>
        <v>2980.5700997006957</v>
      </c>
      <c r="X220" s="19">
        <f t="shared" si="274"/>
        <v>2492.3527173697216</v>
      </c>
      <c r="Y220" s="38">
        <f t="shared" si="343"/>
        <v>0.83619999999999994</v>
      </c>
      <c r="Z220" s="37">
        <f t="shared" si="346"/>
        <v>342269.49612021405</v>
      </c>
      <c r="AA220" s="44">
        <f t="shared" si="347"/>
        <v>0</v>
      </c>
      <c r="AC220" s="48">
        <f t="shared" si="348"/>
        <v>2492.3527173697216</v>
      </c>
    </row>
    <row r="221" spans="1:29" x14ac:dyDescent="0.2">
      <c r="A221" s="14" t="str">
        <f t="shared" si="330"/>
        <v>Maio</v>
      </c>
      <c r="B221" s="14">
        <f t="shared" si="330"/>
        <v>31</v>
      </c>
      <c r="C221" s="15">
        <f t="shared" si="330"/>
        <v>2.98</v>
      </c>
      <c r="D221" s="15">
        <f t="shared" si="330"/>
        <v>3.3849167482859945</v>
      </c>
      <c r="E221" s="15">
        <f t="shared" si="330"/>
        <v>4.25</v>
      </c>
      <c r="F221" s="57">
        <f t="shared" si="330"/>
        <v>4.66</v>
      </c>
      <c r="G221" s="16">
        <f t="shared" si="266"/>
        <v>0.92602051082048831</v>
      </c>
      <c r="H221" s="15">
        <f t="shared" si="279"/>
        <v>3.4259426433341331</v>
      </c>
      <c r="I221" s="17">
        <f t="shared" si="307"/>
        <v>0.69745340332996286</v>
      </c>
      <c r="J221" s="14">
        <f t="shared" si="267"/>
        <v>197</v>
      </c>
      <c r="K221" s="25">
        <f t="shared" si="308"/>
        <v>17</v>
      </c>
      <c r="L221" s="18" t="str">
        <f t="shared" ref="L221" si="351">L209</f>
        <v>mai</v>
      </c>
      <c r="M221" s="43">
        <f t="shared" si="281"/>
        <v>1396</v>
      </c>
      <c r="N221" s="53">
        <f t="shared" si="339"/>
        <v>948.37502688079837</v>
      </c>
      <c r="O221" s="43">
        <f t="shared" si="340"/>
        <v>418.8</v>
      </c>
      <c r="P221" s="43">
        <f t="shared" si="269"/>
        <v>529.5750268807983</v>
      </c>
      <c r="Q221" s="43">
        <f t="shared" si="270"/>
        <v>977.2</v>
      </c>
      <c r="R221" s="43">
        <f t="shared" si="271"/>
        <v>-447.62497311920174</v>
      </c>
      <c r="S221" s="43">
        <f t="shared" si="345"/>
        <v>6907.7728657383122</v>
      </c>
      <c r="T221" s="43">
        <f t="shared" si="272"/>
        <v>977.2</v>
      </c>
      <c r="U221" s="50">
        <f t="shared" si="273"/>
        <v>681.55146573403977</v>
      </c>
      <c r="V221" s="20">
        <f t="shared" si="341"/>
        <v>681.55146573403977</v>
      </c>
      <c r="W221" s="20">
        <f t="shared" si="342"/>
        <v>4160.8758591821716</v>
      </c>
      <c r="X221" s="19">
        <f t="shared" si="274"/>
        <v>3479.3243934481316</v>
      </c>
      <c r="Y221" s="38">
        <f t="shared" si="343"/>
        <v>0.83619999999999994</v>
      </c>
      <c r="Z221" s="37">
        <f t="shared" si="346"/>
        <v>345748.82051366218</v>
      </c>
      <c r="AA221" s="44">
        <f t="shared" si="347"/>
        <v>0</v>
      </c>
      <c r="AC221" s="48">
        <f t="shared" si="348"/>
        <v>3479.3243934481316</v>
      </c>
    </row>
    <row r="222" spans="1:29" x14ac:dyDescent="0.2">
      <c r="A222" s="14" t="str">
        <f t="shared" si="330"/>
        <v>Junho</v>
      </c>
      <c r="B222" s="14">
        <f t="shared" si="330"/>
        <v>30</v>
      </c>
      <c r="C222" s="15">
        <f t="shared" si="330"/>
        <v>2.74</v>
      </c>
      <c r="D222" s="15">
        <f t="shared" si="330"/>
        <v>3.1945151811949071</v>
      </c>
      <c r="E222" s="15">
        <f t="shared" si="330"/>
        <v>3.92</v>
      </c>
      <c r="F222" s="57">
        <f t="shared" si="330"/>
        <v>4.47</v>
      </c>
      <c r="G222" s="16">
        <f t="shared" si="266"/>
        <v>0.92602051082048831</v>
      </c>
      <c r="H222" s="15">
        <f t="shared" si="279"/>
        <v>3.4259426433341331</v>
      </c>
      <c r="I222" s="17">
        <f t="shared" si="307"/>
        <v>0.69745340332996286</v>
      </c>
      <c r="J222" s="14">
        <f t="shared" si="267"/>
        <v>198</v>
      </c>
      <c r="K222" s="25">
        <f t="shared" si="308"/>
        <v>17</v>
      </c>
      <c r="L222" s="18" t="str">
        <f t="shared" ref="L222" si="352">L210</f>
        <v>jun</v>
      </c>
      <c r="M222" s="43">
        <f t="shared" si="281"/>
        <v>1428</v>
      </c>
      <c r="N222" s="53">
        <f t="shared" si="339"/>
        <v>866.15703059879354</v>
      </c>
      <c r="O222" s="43">
        <f t="shared" si="340"/>
        <v>428.4</v>
      </c>
      <c r="P222" s="43">
        <f t="shared" si="269"/>
        <v>437.75703059879356</v>
      </c>
      <c r="Q222" s="43">
        <f t="shared" si="270"/>
        <v>999.6</v>
      </c>
      <c r="R222" s="43">
        <f t="shared" si="271"/>
        <v>-561.84296940120646</v>
      </c>
      <c r="S222" s="43">
        <f t="shared" si="345"/>
        <v>6345.9298963371057</v>
      </c>
      <c r="T222" s="43">
        <f t="shared" si="272"/>
        <v>999.6</v>
      </c>
      <c r="U222" s="50">
        <f t="shared" si="273"/>
        <v>697.1744219686309</v>
      </c>
      <c r="V222" s="20">
        <f t="shared" si="341"/>
        <v>697.1744219686309</v>
      </c>
      <c r="W222" s="20">
        <f t="shared" si="342"/>
        <v>4256.2541023725935</v>
      </c>
      <c r="X222" s="19">
        <f t="shared" si="274"/>
        <v>3559.0796804039628</v>
      </c>
      <c r="Y222" s="38">
        <f t="shared" si="343"/>
        <v>0.83620000000000005</v>
      </c>
      <c r="Z222" s="37">
        <f t="shared" si="346"/>
        <v>349307.90019406617</v>
      </c>
      <c r="AA222" s="44">
        <f t="shared" si="347"/>
        <v>0</v>
      </c>
      <c r="AC222" s="48">
        <f t="shared" si="348"/>
        <v>3559.0796804039628</v>
      </c>
    </row>
    <row r="223" spans="1:29" x14ac:dyDescent="0.2">
      <c r="A223" s="14" t="str">
        <f t="shared" si="330"/>
        <v>Julho</v>
      </c>
      <c r="B223" s="14">
        <f t="shared" si="330"/>
        <v>31</v>
      </c>
      <c r="C223" s="15">
        <f t="shared" si="330"/>
        <v>2.91</v>
      </c>
      <c r="D223" s="15">
        <f t="shared" si="330"/>
        <v>3.4272282076395695</v>
      </c>
      <c r="E223" s="15">
        <f t="shared" si="330"/>
        <v>4.18</v>
      </c>
      <c r="F223" s="57">
        <f t="shared" si="330"/>
        <v>4.74</v>
      </c>
      <c r="G223" s="16">
        <f t="shared" si="266"/>
        <v>0.92602051082048831</v>
      </c>
      <c r="H223" s="15">
        <f t="shared" si="279"/>
        <v>3.4259426433341331</v>
      </c>
      <c r="I223" s="17">
        <f t="shared" si="307"/>
        <v>0.69745340332996286</v>
      </c>
      <c r="J223" s="14">
        <f t="shared" si="267"/>
        <v>199</v>
      </c>
      <c r="K223" s="25">
        <f t="shared" si="308"/>
        <v>17</v>
      </c>
      <c r="L223" s="18" t="str">
        <f t="shared" ref="L223" si="353">L211</f>
        <v>jul</v>
      </c>
      <c r="M223" s="43">
        <f t="shared" si="281"/>
        <v>1392</v>
      </c>
      <c r="N223" s="53">
        <f t="shared" si="339"/>
        <v>960.2297147168083</v>
      </c>
      <c r="O223" s="43">
        <f t="shared" si="340"/>
        <v>417.59999999999997</v>
      </c>
      <c r="P223" s="43">
        <f t="shared" si="269"/>
        <v>542.62971471680839</v>
      </c>
      <c r="Q223" s="43">
        <f t="shared" si="270"/>
        <v>974.40000000000009</v>
      </c>
      <c r="R223" s="43">
        <f t="shared" si="271"/>
        <v>-431.7702852831917</v>
      </c>
      <c r="S223" s="43">
        <f t="shared" si="345"/>
        <v>5914.159611053914</v>
      </c>
      <c r="T223" s="43">
        <f t="shared" si="272"/>
        <v>974.40000000000009</v>
      </c>
      <c r="U223" s="50">
        <f t="shared" si="273"/>
        <v>679.59859620471593</v>
      </c>
      <c r="V223" s="20">
        <f t="shared" si="341"/>
        <v>679.59859620471593</v>
      </c>
      <c r="W223" s="20">
        <f t="shared" si="342"/>
        <v>4148.9535787833684</v>
      </c>
      <c r="X223" s="19">
        <f t="shared" si="274"/>
        <v>3469.3549825786522</v>
      </c>
      <c r="Y223" s="38">
        <f t="shared" si="343"/>
        <v>0.83619999999999994</v>
      </c>
      <c r="Z223" s="37">
        <f t="shared" si="346"/>
        <v>352777.25517664483</v>
      </c>
      <c r="AA223" s="44">
        <f t="shared" si="347"/>
        <v>0</v>
      </c>
      <c r="AC223" s="48">
        <f t="shared" si="348"/>
        <v>3469.3549825786522</v>
      </c>
    </row>
    <row r="224" spans="1:29" x14ac:dyDescent="0.2">
      <c r="A224" s="14" t="str">
        <f t="shared" si="330"/>
        <v>Agosto</v>
      </c>
      <c r="B224" s="14">
        <f t="shared" si="330"/>
        <v>31</v>
      </c>
      <c r="C224" s="15">
        <f t="shared" si="330"/>
        <v>3.45</v>
      </c>
      <c r="D224" s="15">
        <f t="shared" si="330"/>
        <v>4.1147894221351615</v>
      </c>
      <c r="E224" s="15">
        <f t="shared" si="330"/>
        <v>4.83</v>
      </c>
      <c r="F224" s="57">
        <f t="shared" si="330"/>
        <v>5.21</v>
      </c>
      <c r="G224" s="16">
        <f t="shared" si="266"/>
        <v>0.92602051082048831</v>
      </c>
      <c r="H224" s="15">
        <f t="shared" si="279"/>
        <v>3.4259426433341331</v>
      </c>
      <c r="I224" s="17">
        <f t="shared" si="307"/>
        <v>0.69745340332996286</v>
      </c>
      <c r="J224" s="14">
        <f t="shared" si="267"/>
        <v>200</v>
      </c>
      <c r="K224" s="25">
        <f t="shared" si="308"/>
        <v>17</v>
      </c>
      <c r="L224" s="18" t="str">
        <f t="shared" ref="L224" si="354">L212</f>
        <v>ago</v>
      </c>
      <c r="M224" s="43">
        <f t="shared" si="281"/>
        <v>1520</v>
      </c>
      <c r="N224" s="53">
        <f t="shared" si="339"/>
        <v>1152.8683920519704</v>
      </c>
      <c r="O224" s="43">
        <f t="shared" si="340"/>
        <v>456</v>
      </c>
      <c r="P224" s="43">
        <f t="shared" si="269"/>
        <v>696.86839205197043</v>
      </c>
      <c r="Q224" s="43">
        <f t="shared" si="270"/>
        <v>1064</v>
      </c>
      <c r="R224" s="43">
        <f t="shared" si="271"/>
        <v>-367.13160794802957</v>
      </c>
      <c r="S224" s="43">
        <f t="shared" si="345"/>
        <v>5547.0280031058846</v>
      </c>
      <c r="T224" s="43">
        <f t="shared" si="272"/>
        <v>1064</v>
      </c>
      <c r="U224" s="50">
        <f t="shared" si="273"/>
        <v>742.09042114308045</v>
      </c>
      <c r="V224" s="20">
        <f t="shared" si="341"/>
        <v>742.09042114308045</v>
      </c>
      <c r="W224" s="20">
        <f t="shared" si="342"/>
        <v>4530.4665515450579</v>
      </c>
      <c r="X224" s="19">
        <f t="shared" si="274"/>
        <v>3788.3761304019772</v>
      </c>
      <c r="Y224" s="38">
        <f t="shared" si="343"/>
        <v>0.83619999999999994</v>
      </c>
      <c r="Z224" s="37">
        <f t="shared" si="346"/>
        <v>356565.6313070468</v>
      </c>
      <c r="AA224" s="44">
        <f t="shared" si="347"/>
        <v>0</v>
      </c>
      <c r="AC224" s="48">
        <f t="shared" si="348"/>
        <v>3788.3761304019772</v>
      </c>
    </row>
    <row r="225" spans="1:29" x14ac:dyDescent="0.2">
      <c r="A225" s="14" t="str">
        <f t="shared" si="330"/>
        <v>Setembro</v>
      </c>
      <c r="B225" s="14">
        <f t="shared" si="330"/>
        <v>30</v>
      </c>
      <c r="C225" s="15">
        <f t="shared" si="330"/>
        <v>3.82</v>
      </c>
      <c r="D225" s="15">
        <f t="shared" si="330"/>
        <v>4.2417238001958868</v>
      </c>
      <c r="E225" s="15">
        <f t="shared" si="330"/>
        <v>5.12</v>
      </c>
      <c r="F225" s="57">
        <f t="shared" si="330"/>
        <v>5.1100000000000003</v>
      </c>
      <c r="G225" s="16">
        <f t="shared" ref="G225:G288" si="355">(1-1%)*(1-0.4444%)^K201</f>
        <v>0.92602051082048831</v>
      </c>
      <c r="H225" s="15">
        <f t="shared" si="279"/>
        <v>3.4259426433341331</v>
      </c>
      <c r="I225" s="17">
        <f t="shared" si="307"/>
        <v>0.69745340332996286</v>
      </c>
      <c r="J225" s="14">
        <f t="shared" ref="J225:J288" si="356">J224+1</f>
        <v>201</v>
      </c>
      <c r="K225" s="25">
        <f t="shared" si="308"/>
        <v>17</v>
      </c>
      <c r="L225" s="18" t="str">
        <f t="shared" ref="L225" si="357">L213</f>
        <v>set</v>
      </c>
      <c r="M225" s="43">
        <f t="shared" si="281"/>
        <v>1400</v>
      </c>
      <c r="N225" s="53">
        <f t="shared" si="339"/>
        <v>1150.0959247354845</v>
      </c>
      <c r="O225" s="43">
        <f t="shared" si="340"/>
        <v>420</v>
      </c>
      <c r="P225" s="43">
        <f t="shared" ref="P225:P288" si="358">N225-O225</f>
        <v>730.09592473548446</v>
      </c>
      <c r="Q225" s="43">
        <f t="shared" ref="Q225:Q288" si="359">M225-O225</f>
        <v>980</v>
      </c>
      <c r="R225" s="43">
        <f t="shared" ref="R225:R288" si="360">P225-Q225</f>
        <v>-249.90407526451554</v>
      </c>
      <c r="S225" s="43">
        <f t="shared" si="345"/>
        <v>5297.1239278413686</v>
      </c>
      <c r="T225" s="43">
        <f t="shared" ref="T225:T288" si="361">MIN(Q225,P225+S224)</f>
        <v>980</v>
      </c>
      <c r="U225" s="50">
        <f t="shared" ref="U225:U288" si="362">T225*I225</f>
        <v>683.5043352633636</v>
      </c>
      <c r="V225" s="20">
        <f t="shared" si="341"/>
        <v>683.5043352633636</v>
      </c>
      <c r="W225" s="20">
        <f t="shared" si="342"/>
        <v>4172.7981395809738</v>
      </c>
      <c r="X225" s="19">
        <f t="shared" ref="X225:X288" si="363">W225-V225</f>
        <v>3489.29380431761</v>
      </c>
      <c r="Y225" s="38">
        <f t="shared" si="343"/>
        <v>0.83619999999999994</v>
      </c>
      <c r="Z225" s="37">
        <f t="shared" si="346"/>
        <v>360054.9251113644</v>
      </c>
      <c r="AA225" s="44">
        <f t="shared" si="347"/>
        <v>0</v>
      </c>
      <c r="AC225" s="48">
        <f t="shared" si="348"/>
        <v>3489.29380431761</v>
      </c>
    </row>
    <row r="226" spans="1:29" x14ac:dyDescent="0.2">
      <c r="A226" s="14" t="str">
        <f t="shared" ref="A226:F241" si="364">A214</f>
        <v>Outubro</v>
      </c>
      <c r="B226" s="14">
        <f t="shared" si="364"/>
        <v>31</v>
      </c>
      <c r="C226" s="15">
        <f t="shared" si="364"/>
        <v>4.33</v>
      </c>
      <c r="D226" s="15">
        <f t="shared" si="364"/>
        <v>4.8763956904995114</v>
      </c>
      <c r="E226" s="15">
        <f t="shared" si="364"/>
        <v>5.57</v>
      </c>
      <c r="F226" s="57">
        <f t="shared" si="364"/>
        <v>5.17</v>
      </c>
      <c r="G226" s="16">
        <f t="shared" si="355"/>
        <v>0.92602051082048831</v>
      </c>
      <c r="H226" s="15">
        <f t="shared" si="279"/>
        <v>3.4259426433341331</v>
      </c>
      <c r="I226" s="17">
        <f t="shared" si="307"/>
        <v>0.69745340332996286</v>
      </c>
      <c r="J226" s="14">
        <f t="shared" si="356"/>
        <v>202</v>
      </c>
      <c r="K226" s="25">
        <f t="shared" si="308"/>
        <v>17</v>
      </c>
      <c r="L226" s="18" t="str">
        <f t="shared" ref="L226" si="365">L214</f>
        <v>out</v>
      </c>
      <c r="M226" s="43">
        <f t="shared" si="281"/>
        <v>1340</v>
      </c>
      <c r="N226" s="53">
        <f t="shared" si="339"/>
        <v>1366.2527731001501</v>
      </c>
      <c r="O226" s="43">
        <f t="shared" si="340"/>
        <v>402</v>
      </c>
      <c r="P226" s="43">
        <f t="shared" si="358"/>
        <v>964.25277310015008</v>
      </c>
      <c r="Q226" s="43">
        <f t="shared" si="359"/>
        <v>938</v>
      </c>
      <c r="R226" s="43">
        <f t="shared" si="360"/>
        <v>26.25277310015008</v>
      </c>
      <c r="S226" s="43">
        <f t="shared" si="345"/>
        <v>5323.3767009415187</v>
      </c>
      <c r="T226" s="43">
        <f t="shared" si="361"/>
        <v>938</v>
      </c>
      <c r="U226" s="50">
        <f t="shared" si="362"/>
        <v>654.21129232350518</v>
      </c>
      <c r="V226" s="20">
        <f t="shared" si="341"/>
        <v>654.21129232350518</v>
      </c>
      <c r="W226" s="20">
        <f t="shared" si="342"/>
        <v>3993.9639335989323</v>
      </c>
      <c r="X226" s="19">
        <f t="shared" si="363"/>
        <v>3339.7526412754269</v>
      </c>
      <c r="Y226" s="38">
        <f t="shared" si="343"/>
        <v>0.83619999999999994</v>
      </c>
      <c r="Z226" s="37">
        <f t="shared" si="346"/>
        <v>363394.67775263981</v>
      </c>
      <c r="AA226" s="44">
        <f t="shared" si="347"/>
        <v>0</v>
      </c>
      <c r="AC226" s="48">
        <f t="shared" si="348"/>
        <v>3339.7526412754269</v>
      </c>
    </row>
    <row r="227" spans="1:29" x14ac:dyDescent="0.2">
      <c r="A227" s="14" t="str">
        <f t="shared" si="364"/>
        <v>Novembro</v>
      </c>
      <c r="B227" s="14">
        <f t="shared" si="364"/>
        <v>30</v>
      </c>
      <c r="C227" s="15">
        <f t="shared" si="364"/>
        <v>4.68</v>
      </c>
      <c r="D227" s="15">
        <f t="shared" si="364"/>
        <v>5.5745347698334964</v>
      </c>
      <c r="E227" s="15">
        <f t="shared" si="364"/>
        <v>5.89</v>
      </c>
      <c r="F227" s="57">
        <f t="shared" si="364"/>
        <v>5.23</v>
      </c>
      <c r="G227" s="16">
        <f t="shared" si="355"/>
        <v>0.92602051082048831</v>
      </c>
      <c r="H227" s="15">
        <f t="shared" si="279"/>
        <v>3.4259426433341331</v>
      </c>
      <c r="I227" s="17">
        <f t="shared" si="307"/>
        <v>0.69745340332996286</v>
      </c>
      <c r="J227" s="14">
        <f t="shared" si="356"/>
        <v>203</v>
      </c>
      <c r="K227" s="25">
        <f t="shared" si="308"/>
        <v>17</v>
      </c>
      <c r="L227" s="18" t="str">
        <f t="shared" ref="L227" si="366">L215</f>
        <v>nov</v>
      </c>
      <c r="M227" s="43">
        <f t="shared" si="281"/>
        <v>1288</v>
      </c>
      <c r="N227" s="53">
        <f t="shared" si="339"/>
        <v>1511.4726990912723</v>
      </c>
      <c r="O227" s="43">
        <f t="shared" si="340"/>
        <v>386.4</v>
      </c>
      <c r="P227" s="43">
        <f t="shared" si="358"/>
        <v>1125.0726990912722</v>
      </c>
      <c r="Q227" s="43">
        <f t="shared" si="359"/>
        <v>901.6</v>
      </c>
      <c r="R227" s="43">
        <f t="shared" si="360"/>
        <v>223.47269909127215</v>
      </c>
      <c r="S227" s="43">
        <f t="shared" si="345"/>
        <v>5546.849400032791</v>
      </c>
      <c r="T227" s="43">
        <f t="shared" si="361"/>
        <v>901.6</v>
      </c>
      <c r="U227" s="50">
        <f t="shared" si="362"/>
        <v>628.82398844229454</v>
      </c>
      <c r="V227" s="20">
        <f t="shared" si="341"/>
        <v>628.82398844229454</v>
      </c>
      <c r="W227" s="20">
        <f t="shared" si="342"/>
        <v>3838.9742884144962</v>
      </c>
      <c r="X227" s="19">
        <f t="shared" si="363"/>
        <v>3210.1502999722015</v>
      </c>
      <c r="Y227" s="38">
        <f t="shared" si="343"/>
        <v>0.83619999999999994</v>
      </c>
      <c r="Z227" s="37">
        <f t="shared" si="346"/>
        <v>366604.82805261202</v>
      </c>
      <c r="AA227" s="44">
        <f t="shared" si="347"/>
        <v>0</v>
      </c>
      <c r="AC227" s="48">
        <f t="shared" si="348"/>
        <v>3210.1502999722015</v>
      </c>
    </row>
    <row r="228" spans="1:29" x14ac:dyDescent="0.2">
      <c r="A228" s="14" t="str">
        <f t="shared" si="364"/>
        <v>Dezembro</v>
      </c>
      <c r="B228" s="14">
        <f t="shared" si="364"/>
        <v>31</v>
      </c>
      <c r="C228" s="15">
        <f t="shared" si="364"/>
        <v>4.8499999999999996</v>
      </c>
      <c r="D228" s="15">
        <f t="shared" si="364"/>
        <v>5.6062683643486775</v>
      </c>
      <c r="E228" s="15">
        <f t="shared" si="364"/>
        <v>6.05</v>
      </c>
      <c r="F228" s="57">
        <f t="shared" si="364"/>
        <v>5.29</v>
      </c>
      <c r="G228" s="16">
        <f t="shared" si="355"/>
        <v>0.92602051082048831</v>
      </c>
      <c r="H228" s="15">
        <f t="shared" si="279"/>
        <v>3.4259426433341331</v>
      </c>
      <c r="I228" s="17">
        <f t="shared" si="307"/>
        <v>0.69745340332996286</v>
      </c>
      <c r="J228" s="14">
        <f t="shared" si="356"/>
        <v>204</v>
      </c>
      <c r="K228" s="25">
        <f t="shared" si="308"/>
        <v>17</v>
      </c>
      <c r="L228" s="18" t="str">
        <f t="shared" ref="L228" si="367">L216</f>
        <v>dez</v>
      </c>
      <c r="M228" s="43">
        <f t="shared" si="281"/>
        <v>1140</v>
      </c>
      <c r="N228" s="53">
        <f t="shared" si="339"/>
        <v>1570.746138271322</v>
      </c>
      <c r="O228" s="43">
        <f t="shared" si="340"/>
        <v>342</v>
      </c>
      <c r="P228" s="43">
        <f t="shared" si="358"/>
        <v>1228.746138271322</v>
      </c>
      <c r="Q228" s="43">
        <f t="shared" si="359"/>
        <v>798</v>
      </c>
      <c r="R228" s="43">
        <f t="shared" si="360"/>
        <v>430.74613827132202</v>
      </c>
      <c r="S228" s="43">
        <f t="shared" si="345"/>
        <v>5977.5955383041128</v>
      </c>
      <c r="T228" s="43">
        <f t="shared" si="361"/>
        <v>798</v>
      </c>
      <c r="U228" s="50">
        <f t="shared" si="362"/>
        <v>556.56781585731039</v>
      </c>
      <c r="V228" s="20">
        <f t="shared" si="341"/>
        <v>556.56781585731039</v>
      </c>
      <c r="W228" s="20">
        <f t="shared" si="342"/>
        <v>3397.849913658793</v>
      </c>
      <c r="X228" s="19">
        <f t="shared" si="363"/>
        <v>2841.2820978014825</v>
      </c>
      <c r="Y228" s="38">
        <f t="shared" si="343"/>
        <v>0.83619999999999994</v>
      </c>
      <c r="Z228" s="37">
        <f t="shared" si="346"/>
        <v>369446.11015041353</v>
      </c>
      <c r="AA228" s="44">
        <f t="shared" si="347"/>
        <v>0</v>
      </c>
      <c r="AC228" s="48">
        <f t="shared" si="348"/>
        <v>2841.2820978014825</v>
      </c>
    </row>
    <row r="229" spans="1:29" x14ac:dyDescent="0.2">
      <c r="A229" s="14" t="str">
        <f t="shared" si="364"/>
        <v>Janeiro</v>
      </c>
      <c r="B229" s="14">
        <f t="shared" si="364"/>
        <v>30</v>
      </c>
      <c r="C229" s="15">
        <f t="shared" si="364"/>
        <v>4.87</v>
      </c>
      <c r="D229" s="15">
        <f t="shared" si="364"/>
        <v>5.4581782566111663</v>
      </c>
      <c r="E229" s="15">
        <f t="shared" si="364"/>
        <v>6.01</v>
      </c>
      <c r="F229" s="57">
        <f t="shared" si="364"/>
        <v>5.31</v>
      </c>
      <c r="G229" s="16">
        <f t="shared" si="355"/>
        <v>0.92190527567040192</v>
      </c>
      <c r="H229" s="15">
        <f t="shared" ref="H229:H292" si="368">(1+$B$13)^K217</f>
        <v>3.7000180548008639</v>
      </c>
      <c r="I229" s="17">
        <f t="shared" si="307"/>
        <v>0.75324967559635991</v>
      </c>
      <c r="J229" s="14">
        <f t="shared" si="356"/>
        <v>205</v>
      </c>
      <c r="K229" s="25">
        <f t="shared" si="308"/>
        <v>18</v>
      </c>
      <c r="L229" s="18" t="str">
        <f t="shared" ref="L229" si="369">L217</f>
        <v>jan</v>
      </c>
      <c r="M229" s="43">
        <f t="shared" ref="M229:M292" si="370">M217*(1+$B$14)</f>
        <v>836</v>
      </c>
      <c r="N229" s="53">
        <f t="shared" si="339"/>
        <v>1473.3471511174941</v>
      </c>
      <c r="O229" s="43">
        <f t="shared" si="340"/>
        <v>250.79999999999998</v>
      </c>
      <c r="P229" s="43">
        <f t="shared" si="358"/>
        <v>1222.5471511174942</v>
      </c>
      <c r="Q229" s="43">
        <f t="shared" si="359"/>
        <v>585.20000000000005</v>
      </c>
      <c r="R229" s="43">
        <f t="shared" si="360"/>
        <v>637.34715111749415</v>
      </c>
      <c r="S229" s="43">
        <f t="shared" si="345"/>
        <v>6614.9426894216067</v>
      </c>
      <c r="T229" s="43">
        <f t="shared" si="361"/>
        <v>585.20000000000005</v>
      </c>
      <c r="U229" s="50">
        <f t="shared" si="362"/>
        <v>440.80171015898986</v>
      </c>
      <c r="V229" s="20">
        <f t="shared" si="341"/>
        <v>440.80171015898986</v>
      </c>
      <c r="W229" s="20">
        <f t="shared" si="342"/>
        <v>2691.0971316177647</v>
      </c>
      <c r="X229" s="19">
        <f t="shared" si="363"/>
        <v>2250.2954214587749</v>
      </c>
      <c r="Y229" s="38">
        <f t="shared" si="343"/>
        <v>0.83620000000000005</v>
      </c>
      <c r="Z229" s="37">
        <f t="shared" si="346"/>
        <v>371696.40557187231</v>
      </c>
      <c r="AA229" s="44">
        <f t="shared" si="347"/>
        <v>0</v>
      </c>
      <c r="AC229" s="48">
        <f t="shared" si="348"/>
        <v>2250.2954214587749</v>
      </c>
    </row>
    <row r="230" spans="1:29" x14ac:dyDescent="0.2">
      <c r="A230" s="14" t="str">
        <f t="shared" si="364"/>
        <v>Fevereiro</v>
      </c>
      <c r="B230" s="14">
        <f t="shared" si="364"/>
        <v>28</v>
      </c>
      <c r="C230" s="15">
        <f t="shared" si="364"/>
        <v>4.75</v>
      </c>
      <c r="D230" s="15">
        <f t="shared" si="364"/>
        <v>5.2254652301665043</v>
      </c>
      <c r="E230" s="15">
        <f t="shared" si="364"/>
        <v>5.82</v>
      </c>
      <c r="F230" s="57">
        <f t="shared" si="364"/>
        <v>5.28</v>
      </c>
      <c r="G230" s="16">
        <f t="shared" si="355"/>
        <v>0.92190527567040192</v>
      </c>
      <c r="H230" s="15">
        <f t="shared" si="368"/>
        <v>3.7000180548008639</v>
      </c>
      <c r="I230" s="17">
        <f t="shared" si="307"/>
        <v>0.75324967559635991</v>
      </c>
      <c r="J230" s="14">
        <f t="shared" si="356"/>
        <v>206</v>
      </c>
      <c r="K230" s="25">
        <f t="shared" si="308"/>
        <v>18</v>
      </c>
      <c r="L230" s="18" t="str">
        <f t="shared" ref="L230" si="371">L218</f>
        <v>fev</v>
      </c>
      <c r="M230" s="43">
        <f t="shared" si="370"/>
        <v>1088</v>
      </c>
      <c r="N230" s="53">
        <f t="shared" si="339"/>
        <v>1316.4946895514975</v>
      </c>
      <c r="O230" s="43">
        <f t="shared" si="340"/>
        <v>326.39999999999998</v>
      </c>
      <c r="P230" s="43">
        <f t="shared" si="358"/>
        <v>990.09468955149748</v>
      </c>
      <c r="Q230" s="43">
        <f t="shared" si="359"/>
        <v>761.6</v>
      </c>
      <c r="R230" s="43">
        <f t="shared" si="360"/>
        <v>228.49468955149746</v>
      </c>
      <c r="S230" s="43">
        <f t="shared" si="345"/>
        <v>6843.4373789731044</v>
      </c>
      <c r="T230" s="43">
        <f t="shared" si="361"/>
        <v>761.6</v>
      </c>
      <c r="U230" s="50">
        <f t="shared" si="362"/>
        <v>573.67495293418767</v>
      </c>
      <c r="V230" s="20">
        <f t="shared" si="341"/>
        <v>573.67495293418767</v>
      </c>
      <c r="W230" s="20">
        <f t="shared" si="342"/>
        <v>3502.2890899523054</v>
      </c>
      <c r="X230" s="19">
        <f t="shared" si="363"/>
        <v>2928.6141370181176</v>
      </c>
      <c r="Y230" s="38">
        <f t="shared" si="343"/>
        <v>0.83619999999999994</v>
      </c>
      <c r="Z230" s="37">
        <f t="shared" si="346"/>
        <v>374625.01970889041</v>
      </c>
      <c r="AA230" s="44">
        <f t="shared" si="347"/>
        <v>0</v>
      </c>
      <c r="AC230" s="48">
        <f t="shared" si="348"/>
        <v>2928.6141370181176</v>
      </c>
    </row>
    <row r="231" spans="1:29" x14ac:dyDescent="0.2">
      <c r="A231" s="14" t="str">
        <f t="shared" si="364"/>
        <v>Março</v>
      </c>
      <c r="B231" s="14">
        <f t="shared" si="364"/>
        <v>31</v>
      </c>
      <c r="C231" s="15">
        <f t="shared" si="364"/>
        <v>4.21</v>
      </c>
      <c r="D231" s="15">
        <f t="shared" si="364"/>
        <v>4.7494613124387861</v>
      </c>
      <c r="E231" s="15">
        <f t="shared" si="364"/>
        <v>5.43</v>
      </c>
      <c r="F231" s="57">
        <f t="shared" si="364"/>
        <v>5.14</v>
      </c>
      <c r="G231" s="16">
        <f t="shared" si="355"/>
        <v>0.92190527567040192</v>
      </c>
      <c r="H231" s="15">
        <f t="shared" si="368"/>
        <v>3.7000180548008639</v>
      </c>
      <c r="I231" s="17">
        <f t="shared" si="307"/>
        <v>0.75324967559635991</v>
      </c>
      <c r="J231" s="14">
        <f t="shared" si="356"/>
        <v>207</v>
      </c>
      <c r="K231" s="25">
        <f t="shared" si="308"/>
        <v>18</v>
      </c>
      <c r="L231" s="18" t="str">
        <f t="shared" ref="L231" si="372">L219</f>
        <v>mar</v>
      </c>
      <c r="M231" s="43">
        <f t="shared" si="370"/>
        <v>1152</v>
      </c>
      <c r="N231" s="53">
        <f t="shared" si="339"/>
        <v>1324.7751289666926</v>
      </c>
      <c r="O231" s="43">
        <f t="shared" si="340"/>
        <v>345.59999999999997</v>
      </c>
      <c r="P231" s="43">
        <f t="shared" si="358"/>
        <v>979.17512896669268</v>
      </c>
      <c r="Q231" s="43">
        <f t="shared" si="359"/>
        <v>806.40000000000009</v>
      </c>
      <c r="R231" s="43">
        <f t="shared" si="360"/>
        <v>172.77512896669259</v>
      </c>
      <c r="S231" s="43">
        <f t="shared" si="345"/>
        <v>7016.2125079397974</v>
      </c>
      <c r="T231" s="43">
        <f t="shared" si="361"/>
        <v>806.40000000000009</v>
      </c>
      <c r="U231" s="50">
        <f t="shared" si="362"/>
        <v>607.42053840090466</v>
      </c>
      <c r="V231" s="20">
        <f t="shared" si="341"/>
        <v>607.42053840090466</v>
      </c>
      <c r="W231" s="20">
        <f t="shared" si="342"/>
        <v>3708.3060952436176</v>
      </c>
      <c r="X231" s="19">
        <f t="shared" si="363"/>
        <v>3100.885556842713</v>
      </c>
      <c r="Y231" s="38">
        <f t="shared" si="343"/>
        <v>0.83619999999999994</v>
      </c>
      <c r="Z231" s="37">
        <f t="shared" si="346"/>
        <v>377725.90526573313</v>
      </c>
      <c r="AA231" s="44">
        <f t="shared" si="347"/>
        <v>0</v>
      </c>
      <c r="AC231" s="48">
        <f t="shared" si="348"/>
        <v>3100.885556842713</v>
      </c>
    </row>
    <row r="232" spans="1:29" x14ac:dyDescent="0.2">
      <c r="A232" s="14" t="str">
        <f t="shared" si="364"/>
        <v>Abril</v>
      </c>
      <c r="B232" s="14">
        <f t="shared" si="364"/>
        <v>30</v>
      </c>
      <c r="C232" s="15">
        <f t="shared" si="364"/>
        <v>3.59</v>
      </c>
      <c r="D232" s="15">
        <f t="shared" si="364"/>
        <v>4.1465230166503426</v>
      </c>
      <c r="E232" s="15">
        <f t="shared" si="364"/>
        <v>4.91</v>
      </c>
      <c r="F232" s="57">
        <f t="shared" si="364"/>
        <v>4.97</v>
      </c>
      <c r="G232" s="16">
        <f t="shared" si="355"/>
        <v>0.92190527567040192</v>
      </c>
      <c r="H232" s="15">
        <f t="shared" si="368"/>
        <v>3.7000180548008639</v>
      </c>
      <c r="I232" s="17">
        <f t="shared" si="307"/>
        <v>0.75324967559635991</v>
      </c>
      <c r="J232" s="14">
        <f t="shared" si="356"/>
        <v>208</v>
      </c>
      <c r="K232" s="25">
        <f t="shared" si="308"/>
        <v>18</v>
      </c>
      <c r="L232" s="18" t="str">
        <f t="shared" ref="L232" si="373">L220</f>
        <v>abr</v>
      </c>
      <c r="M232" s="43">
        <f t="shared" si="370"/>
        <v>1000</v>
      </c>
      <c r="N232" s="53">
        <f t="shared" si="339"/>
        <v>1119.2869830194916</v>
      </c>
      <c r="O232" s="43">
        <f t="shared" si="340"/>
        <v>300</v>
      </c>
      <c r="P232" s="43">
        <f t="shared" si="358"/>
        <v>819.28698301949157</v>
      </c>
      <c r="Q232" s="43">
        <f t="shared" si="359"/>
        <v>700</v>
      </c>
      <c r="R232" s="43">
        <f t="shared" si="360"/>
        <v>119.28698301949157</v>
      </c>
      <c r="S232" s="43">
        <f t="shared" si="345"/>
        <v>7135.4994909592888</v>
      </c>
      <c r="T232" s="43">
        <f t="shared" si="361"/>
        <v>700</v>
      </c>
      <c r="U232" s="50">
        <f t="shared" si="362"/>
        <v>527.27477291745197</v>
      </c>
      <c r="V232" s="20">
        <f t="shared" si="341"/>
        <v>527.27477291745197</v>
      </c>
      <c r="W232" s="20">
        <f t="shared" si="342"/>
        <v>3219.0157076767514</v>
      </c>
      <c r="X232" s="19">
        <f t="shared" si="363"/>
        <v>2691.7409347592993</v>
      </c>
      <c r="Y232" s="38">
        <f t="shared" si="343"/>
        <v>0.83619999999999994</v>
      </c>
      <c r="Z232" s="37">
        <f t="shared" si="346"/>
        <v>380417.64620049245</v>
      </c>
      <c r="AA232" s="44">
        <f t="shared" si="347"/>
        <v>0</v>
      </c>
      <c r="AC232" s="48">
        <f t="shared" si="348"/>
        <v>2691.7409347592993</v>
      </c>
    </row>
    <row r="233" spans="1:29" x14ac:dyDescent="0.2">
      <c r="A233" s="14" t="str">
        <f t="shared" si="364"/>
        <v>Maio</v>
      </c>
      <c r="B233" s="14">
        <f t="shared" si="364"/>
        <v>31</v>
      </c>
      <c r="C233" s="15">
        <f t="shared" si="364"/>
        <v>2.98</v>
      </c>
      <c r="D233" s="15">
        <f t="shared" si="364"/>
        <v>3.3849167482859945</v>
      </c>
      <c r="E233" s="15">
        <f t="shared" si="364"/>
        <v>4.25</v>
      </c>
      <c r="F233" s="57">
        <f t="shared" si="364"/>
        <v>4.66</v>
      </c>
      <c r="G233" s="16">
        <f t="shared" si="355"/>
        <v>0.92190527567040192</v>
      </c>
      <c r="H233" s="15">
        <f t="shared" si="368"/>
        <v>3.7000180548008639</v>
      </c>
      <c r="I233" s="17">
        <f t="shared" si="307"/>
        <v>0.75324967559635991</v>
      </c>
      <c r="J233" s="14">
        <f t="shared" si="356"/>
        <v>209</v>
      </c>
      <c r="K233" s="25">
        <f t="shared" si="308"/>
        <v>18</v>
      </c>
      <c r="L233" s="18" t="str">
        <f t="shared" ref="L233" si="374">L221</f>
        <v>mai</v>
      </c>
      <c r="M233" s="43">
        <f t="shared" si="370"/>
        <v>1396</v>
      </c>
      <c r="N233" s="53">
        <f t="shared" si="339"/>
        <v>944.16044826133998</v>
      </c>
      <c r="O233" s="43">
        <f t="shared" si="340"/>
        <v>418.8</v>
      </c>
      <c r="P233" s="43">
        <f t="shared" si="358"/>
        <v>525.36044826134003</v>
      </c>
      <c r="Q233" s="43">
        <f t="shared" si="359"/>
        <v>977.2</v>
      </c>
      <c r="R233" s="43">
        <f t="shared" si="360"/>
        <v>-451.83955173866002</v>
      </c>
      <c r="S233" s="43">
        <f t="shared" si="345"/>
        <v>6683.659939220629</v>
      </c>
      <c r="T233" s="43">
        <f t="shared" si="361"/>
        <v>977.2</v>
      </c>
      <c r="U233" s="50">
        <f t="shared" si="362"/>
        <v>736.07558299276297</v>
      </c>
      <c r="V233" s="20">
        <f t="shared" si="341"/>
        <v>736.07558299276297</v>
      </c>
      <c r="W233" s="20">
        <f t="shared" si="342"/>
        <v>4493.7459279167451</v>
      </c>
      <c r="X233" s="19">
        <f t="shared" si="363"/>
        <v>3757.6703449239822</v>
      </c>
      <c r="Y233" s="38">
        <f t="shared" si="343"/>
        <v>0.83619999999999994</v>
      </c>
      <c r="Z233" s="37">
        <f t="shared" si="346"/>
        <v>384175.31654541643</v>
      </c>
      <c r="AA233" s="44">
        <f t="shared" si="347"/>
        <v>0</v>
      </c>
      <c r="AC233" s="48">
        <f t="shared" si="348"/>
        <v>3757.6703449239822</v>
      </c>
    </row>
    <row r="234" spans="1:29" x14ac:dyDescent="0.2">
      <c r="A234" s="14" t="str">
        <f t="shared" si="364"/>
        <v>Junho</v>
      </c>
      <c r="B234" s="14">
        <f t="shared" si="364"/>
        <v>30</v>
      </c>
      <c r="C234" s="15">
        <f t="shared" si="364"/>
        <v>2.74</v>
      </c>
      <c r="D234" s="15">
        <f t="shared" si="364"/>
        <v>3.1945151811949071</v>
      </c>
      <c r="E234" s="15">
        <f t="shared" si="364"/>
        <v>3.92</v>
      </c>
      <c r="F234" s="57">
        <f t="shared" si="364"/>
        <v>4.47</v>
      </c>
      <c r="G234" s="16">
        <f t="shared" si="355"/>
        <v>0.92190527567040192</v>
      </c>
      <c r="H234" s="15">
        <f t="shared" si="368"/>
        <v>3.7000180548008639</v>
      </c>
      <c r="I234" s="17">
        <f t="shared" si="307"/>
        <v>0.75324967559635991</v>
      </c>
      <c r="J234" s="14">
        <f t="shared" si="356"/>
        <v>210</v>
      </c>
      <c r="K234" s="25">
        <f t="shared" si="308"/>
        <v>18</v>
      </c>
      <c r="L234" s="18" t="str">
        <f t="shared" ref="L234" si="375">L222</f>
        <v>jun</v>
      </c>
      <c r="M234" s="43">
        <f t="shared" si="370"/>
        <v>1428</v>
      </c>
      <c r="N234" s="53">
        <f t="shared" si="339"/>
        <v>862.30782875481236</v>
      </c>
      <c r="O234" s="43">
        <f t="shared" si="340"/>
        <v>428.4</v>
      </c>
      <c r="P234" s="43">
        <f t="shared" si="358"/>
        <v>433.90782875481239</v>
      </c>
      <c r="Q234" s="43">
        <f t="shared" si="359"/>
        <v>999.6</v>
      </c>
      <c r="R234" s="43">
        <f t="shared" si="360"/>
        <v>-565.69217124518764</v>
      </c>
      <c r="S234" s="43">
        <f t="shared" si="345"/>
        <v>6117.9677679754413</v>
      </c>
      <c r="T234" s="43">
        <f t="shared" si="361"/>
        <v>999.6</v>
      </c>
      <c r="U234" s="50">
        <f t="shared" si="362"/>
        <v>752.94837572612141</v>
      </c>
      <c r="V234" s="20">
        <f t="shared" si="341"/>
        <v>752.94837572612141</v>
      </c>
      <c r="W234" s="20">
        <f t="shared" si="342"/>
        <v>4596.7544305624006</v>
      </c>
      <c r="X234" s="19">
        <f t="shared" si="363"/>
        <v>3843.8060548362791</v>
      </c>
      <c r="Y234" s="38">
        <f t="shared" si="343"/>
        <v>0.83619999999999994</v>
      </c>
      <c r="Z234" s="37">
        <f t="shared" si="346"/>
        <v>388019.12260025268</v>
      </c>
      <c r="AA234" s="44">
        <f t="shared" si="347"/>
        <v>0</v>
      </c>
      <c r="AC234" s="48">
        <f t="shared" si="348"/>
        <v>3843.8060548362791</v>
      </c>
    </row>
    <row r="235" spans="1:29" x14ac:dyDescent="0.2">
      <c r="A235" s="14" t="str">
        <f t="shared" si="364"/>
        <v>Julho</v>
      </c>
      <c r="B235" s="14">
        <f t="shared" si="364"/>
        <v>31</v>
      </c>
      <c r="C235" s="15">
        <f t="shared" si="364"/>
        <v>2.91</v>
      </c>
      <c r="D235" s="15">
        <f t="shared" si="364"/>
        <v>3.4272282076395695</v>
      </c>
      <c r="E235" s="15">
        <f t="shared" si="364"/>
        <v>4.18</v>
      </c>
      <c r="F235" s="57">
        <f t="shared" si="364"/>
        <v>4.74</v>
      </c>
      <c r="G235" s="16">
        <f t="shared" si="355"/>
        <v>0.92190527567040192</v>
      </c>
      <c r="H235" s="15">
        <f t="shared" si="368"/>
        <v>3.7000180548008639</v>
      </c>
      <c r="I235" s="17">
        <f t="shared" si="307"/>
        <v>0.75324967559635991</v>
      </c>
      <c r="J235" s="14">
        <f t="shared" si="356"/>
        <v>211</v>
      </c>
      <c r="K235" s="25">
        <f t="shared" si="308"/>
        <v>18</v>
      </c>
      <c r="L235" s="18" t="str">
        <f t="shared" ref="L235" si="376">L223</f>
        <v>jul</v>
      </c>
      <c r="M235" s="43">
        <f t="shared" si="370"/>
        <v>1392</v>
      </c>
      <c r="N235" s="53">
        <f t="shared" si="339"/>
        <v>955.96245386460669</v>
      </c>
      <c r="O235" s="43">
        <f t="shared" si="340"/>
        <v>417.59999999999997</v>
      </c>
      <c r="P235" s="43">
        <f t="shared" si="358"/>
        <v>538.36245386460678</v>
      </c>
      <c r="Q235" s="43">
        <f t="shared" si="359"/>
        <v>974.40000000000009</v>
      </c>
      <c r="R235" s="43">
        <f t="shared" si="360"/>
        <v>-436.03754613539331</v>
      </c>
      <c r="S235" s="43">
        <f t="shared" si="345"/>
        <v>5681.930221840048</v>
      </c>
      <c r="T235" s="43">
        <f t="shared" si="361"/>
        <v>974.40000000000009</v>
      </c>
      <c r="U235" s="50">
        <f t="shared" si="362"/>
        <v>733.96648390109317</v>
      </c>
      <c r="V235" s="20">
        <f t="shared" si="341"/>
        <v>733.96648390109317</v>
      </c>
      <c r="W235" s="20">
        <f t="shared" si="342"/>
        <v>4480.8698650860379</v>
      </c>
      <c r="X235" s="19">
        <f t="shared" si="363"/>
        <v>3746.9033811849449</v>
      </c>
      <c r="Y235" s="38">
        <f t="shared" si="343"/>
        <v>0.83620000000000005</v>
      </c>
      <c r="Z235" s="37">
        <f t="shared" si="346"/>
        <v>391766.02598143765</v>
      </c>
      <c r="AA235" s="44">
        <f t="shared" si="347"/>
        <v>0</v>
      </c>
      <c r="AC235" s="48">
        <f t="shared" si="348"/>
        <v>3746.9033811849449</v>
      </c>
    </row>
    <row r="236" spans="1:29" x14ac:dyDescent="0.2">
      <c r="A236" s="14" t="str">
        <f t="shared" si="364"/>
        <v>Agosto</v>
      </c>
      <c r="B236" s="14">
        <f t="shared" si="364"/>
        <v>31</v>
      </c>
      <c r="C236" s="15">
        <f t="shared" si="364"/>
        <v>3.45</v>
      </c>
      <c r="D236" s="15">
        <f t="shared" si="364"/>
        <v>4.1147894221351615</v>
      </c>
      <c r="E236" s="15">
        <f t="shared" si="364"/>
        <v>4.83</v>
      </c>
      <c r="F236" s="57">
        <f t="shared" si="364"/>
        <v>5.21</v>
      </c>
      <c r="G236" s="16">
        <f t="shared" si="355"/>
        <v>0.92190527567040192</v>
      </c>
      <c r="H236" s="15">
        <f t="shared" si="368"/>
        <v>3.7000180548008639</v>
      </c>
      <c r="I236" s="17">
        <f t="shared" si="307"/>
        <v>0.75324967559635991</v>
      </c>
      <c r="J236" s="14">
        <f t="shared" si="356"/>
        <v>212</v>
      </c>
      <c r="K236" s="25">
        <f t="shared" si="308"/>
        <v>18</v>
      </c>
      <c r="L236" s="18" t="str">
        <f t="shared" ref="L236" si="377">L224</f>
        <v>ago</v>
      </c>
      <c r="M236" s="43">
        <f t="shared" si="370"/>
        <v>1520</v>
      </c>
      <c r="N236" s="53">
        <f t="shared" si="339"/>
        <v>1147.7450449176913</v>
      </c>
      <c r="O236" s="43">
        <f t="shared" si="340"/>
        <v>456</v>
      </c>
      <c r="P236" s="43">
        <f t="shared" si="358"/>
        <v>691.7450449176913</v>
      </c>
      <c r="Q236" s="43">
        <f t="shared" si="359"/>
        <v>1064</v>
      </c>
      <c r="R236" s="43">
        <f t="shared" si="360"/>
        <v>-372.2549550823087</v>
      </c>
      <c r="S236" s="43">
        <f t="shared" si="345"/>
        <v>5309.6752667577393</v>
      </c>
      <c r="T236" s="43">
        <f t="shared" si="361"/>
        <v>1064</v>
      </c>
      <c r="U236" s="50">
        <f t="shared" si="362"/>
        <v>801.45765483452692</v>
      </c>
      <c r="V236" s="20">
        <f t="shared" si="341"/>
        <v>801.45765483452692</v>
      </c>
      <c r="W236" s="20">
        <f t="shared" si="342"/>
        <v>4892.9038756686623</v>
      </c>
      <c r="X236" s="19">
        <f t="shared" si="363"/>
        <v>4091.4462208341356</v>
      </c>
      <c r="Y236" s="38">
        <f t="shared" si="343"/>
        <v>0.83620000000000005</v>
      </c>
      <c r="Z236" s="37">
        <f t="shared" si="346"/>
        <v>395857.47220227181</v>
      </c>
      <c r="AA236" s="44">
        <f t="shared" si="347"/>
        <v>0</v>
      </c>
      <c r="AC236" s="48">
        <f t="shared" si="348"/>
        <v>4091.4462208341356</v>
      </c>
    </row>
    <row r="237" spans="1:29" x14ac:dyDescent="0.2">
      <c r="A237" s="14" t="str">
        <f t="shared" si="364"/>
        <v>Setembro</v>
      </c>
      <c r="B237" s="14">
        <f t="shared" si="364"/>
        <v>30</v>
      </c>
      <c r="C237" s="15">
        <f t="shared" si="364"/>
        <v>3.82</v>
      </c>
      <c r="D237" s="15">
        <f t="shared" si="364"/>
        <v>4.2417238001958868</v>
      </c>
      <c r="E237" s="15">
        <f t="shared" si="364"/>
        <v>5.12</v>
      </c>
      <c r="F237" s="57">
        <f t="shared" si="364"/>
        <v>5.1100000000000003</v>
      </c>
      <c r="G237" s="16">
        <f t="shared" si="355"/>
        <v>0.92190527567040192</v>
      </c>
      <c r="H237" s="15">
        <f t="shared" si="368"/>
        <v>3.7000180548008639</v>
      </c>
      <c r="I237" s="17">
        <f t="shared" si="307"/>
        <v>0.75324967559635991</v>
      </c>
      <c r="J237" s="14">
        <f t="shared" si="356"/>
        <v>213</v>
      </c>
      <c r="K237" s="25">
        <f t="shared" si="308"/>
        <v>18</v>
      </c>
      <c r="L237" s="18" t="str">
        <f t="shared" ref="L237" si="378">L225</f>
        <v>set</v>
      </c>
      <c r="M237" s="43">
        <f t="shared" si="370"/>
        <v>1400</v>
      </c>
      <c r="N237" s="53">
        <f t="shared" si="339"/>
        <v>1144.9848984459597</v>
      </c>
      <c r="O237" s="43">
        <f t="shared" si="340"/>
        <v>420</v>
      </c>
      <c r="P237" s="43">
        <f t="shared" si="358"/>
        <v>724.98489844595974</v>
      </c>
      <c r="Q237" s="43">
        <f t="shared" si="359"/>
        <v>980</v>
      </c>
      <c r="R237" s="43">
        <f t="shared" si="360"/>
        <v>-255.01510155404026</v>
      </c>
      <c r="S237" s="43">
        <f t="shared" si="345"/>
        <v>5054.6601652036989</v>
      </c>
      <c r="T237" s="43">
        <f t="shared" si="361"/>
        <v>980</v>
      </c>
      <c r="U237" s="50">
        <f t="shared" si="362"/>
        <v>738.18468208443267</v>
      </c>
      <c r="V237" s="20">
        <f t="shared" si="341"/>
        <v>738.18468208443267</v>
      </c>
      <c r="W237" s="20">
        <f t="shared" si="342"/>
        <v>4506.6219907474524</v>
      </c>
      <c r="X237" s="19">
        <f t="shared" si="363"/>
        <v>3768.4373086630198</v>
      </c>
      <c r="Y237" s="38">
        <f t="shared" si="343"/>
        <v>0.83620000000000005</v>
      </c>
      <c r="Z237" s="37">
        <f t="shared" si="346"/>
        <v>399625.90951093484</v>
      </c>
      <c r="AA237" s="44">
        <f t="shared" si="347"/>
        <v>0</v>
      </c>
      <c r="AC237" s="48">
        <f t="shared" si="348"/>
        <v>3768.4373086630198</v>
      </c>
    </row>
    <row r="238" spans="1:29" x14ac:dyDescent="0.2">
      <c r="A238" s="14" t="str">
        <f t="shared" si="364"/>
        <v>Outubro</v>
      </c>
      <c r="B238" s="14">
        <f t="shared" si="364"/>
        <v>31</v>
      </c>
      <c r="C238" s="15">
        <f t="shared" si="364"/>
        <v>4.33</v>
      </c>
      <c r="D238" s="15">
        <f t="shared" si="364"/>
        <v>4.8763956904995114</v>
      </c>
      <c r="E238" s="15">
        <f t="shared" si="364"/>
        <v>5.57</v>
      </c>
      <c r="F238" s="57">
        <f t="shared" si="364"/>
        <v>5.17</v>
      </c>
      <c r="G238" s="16">
        <f t="shared" si="355"/>
        <v>0.92190527567040192</v>
      </c>
      <c r="H238" s="15">
        <f t="shared" si="368"/>
        <v>3.7000180548008639</v>
      </c>
      <c r="I238" s="17">
        <f t="shared" si="307"/>
        <v>0.75324967559635991</v>
      </c>
      <c r="J238" s="14">
        <f t="shared" si="356"/>
        <v>214</v>
      </c>
      <c r="K238" s="25">
        <f t="shared" si="308"/>
        <v>18</v>
      </c>
      <c r="L238" s="18" t="str">
        <f t="shared" ref="L238" si="379">L226</f>
        <v>out</v>
      </c>
      <c r="M238" s="43">
        <f t="shared" si="370"/>
        <v>1340</v>
      </c>
      <c r="N238" s="53">
        <f t="shared" si="339"/>
        <v>1360.1811457764929</v>
      </c>
      <c r="O238" s="43">
        <f t="shared" si="340"/>
        <v>402</v>
      </c>
      <c r="P238" s="43">
        <f t="shared" si="358"/>
        <v>958.18114577649294</v>
      </c>
      <c r="Q238" s="43">
        <f t="shared" si="359"/>
        <v>938</v>
      </c>
      <c r="R238" s="43">
        <f t="shared" si="360"/>
        <v>20.18114577649294</v>
      </c>
      <c r="S238" s="43">
        <f t="shared" si="345"/>
        <v>5074.8413109801913</v>
      </c>
      <c r="T238" s="43">
        <f t="shared" si="361"/>
        <v>938</v>
      </c>
      <c r="U238" s="50">
        <f t="shared" si="362"/>
        <v>706.5481957093856</v>
      </c>
      <c r="V238" s="20">
        <f t="shared" si="341"/>
        <v>706.5481957093856</v>
      </c>
      <c r="W238" s="20">
        <f t="shared" si="342"/>
        <v>4313.481048286847</v>
      </c>
      <c r="X238" s="19">
        <f t="shared" si="363"/>
        <v>3606.9328525774613</v>
      </c>
      <c r="Y238" s="38">
        <f t="shared" si="343"/>
        <v>0.83619999999999994</v>
      </c>
      <c r="Z238" s="37">
        <f t="shared" si="346"/>
        <v>403232.84236351232</v>
      </c>
      <c r="AA238" s="44">
        <f t="shared" si="347"/>
        <v>0</v>
      </c>
      <c r="AC238" s="48">
        <f t="shared" si="348"/>
        <v>3606.9328525774613</v>
      </c>
    </row>
    <row r="239" spans="1:29" x14ac:dyDescent="0.2">
      <c r="A239" s="14" t="str">
        <f t="shared" si="364"/>
        <v>Novembro</v>
      </c>
      <c r="B239" s="14">
        <f t="shared" si="364"/>
        <v>30</v>
      </c>
      <c r="C239" s="15">
        <f t="shared" si="364"/>
        <v>4.68</v>
      </c>
      <c r="D239" s="15">
        <f t="shared" si="364"/>
        <v>5.5745347698334964</v>
      </c>
      <c r="E239" s="15">
        <f t="shared" si="364"/>
        <v>5.89</v>
      </c>
      <c r="F239" s="57">
        <f t="shared" si="364"/>
        <v>5.23</v>
      </c>
      <c r="G239" s="16">
        <f t="shared" si="355"/>
        <v>0.92190527567040192</v>
      </c>
      <c r="H239" s="15">
        <f t="shared" si="368"/>
        <v>3.7000180548008639</v>
      </c>
      <c r="I239" s="17">
        <f t="shared" si="307"/>
        <v>0.75324967559635991</v>
      </c>
      <c r="J239" s="14">
        <f t="shared" si="356"/>
        <v>215</v>
      </c>
      <c r="K239" s="25">
        <f t="shared" si="308"/>
        <v>18</v>
      </c>
      <c r="L239" s="18" t="str">
        <f t="shared" ref="L239" si="380">L227</f>
        <v>nov</v>
      </c>
      <c r="M239" s="43">
        <f t="shared" si="370"/>
        <v>1288</v>
      </c>
      <c r="N239" s="53">
        <f t="shared" si="339"/>
        <v>1504.7557144165105</v>
      </c>
      <c r="O239" s="43">
        <f t="shared" si="340"/>
        <v>386.4</v>
      </c>
      <c r="P239" s="43">
        <f t="shared" si="358"/>
        <v>1118.3557144165106</v>
      </c>
      <c r="Q239" s="43">
        <f t="shared" si="359"/>
        <v>901.6</v>
      </c>
      <c r="R239" s="43">
        <f t="shared" si="360"/>
        <v>216.75571441651061</v>
      </c>
      <c r="S239" s="43">
        <f t="shared" si="345"/>
        <v>5291.5970253967016</v>
      </c>
      <c r="T239" s="43">
        <f t="shared" si="361"/>
        <v>901.6</v>
      </c>
      <c r="U239" s="50">
        <f t="shared" si="362"/>
        <v>679.12990751767813</v>
      </c>
      <c r="V239" s="20">
        <f t="shared" si="341"/>
        <v>679.12990751767813</v>
      </c>
      <c r="W239" s="20">
        <f t="shared" si="342"/>
        <v>4146.0922314876561</v>
      </c>
      <c r="X239" s="19">
        <f t="shared" si="363"/>
        <v>3466.9623239699781</v>
      </c>
      <c r="Y239" s="38">
        <f t="shared" si="343"/>
        <v>0.83620000000000005</v>
      </c>
      <c r="Z239" s="37">
        <f t="shared" si="346"/>
        <v>406699.8046874823</v>
      </c>
      <c r="AA239" s="44">
        <f t="shared" si="347"/>
        <v>0</v>
      </c>
      <c r="AC239" s="48">
        <f t="shared" si="348"/>
        <v>3466.9623239699781</v>
      </c>
    </row>
    <row r="240" spans="1:29" x14ac:dyDescent="0.2">
      <c r="A240" s="14" t="str">
        <f t="shared" si="364"/>
        <v>Dezembro</v>
      </c>
      <c r="B240" s="14">
        <f t="shared" si="364"/>
        <v>31</v>
      </c>
      <c r="C240" s="15">
        <f t="shared" si="364"/>
        <v>4.8499999999999996</v>
      </c>
      <c r="D240" s="15">
        <f t="shared" si="364"/>
        <v>5.6062683643486775</v>
      </c>
      <c r="E240" s="15">
        <f t="shared" si="364"/>
        <v>6.05</v>
      </c>
      <c r="F240" s="57">
        <f t="shared" si="364"/>
        <v>5.29</v>
      </c>
      <c r="G240" s="16">
        <f t="shared" si="355"/>
        <v>0.92190527567040192</v>
      </c>
      <c r="H240" s="15">
        <f t="shared" si="368"/>
        <v>3.7000180548008639</v>
      </c>
      <c r="I240" s="17">
        <f t="shared" si="307"/>
        <v>0.75324967559635991</v>
      </c>
      <c r="J240" s="14">
        <f t="shared" si="356"/>
        <v>216</v>
      </c>
      <c r="K240" s="25">
        <f t="shared" si="308"/>
        <v>18</v>
      </c>
      <c r="L240" s="18" t="str">
        <f t="shared" ref="L240" si="381">L228</f>
        <v>dez</v>
      </c>
      <c r="M240" s="43">
        <f t="shared" si="370"/>
        <v>1140</v>
      </c>
      <c r="N240" s="53">
        <f t="shared" si="339"/>
        <v>1563.765742432844</v>
      </c>
      <c r="O240" s="43">
        <f t="shared" si="340"/>
        <v>342</v>
      </c>
      <c r="P240" s="43">
        <f t="shared" si="358"/>
        <v>1221.765742432844</v>
      </c>
      <c r="Q240" s="43">
        <f t="shared" si="359"/>
        <v>798</v>
      </c>
      <c r="R240" s="43">
        <f t="shared" si="360"/>
        <v>423.76574243284404</v>
      </c>
      <c r="S240" s="43">
        <f t="shared" si="345"/>
        <v>5715.3627678295452</v>
      </c>
      <c r="T240" s="43">
        <f t="shared" si="361"/>
        <v>798</v>
      </c>
      <c r="U240" s="50">
        <f t="shared" si="362"/>
        <v>601.09324112589525</v>
      </c>
      <c r="V240" s="20">
        <f t="shared" si="341"/>
        <v>601.09324112589525</v>
      </c>
      <c r="W240" s="20">
        <f t="shared" si="342"/>
        <v>3669.6779067514967</v>
      </c>
      <c r="X240" s="19">
        <f t="shared" si="363"/>
        <v>3068.5846656256017</v>
      </c>
      <c r="Y240" s="38">
        <f t="shared" si="343"/>
        <v>0.83620000000000005</v>
      </c>
      <c r="Z240" s="37">
        <f t="shared" si="346"/>
        <v>409768.38935310789</v>
      </c>
      <c r="AA240" s="44">
        <f t="shared" si="347"/>
        <v>0</v>
      </c>
      <c r="AC240" s="48">
        <f t="shared" si="348"/>
        <v>3068.5846656256017</v>
      </c>
    </row>
    <row r="241" spans="1:29" x14ac:dyDescent="0.2">
      <c r="A241" s="14" t="str">
        <f t="shared" si="364"/>
        <v>Janeiro</v>
      </c>
      <c r="B241" s="14">
        <f t="shared" si="364"/>
        <v>30</v>
      </c>
      <c r="C241" s="15">
        <f t="shared" si="364"/>
        <v>4.87</v>
      </c>
      <c r="D241" s="15">
        <f t="shared" si="364"/>
        <v>5.4581782566111663</v>
      </c>
      <c r="E241" s="15">
        <f t="shared" si="364"/>
        <v>6.01</v>
      </c>
      <c r="F241" s="57">
        <f t="shared" si="364"/>
        <v>5.31</v>
      </c>
      <c r="G241" s="16">
        <f t="shared" si="355"/>
        <v>0.91780832862532269</v>
      </c>
      <c r="H241" s="15">
        <f t="shared" si="368"/>
        <v>3.9960194991849334</v>
      </c>
      <c r="I241" s="17">
        <f t="shared" si="307"/>
        <v>0.8135096496440688</v>
      </c>
      <c r="J241" s="14">
        <f t="shared" si="356"/>
        <v>217</v>
      </c>
      <c r="K241" s="25">
        <f t="shared" si="308"/>
        <v>19</v>
      </c>
      <c r="L241" s="18" t="str">
        <f t="shared" ref="L241" si="382">L229</f>
        <v>jan</v>
      </c>
      <c r="M241" s="43">
        <f t="shared" si="370"/>
        <v>836</v>
      </c>
      <c r="N241" s="53">
        <f t="shared" si="339"/>
        <v>1466.7995963779281</v>
      </c>
      <c r="O241" s="43">
        <f t="shared" si="340"/>
        <v>250.79999999999998</v>
      </c>
      <c r="P241" s="43">
        <f t="shared" si="358"/>
        <v>1215.9995963779281</v>
      </c>
      <c r="Q241" s="43">
        <f t="shared" si="359"/>
        <v>585.20000000000005</v>
      </c>
      <c r="R241" s="43">
        <f t="shared" si="360"/>
        <v>630.79959637792808</v>
      </c>
      <c r="S241" s="43">
        <f t="shared" si="345"/>
        <v>6346.1623642074737</v>
      </c>
      <c r="T241" s="43">
        <f t="shared" si="361"/>
        <v>585.20000000000005</v>
      </c>
      <c r="U241" s="50">
        <f t="shared" si="362"/>
        <v>476.06584697170911</v>
      </c>
      <c r="V241" s="20">
        <f t="shared" si="341"/>
        <v>476.06584697170911</v>
      </c>
      <c r="W241" s="20">
        <f t="shared" si="342"/>
        <v>2906.384902147186</v>
      </c>
      <c r="X241" s="19">
        <f t="shared" si="363"/>
        <v>2430.3190551754769</v>
      </c>
      <c r="Y241" s="38">
        <f t="shared" si="343"/>
        <v>0.83619999999999994</v>
      </c>
      <c r="Z241" s="37">
        <f t="shared" si="346"/>
        <v>412198.70840828336</v>
      </c>
      <c r="AA241" s="44">
        <f t="shared" si="347"/>
        <v>0</v>
      </c>
      <c r="AC241" s="48">
        <f t="shared" si="348"/>
        <v>2430.3190551754769</v>
      </c>
    </row>
    <row r="242" spans="1:29" x14ac:dyDescent="0.2">
      <c r="A242" s="14" t="str">
        <f t="shared" ref="A242:F257" si="383">A230</f>
        <v>Fevereiro</v>
      </c>
      <c r="B242" s="14">
        <f t="shared" si="383"/>
        <v>28</v>
      </c>
      <c r="C242" s="15">
        <f t="shared" si="383"/>
        <v>4.75</v>
      </c>
      <c r="D242" s="15">
        <f t="shared" si="383"/>
        <v>5.2254652301665043</v>
      </c>
      <c r="E242" s="15">
        <f t="shared" si="383"/>
        <v>5.82</v>
      </c>
      <c r="F242" s="57">
        <f t="shared" si="383"/>
        <v>5.28</v>
      </c>
      <c r="G242" s="16">
        <f t="shared" si="355"/>
        <v>0.91780832862532269</v>
      </c>
      <c r="H242" s="15">
        <f t="shared" si="368"/>
        <v>3.9960194991849334</v>
      </c>
      <c r="I242" s="17">
        <f t="shared" si="307"/>
        <v>0.8135096496440688</v>
      </c>
      <c r="J242" s="14">
        <f t="shared" si="356"/>
        <v>218</v>
      </c>
      <c r="K242" s="25">
        <f t="shared" si="308"/>
        <v>19</v>
      </c>
      <c r="L242" s="18" t="str">
        <f t="shared" ref="L242" si="384">L230</f>
        <v>fev</v>
      </c>
      <c r="M242" s="43">
        <f t="shared" si="370"/>
        <v>1088</v>
      </c>
      <c r="N242" s="53">
        <f t="shared" si="339"/>
        <v>1310.6441871511306</v>
      </c>
      <c r="O242" s="43">
        <f t="shared" si="340"/>
        <v>326.39999999999998</v>
      </c>
      <c r="P242" s="43">
        <f t="shared" si="358"/>
        <v>984.24418715113063</v>
      </c>
      <c r="Q242" s="43">
        <f t="shared" si="359"/>
        <v>761.6</v>
      </c>
      <c r="R242" s="43">
        <f t="shared" si="360"/>
        <v>222.64418715113061</v>
      </c>
      <c r="S242" s="43">
        <f t="shared" si="345"/>
        <v>6568.8065513586043</v>
      </c>
      <c r="T242" s="43">
        <f t="shared" si="361"/>
        <v>761.6</v>
      </c>
      <c r="U242" s="50">
        <f t="shared" si="362"/>
        <v>619.56894916892281</v>
      </c>
      <c r="V242" s="20">
        <f t="shared" si="341"/>
        <v>619.56894916892281</v>
      </c>
      <c r="W242" s="20">
        <f t="shared" si="342"/>
        <v>3782.4722171484905</v>
      </c>
      <c r="X242" s="19">
        <f t="shared" si="363"/>
        <v>3162.9032679795678</v>
      </c>
      <c r="Y242" s="38">
        <f t="shared" si="343"/>
        <v>0.83620000000000005</v>
      </c>
      <c r="Z242" s="37">
        <f t="shared" si="346"/>
        <v>415361.61167626292</v>
      </c>
      <c r="AA242" s="44">
        <f t="shared" si="347"/>
        <v>0</v>
      </c>
      <c r="AC242" s="48">
        <f t="shared" si="348"/>
        <v>3162.9032679795678</v>
      </c>
    </row>
    <row r="243" spans="1:29" x14ac:dyDescent="0.2">
      <c r="A243" s="14" t="str">
        <f t="shared" si="383"/>
        <v>Março</v>
      </c>
      <c r="B243" s="14">
        <f t="shared" si="383"/>
        <v>31</v>
      </c>
      <c r="C243" s="15">
        <f t="shared" si="383"/>
        <v>4.21</v>
      </c>
      <c r="D243" s="15">
        <f t="shared" si="383"/>
        <v>4.7494613124387861</v>
      </c>
      <c r="E243" s="15">
        <f t="shared" si="383"/>
        <v>5.43</v>
      </c>
      <c r="F243" s="57">
        <f t="shared" si="383"/>
        <v>5.14</v>
      </c>
      <c r="G243" s="16">
        <f t="shared" si="355"/>
        <v>0.91780832862532269</v>
      </c>
      <c r="H243" s="15">
        <f t="shared" si="368"/>
        <v>3.9960194991849334</v>
      </c>
      <c r="I243" s="17">
        <f t="shared" si="307"/>
        <v>0.8135096496440688</v>
      </c>
      <c r="J243" s="14">
        <f t="shared" si="356"/>
        <v>219</v>
      </c>
      <c r="K243" s="25">
        <f t="shared" si="308"/>
        <v>19</v>
      </c>
      <c r="L243" s="18" t="str">
        <f t="shared" ref="L243" si="385">L231</f>
        <v>mar</v>
      </c>
      <c r="M243" s="43">
        <f t="shared" si="370"/>
        <v>1152</v>
      </c>
      <c r="N243" s="53">
        <f t="shared" si="339"/>
        <v>1318.8878282935648</v>
      </c>
      <c r="O243" s="43">
        <f t="shared" si="340"/>
        <v>345.59999999999997</v>
      </c>
      <c r="P243" s="43">
        <f t="shared" si="358"/>
        <v>973.28782829356487</v>
      </c>
      <c r="Q243" s="43">
        <f t="shared" si="359"/>
        <v>806.40000000000009</v>
      </c>
      <c r="R243" s="43">
        <f t="shared" si="360"/>
        <v>166.88782829356478</v>
      </c>
      <c r="S243" s="43">
        <f t="shared" si="345"/>
        <v>6735.6943796521691</v>
      </c>
      <c r="T243" s="43">
        <f t="shared" si="361"/>
        <v>806.40000000000009</v>
      </c>
      <c r="U243" s="50">
        <f t="shared" si="362"/>
        <v>656.01418147297716</v>
      </c>
      <c r="V243" s="20">
        <f t="shared" si="341"/>
        <v>656.01418147297716</v>
      </c>
      <c r="W243" s="20">
        <f t="shared" si="342"/>
        <v>4004.9705828631077</v>
      </c>
      <c r="X243" s="19">
        <f t="shared" si="363"/>
        <v>3348.9564013901304</v>
      </c>
      <c r="Y243" s="38">
        <f t="shared" si="343"/>
        <v>0.83619999999999994</v>
      </c>
      <c r="Z243" s="37">
        <f t="shared" si="346"/>
        <v>418710.56807765306</v>
      </c>
      <c r="AA243" s="44">
        <f t="shared" si="347"/>
        <v>0</v>
      </c>
      <c r="AC243" s="48">
        <f t="shared" si="348"/>
        <v>3348.9564013901304</v>
      </c>
    </row>
    <row r="244" spans="1:29" x14ac:dyDescent="0.2">
      <c r="A244" s="14" t="str">
        <f t="shared" si="383"/>
        <v>Abril</v>
      </c>
      <c r="B244" s="14">
        <f t="shared" si="383"/>
        <v>30</v>
      </c>
      <c r="C244" s="15">
        <f t="shared" si="383"/>
        <v>3.59</v>
      </c>
      <c r="D244" s="15">
        <f t="shared" si="383"/>
        <v>4.1465230166503426</v>
      </c>
      <c r="E244" s="15">
        <f t="shared" si="383"/>
        <v>4.91</v>
      </c>
      <c r="F244" s="57">
        <f t="shared" si="383"/>
        <v>4.97</v>
      </c>
      <c r="G244" s="16">
        <f t="shared" si="355"/>
        <v>0.91780832862532269</v>
      </c>
      <c r="H244" s="15">
        <f t="shared" si="368"/>
        <v>3.9960194991849334</v>
      </c>
      <c r="I244" s="17">
        <f t="shared" si="307"/>
        <v>0.8135096496440688</v>
      </c>
      <c r="J244" s="14">
        <f t="shared" si="356"/>
        <v>220</v>
      </c>
      <c r="K244" s="25">
        <f t="shared" si="308"/>
        <v>19</v>
      </c>
      <c r="L244" s="18" t="str">
        <f t="shared" ref="L244" si="386">L232</f>
        <v>abr</v>
      </c>
      <c r="M244" s="43">
        <f t="shared" si="370"/>
        <v>1000</v>
      </c>
      <c r="N244" s="53">
        <f t="shared" si="339"/>
        <v>1114.312871666953</v>
      </c>
      <c r="O244" s="43">
        <f t="shared" si="340"/>
        <v>300</v>
      </c>
      <c r="P244" s="43">
        <f t="shared" si="358"/>
        <v>814.31287166695301</v>
      </c>
      <c r="Q244" s="43">
        <f t="shared" si="359"/>
        <v>700</v>
      </c>
      <c r="R244" s="43">
        <f t="shared" si="360"/>
        <v>114.31287166695301</v>
      </c>
      <c r="S244" s="43">
        <f t="shared" si="345"/>
        <v>6850.0072513191226</v>
      </c>
      <c r="T244" s="43">
        <f t="shared" si="361"/>
        <v>700</v>
      </c>
      <c r="U244" s="50">
        <f t="shared" si="362"/>
        <v>569.45675475084818</v>
      </c>
      <c r="V244" s="20">
        <f t="shared" si="341"/>
        <v>569.45675475084818</v>
      </c>
      <c r="W244" s="20">
        <f t="shared" si="342"/>
        <v>3476.5369642908922</v>
      </c>
      <c r="X244" s="19">
        <f t="shared" si="363"/>
        <v>2907.0802095400441</v>
      </c>
      <c r="Y244" s="38">
        <f t="shared" si="343"/>
        <v>0.83619999999999994</v>
      </c>
      <c r="Z244" s="37">
        <f t="shared" si="346"/>
        <v>421617.64828719309</v>
      </c>
      <c r="AA244" s="44">
        <f t="shared" si="347"/>
        <v>0</v>
      </c>
      <c r="AC244" s="48">
        <f t="shared" si="348"/>
        <v>2907.0802095400441</v>
      </c>
    </row>
    <row r="245" spans="1:29" x14ac:dyDescent="0.2">
      <c r="A245" s="14" t="str">
        <f t="shared" si="383"/>
        <v>Maio</v>
      </c>
      <c r="B245" s="14">
        <f t="shared" si="383"/>
        <v>31</v>
      </c>
      <c r="C245" s="15">
        <f t="shared" si="383"/>
        <v>2.98</v>
      </c>
      <c r="D245" s="15">
        <f t="shared" si="383"/>
        <v>3.3849167482859945</v>
      </c>
      <c r="E245" s="15">
        <f t="shared" si="383"/>
        <v>4.25</v>
      </c>
      <c r="F245" s="57">
        <f t="shared" si="383"/>
        <v>4.66</v>
      </c>
      <c r="G245" s="16">
        <f t="shared" si="355"/>
        <v>0.91780832862532269</v>
      </c>
      <c r="H245" s="15">
        <f t="shared" si="368"/>
        <v>3.9960194991849334</v>
      </c>
      <c r="I245" s="17">
        <f t="shared" si="307"/>
        <v>0.8135096496440688</v>
      </c>
      <c r="J245" s="14">
        <f t="shared" si="356"/>
        <v>221</v>
      </c>
      <c r="K245" s="25">
        <f t="shared" si="308"/>
        <v>19</v>
      </c>
      <c r="L245" s="18" t="str">
        <f t="shared" ref="L245" si="387">L233</f>
        <v>mai</v>
      </c>
      <c r="M245" s="43">
        <f t="shared" si="370"/>
        <v>1396</v>
      </c>
      <c r="N245" s="53">
        <f t="shared" si="339"/>
        <v>939.9645992292667</v>
      </c>
      <c r="O245" s="43">
        <f t="shared" si="340"/>
        <v>418.8</v>
      </c>
      <c r="P245" s="43">
        <f t="shared" si="358"/>
        <v>521.16459922926674</v>
      </c>
      <c r="Q245" s="43">
        <f t="shared" si="359"/>
        <v>977.2</v>
      </c>
      <c r="R245" s="43">
        <f t="shared" si="360"/>
        <v>-456.0354007707333</v>
      </c>
      <c r="S245" s="43">
        <f t="shared" si="345"/>
        <v>6393.9718505483888</v>
      </c>
      <c r="T245" s="43">
        <f t="shared" si="361"/>
        <v>977.2</v>
      </c>
      <c r="U245" s="50">
        <f t="shared" si="362"/>
        <v>794.9616296321841</v>
      </c>
      <c r="V245" s="20">
        <f t="shared" si="341"/>
        <v>794.9616296321841</v>
      </c>
      <c r="W245" s="20">
        <f t="shared" si="342"/>
        <v>4853.2456021500848</v>
      </c>
      <c r="X245" s="19">
        <f t="shared" si="363"/>
        <v>4058.2839725179006</v>
      </c>
      <c r="Y245" s="38">
        <f t="shared" si="343"/>
        <v>0.83619999999999994</v>
      </c>
      <c r="Z245" s="37">
        <f t="shared" si="346"/>
        <v>425675.93225971097</v>
      </c>
      <c r="AA245" s="44">
        <f t="shared" si="347"/>
        <v>0</v>
      </c>
      <c r="AC245" s="48">
        <f t="shared" si="348"/>
        <v>4058.2839725179006</v>
      </c>
    </row>
    <row r="246" spans="1:29" x14ac:dyDescent="0.2">
      <c r="A246" s="14" t="str">
        <f t="shared" si="383"/>
        <v>Junho</v>
      </c>
      <c r="B246" s="14">
        <f t="shared" si="383"/>
        <v>30</v>
      </c>
      <c r="C246" s="15">
        <f t="shared" si="383"/>
        <v>2.74</v>
      </c>
      <c r="D246" s="15">
        <f t="shared" si="383"/>
        <v>3.1945151811949071</v>
      </c>
      <c r="E246" s="15">
        <f t="shared" si="383"/>
        <v>3.92</v>
      </c>
      <c r="F246" s="57">
        <f t="shared" si="383"/>
        <v>4.47</v>
      </c>
      <c r="G246" s="16">
        <f t="shared" si="355"/>
        <v>0.91780832862532269</v>
      </c>
      <c r="H246" s="15">
        <f t="shared" si="368"/>
        <v>3.9960194991849334</v>
      </c>
      <c r="I246" s="17">
        <f t="shared" si="307"/>
        <v>0.8135096496440688</v>
      </c>
      <c r="J246" s="14">
        <f t="shared" si="356"/>
        <v>222</v>
      </c>
      <c r="K246" s="25">
        <f t="shared" si="308"/>
        <v>19</v>
      </c>
      <c r="L246" s="18" t="str">
        <f t="shared" ref="L246" si="388">L234</f>
        <v>jun</v>
      </c>
      <c r="M246" s="43">
        <f t="shared" si="370"/>
        <v>1428</v>
      </c>
      <c r="N246" s="53">
        <f t="shared" si="339"/>
        <v>858.47573276382604</v>
      </c>
      <c r="O246" s="43">
        <f t="shared" si="340"/>
        <v>428.4</v>
      </c>
      <c r="P246" s="43">
        <f t="shared" si="358"/>
        <v>430.07573276382607</v>
      </c>
      <c r="Q246" s="43">
        <f t="shared" si="359"/>
        <v>999.6</v>
      </c>
      <c r="R246" s="43">
        <f t="shared" si="360"/>
        <v>-569.52426723617396</v>
      </c>
      <c r="S246" s="43">
        <f t="shared" si="345"/>
        <v>5824.4475833122151</v>
      </c>
      <c r="T246" s="43">
        <f t="shared" si="361"/>
        <v>999.6</v>
      </c>
      <c r="U246" s="50">
        <f t="shared" si="362"/>
        <v>813.18424578421116</v>
      </c>
      <c r="V246" s="20">
        <f t="shared" si="341"/>
        <v>813.18424578421116</v>
      </c>
      <c r="W246" s="20">
        <f t="shared" si="342"/>
        <v>4964.4947850073931</v>
      </c>
      <c r="X246" s="19">
        <f t="shared" si="363"/>
        <v>4151.3105392231819</v>
      </c>
      <c r="Y246" s="38">
        <f t="shared" si="343"/>
        <v>0.83619999999999994</v>
      </c>
      <c r="Z246" s="37">
        <f t="shared" si="346"/>
        <v>429827.24279893417</v>
      </c>
      <c r="AA246" s="44">
        <f t="shared" si="347"/>
        <v>0</v>
      </c>
      <c r="AC246" s="48">
        <f t="shared" si="348"/>
        <v>4151.3105392231819</v>
      </c>
    </row>
    <row r="247" spans="1:29" x14ac:dyDescent="0.2">
      <c r="A247" s="14" t="str">
        <f t="shared" si="383"/>
        <v>Julho</v>
      </c>
      <c r="B247" s="14">
        <f t="shared" si="383"/>
        <v>31</v>
      </c>
      <c r="C247" s="15">
        <f t="shared" si="383"/>
        <v>2.91</v>
      </c>
      <c r="D247" s="15">
        <f t="shared" si="383"/>
        <v>3.4272282076395695</v>
      </c>
      <c r="E247" s="15">
        <f t="shared" si="383"/>
        <v>4.18</v>
      </c>
      <c r="F247" s="57">
        <f t="shared" si="383"/>
        <v>4.74</v>
      </c>
      <c r="G247" s="16">
        <f t="shared" si="355"/>
        <v>0.91780832862532269</v>
      </c>
      <c r="H247" s="15">
        <f t="shared" si="368"/>
        <v>3.9960194991849334</v>
      </c>
      <c r="I247" s="17">
        <f t="shared" si="307"/>
        <v>0.8135096496440688</v>
      </c>
      <c r="J247" s="14">
        <f t="shared" si="356"/>
        <v>223</v>
      </c>
      <c r="K247" s="25">
        <f t="shared" si="308"/>
        <v>19</v>
      </c>
      <c r="L247" s="18" t="str">
        <f t="shared" ref="L247" si="389">L235</f>
        <v>jul</v>
      </c>
      <c r="M247" s="43">
        <f t="shared" si="370"/>
        <v>1392</v>
      </c>
      <c r="N247" s="53">
        <f t="shared" si="339"/>
        <v>951.71415671963246</v>
      </c>
      <c r="O247" s="43">
        <f t="shared" si="340"/>
        <v>417.59999999999997</v>
      </c>
      <c r="P247" s="43">
        <f t="shared" si="358"/>
        <v>534.11415671963255</v>
      </c>
      <c r="Q247" s="43">
        <f t="shared" si="359"/>
        <v>974.40000000000009</v>
      </c>
      <c r="R247" s="43">
        <f t="shared" si="360"/>
        <v>-440.28584328036754</v>
      </c>
      <c r="S247" s="43">
        <f t="shared" si="345"/>
        <v>5384.1617400318473</v>
      </c>
      <c r="T247" s="43">
        <f t="shared" si="361"/>
        <v>974.40000000000009</v>
      </c>
      <c r="U247" s="50">
        <f t="shared" si="362"/>
        <v>792.68380261318066</v>
      </c>
      <c r="V247" s="20">
        <f t="shared" si="341"/>
        <v>792.68380261318066</v>
      </c>
      <c r="W247" s="20">
        <f t="shared" si="342"/>
        <v>4839.3394542929218</v>
      </c>
      <c r="X247" s="19">
        <f t="shared" si="363"/>
        <v>4046.6556516797409</v>
      </c>
      <c r="Y247" s="38">
        <f t="shared" si="343"/>
        <v>0.83619999999999994</v>
      </c>
      <c r="Z247" s="37">
        <f t="shared" si="346"/>
        <v>433873.89845061389</v>
      </c>
      <c r="AA247" s="44">
        <f t="shared" si="347"/>
        <v>0</v>
      </c>
      <c r="AC247" s="48">
        <f t="shared" si="348"/>
        <v>4046.6556516797409</v>
      </c>
    </row>
    <row r="248" spans="1:29" x14ac:dyDescent="0.2">
      <c r="A248" s="14" t="str">
        <f t="shared" si="383"/>
        <v>Agosto</v>
      </c>
      <c r="B248" s="14">
        <f t="shared" si="383"/>
        <v>31</v>
      </c>
      <c r="C248" s="15">
        <f t="shared" si="383"/>
        <v>3.45</v>
      </c>
      <c r="D248" s="15">
        <f t="shared" si="383"/>
        <v>4.1147894221351615</v>
      </c>
      <c r="E248" s="15">
        <f t="shared" si="383"/>
        <v>4.83</v>
      </c>
      <c r="F248" s="57">
        <f t="shared" si="383"/>
        <v>5.21</v>
      </c>
      <c r="G248" s="16">
        <f t="shared" si="355"/>
        <v>0.91780832862532269</v>
      </c>
      <c r="H248" s="15">
        <f t="shared" si="368"/>
        <v>3.9960194991849334</v>
      </c>
      <c r="I248" s="17">
        <f t="shared" si="307"/>
        <v>0.8135096496440688</v>
      </c>
      <c r="J248" s="14">
        <f t="shared" si="356"/>
        <v>224</v>
      </c>
      <c r="K248" s="25">
        <f t="shared" si="308"/>
        <v>19</v>
      </c>
      <c r="L248" s="18" t="str">
        <f t="shared" ref="L248" si="390">L236</f>
        <v>ago</v>
      </c>
      <c r="M248" s="43">
        <f t="shared" si="370"/>
        <v>1520</v>
      </c>
      <c r="N248" s="53">
        <f t="shared" si="339"/>
        <v>1142.6444659380772</v>
      </c>
      <c r="O248" s="43">
        <f t="shared" si="340"/>
        <v>456</v>
      </c>
      <c r="P248" s="43">
        <f t="shared" si="358"/>
        <v>686.64446593807725</v>
      </c>
      <c r="Q248" s="43">
        <f t="shared" si="359"/>
        <v>1064</v>
      </c>
      <c r="R248" s="43">
        <f t="shared" si="360"/>
        <v>-377.35553406192275</v>
      </c>
      <c r="S248" s="43">
        <f t="shared" si="345"/>
        <v>5006.8062059699241</v>
      </c>
      <c r="T248" s="43">
        <f t="shared" si="361"/>
        <v>1064</v>
      </c>
      <c r="U248" s="50">
        <f t="shared" si="362"/>
        <v>865.57426722128923</v>
      </c>
      <c r="V248" s="20">
        <f t="shared" si="341"/>
        <v>865.57426722128923</v>
      </c>
      <c r="W248" s="20">
        <f t="shared" si="342"/>
        <v>5284.3361857221562</v>
      </c>
      <c r="X248" s="19">
        <f t="shared" si="363"/>
        <v>4418.7619185008671</v>
      </c>
      <c r="Y248" s="38">
        <f t="shared" si="343"/>
        <v>0.83620000000000005</v>
      </c>
      <c r="Z248" s="37">
        <f t="shared" si="346"/>
        <v>438292.66036911478</v>
      </c>
      <c r="AA248" s="44">
        <f t="shared" si="347"/>
        <v>0</v>
      </c>
      <c r="AC248" s="48">
        <f t="shared" si="348"/>
        <v>4418.7619185008671</v>
      </c>
    </row>
    <row r="249" spans="1:29" x14ac:dyDescent="0.2">
      <c r="A249" s="14" t="str">
        <f t="shared" si="383"/>
        <v>Setembro</v>
      </c>
      <c r="B249" s="14">
        <f t="shared" si="383"/>
        <v>30</v>
      </c>
      <c r="C249" s="15">
        <f t="shared" si="383"/>
        <v>3.82</v>
      </c>
      <c r="D249" s="15">
        <f t="shared" si="383"/>
        <v>4.2417238001958868</v>
      </c>
      <c r="E249" s="15">
        <f t="shared" si="383"/>
        <v>5.12</v>
      </c>
      <c r="F249" s="57">
        <f t="shared" si="383"/>
        <v>5.1100000000000003</v>
      </c>
      <c r="G249" s="16">
        <f t="shared" si="355"/>
        <v>0.91780832862532269</v>
      </c>
      <c r="H249" s="15">
        <f t="shared" si="368"/>
        <v>3.9960194991849334</v>
      </c>
      <c r="I249" s="17">
        <f t="shared" si="307"/>
        <v>0.8135096496440688</v>
      </c>
      <c r="J249" s="14">
        <f t="shared" si="356"/>
        <v>225</v>
      </c>
      <c r="K249" s="25">
        <f t="shared" si="308"/>
        <v>19</v>
      </c>
      <c r="L249" s="18" t="str">
        <f t="shared" ref="L249" si="391">L237</f>
        <v>set</v>
      </c>
      <c r="M249" s="43">
        <f t="shared" si="370"/>
        <v>1400</v>
      </c>
      <c r="N249" s="53">
        <f t="shared" si="339"/>
        <v>1139.896585557266</v>
      </c>
      <c r="O249" s="43">
        <f t="shared" si="340"/>
        <v>420</v>
      </c>
      <c r="P249" s="43">
        <f t="shared" si="358"/>
        <v>719.89658555726601</v>
      </c>
      <c r="Q249" s="43">
        <f t="shared" si="359"/>
        <v>980</v>
      </c>
      <c r="R249" s="43">
        <f t="shared" si="360"/>
        <v>-260.10341444273399</v>
      </c>
      <c r="S249" s="43">
        <f t="shared" si="345"/>
        <v>4746.7027915271901</v>
      </c>
      <c r="T249" s="43">
        <f t="shared" si="361"/>
        <v>980</v>
      </c>
      <c r="U249" s="50">
        <f t="shared" si="362"/>
        <v>797.23945665118742</v>
      </c>
      <c r="V249" s="20">
        <f t="shared" si="341"/>
        <v>797.23945665118742</v>
      </c>
      <c r="W249" s="20">
        <f t="shared" si="342"/>
        <v>4867.1517500072487</v>
      </c>
      <c r="X249" s="19">
        <f t="shared" si="363"/>
        <v>4069.9122933560611</v>
      </c>
      <c r="Y249" s="38">
        <f t="shared" si="343"/>
        <v>0.83619999999999994</v>
      </c>
      <c r="Z249" s="37">
        <f t="shared" si="346"/>
        <v>442362.57266247086</v>
      </c>
      <c r="AA249" s="44">
        <f t="shared" si="347"/>
        <v>0</v>
      </c>
      <c r="AC249" s="48">
        <f t="shared" si="348"/>
        <v>4069.9122933560611</v>
      </c>
    </row>
    <row r="250" spans="1:29" x14ac:dyDescent="0.2">
      <c r="A250" s="14" t="str">
        <f t="shared" si="383"/>
        <v>Outubro</v>
      </c>
      <c r="B250" s="14">
        <f t="shared" si="383"/>
        <v>31</v>
      </c>
      <c r="C250" s="15">
        <f t="shared" si="383"/>
        <v>4.33</v>
      </c>
      <c r="D250" s="15">
        <f t="shared" si="383"/>
        <v>4.8763956904995114</v>
      </c>
      <c r="E250" s="15">
        <f t="shared" si="383"/>
        <v>5.57</v>
      </c>
      <c r="F250" s="57">
        <f t="shared" si="383"/>
        <v>5.17</v>
      </c>
      <c r="G250" s="16">
        <f t="shared" si="355"/>
        <v>0.91780832862532269</v>
      </c>
      <c r="H250" s="15">
        <f t="shared" si="368"/>
        <v>3.9960194991849334</v>
      </c>
      <c r="I250" s="17">
        <f t="shared" si="307"/>
        <v>0.8135096496440688</v>
      </c>
      <c r="J250" s="14">
        <f t="shared" si="356"/>
        <v>226</v>
      </c>
      <c r="K250" s="25">
        <f t="shared" si="308"/>
        <v>19</v>
      </c>
      <c r="L250" s="18" t="str">
        <f t="shared" ref="L250" si="392">L238</f>
        <v>out</v>
      </c>
      <c r="M250" s="43">
        <f t="shared" si="370"/>
        <v>1340</v>
      </c>
      <c r="N250" s="53">
        <f t="shared" si="339"/>
        <v>1354.1365007646623</v>
      </c>
      <c r="O250" s="43">
        <f t="shared" si="340"/>
        <v>402</v>
      </c>
      <c r="P250" s="43">
        <f t="shared" si="358"/>
        <v>952.13650076466229</v>
      </c>
      <c r="Q250" s="43">
        <f t="shared" si="359"/>
        <v>938</v>
      </c>
      <c r="R250" s="43">
        <f t="shared" si="360"/>
        <v>14.136500764662287</v>
      </c>
      <c r="S250" s="43">
        <f t="shared" si="345"/>
        <v>4760.839292291852</v>
      </c>
      <c r="T250" s="43">
        <f t="shared" si="361"/>
        <v>938</v>
      </c>
      <c r="U250" s="50">
        <f t="shared" si="362"/>
        <v>763.07205136613652</v>
      </c>
      <c r="V250" s="20">
        <f t="shared" si="341"/>
        <v>763.07205136613652</v>
      </c>
      <c r="W250" s="20">
        <f t="shared" si="342"/>
        <v>4658.5595321497949</v>
      </c>
      <c r="X250" s="19">
        <f t="shared" si="363"/>
        <v>3895.4874807836586</v>
      </c>
      <c r="Y250" s="38">
        <f t="shared" si="343"/>
        <v>0.83620000000000005</v>
      </c>
      <c r="Z250" s="37">
        <f t="shared" si="346"/>
        <v>446258.06014325452</v>
      </c>
      <c r="AA250" s="44">
        <f t="shared" si="347"/>
        <v>0</v>
      </c>
      <c r="AC250" s="48">
        <f t="shared" si="348"/>
        <v>3895.4874807836586</v>
      </c>
    </row>
    <row r="251" spans="1:29" x14ac:dyDescent="0.2">
      <c r="A251" s="14" t="str">
        <f t="shared" si="383"/>
        <v>Novembro</v>
      </c>
      <c r="B251" s="14">
        <f t="shared" si="383"/>
        <v>30</v>
      </c>
      <c r="C251" s="15">
        <f t="shared" si="383"/>
        <v>4.68</v>
      </c>
      <c r="D251" s="15">
        <f t="shared" si="383"/>
        <v>5.5745347698334964</v>
      </c>
      <c r="E251" s="15">
        <f t="shared" si="383"/>
        <v>5.89</v>
      </c>
      <c r="F251" s="57">
        <f t="shared" si="383"/>
        <v>5.23</v>
      </c>
      <c r="G251" s="16">
        <f t="shared" si="355"/>
        <v>0.91780832862532269</v>
      </c>
      <c r="H251" s="15">
        <f t="shared" si="368"/>
        <v>3.9960194991849334</v>
      </c>
      <c r="I251" s="17">
        <f t="shared" si="307"/>
        <v>0.8135096496440688</v>
      </c>
      <c r="J251" s="14">
        <f t="shared" si="356"/>
        <v>227</v>
      </c>
      <c r="K251" s="25">
        <f t="shared" si="308"/>
        <v>19</v>
      </c>
      <c r="L251" s="18" t="str">
        <f t="shared" ref="L251" si="393">L239</f>
        <v>nov</v>
      </c>
      <c r="M251" s="43">
        <f t="shared" si="370"/>
        <v>1288</v>
      </c>
      <c r="N251" s="53">
        <f t="shared" si="339"/>
        <v>1498.0685800216436</v>
      </c>
      <c r="O251" s="43">
        <f t="shared" si="340"/>
        <v>386.4</v>
      </c>
      <c r="P251" s="43">
        <f t="shared" si="358"/>
        <v>1111.6685800216437</v>
      </c>
      <c r="Q251" s="43">
        <f t="shared" si="359"/>
        <v>901.6</v>
      </c>
      <c r="R251" s="43">
        <f t="shared" si="360"/>
        <v>210.0685800216437</v>
      </c>
      <c r="S251" s="43">
        <f t="shared" si="345"/>
        <v>4970.9078723134953</v>
      </c>
      <c r="T251" s="43">
        <f t="shared" si="361"/>
        <v>901.6</v>
      </c>
      <c r="U251" s="50">
        <f t="shared" si="362"/>
        <v>733.46030011909249</v>
      </c>
      <c r="V251" s="20">
        <f t="shared" si="341"/>
        <v>733.46030011909249</v>
      </c>
      <c r="W251" s="20">
        <f t="shared" si="342"/>
        <v>4477.7796100066689</v>
      </c>
      <c r="X251" s="19">
        <f t="shared" si="363"/>
        <v>3744.3193098875763</v>
      </c>
      <c r="Y251" s="38">
        <f t="shared" si="343"/>
        <v>0.83619999999999994</v>
      </c>
      <c r="Z251" s="37">
        <f t="shared" si="346"/>
        <v>450002.37945314212</v>
      </c>
      <c r="AA251" s="44">
        <f t="shared" si="347"/>
        <v>0</v>
      </c>
      <c r="AC251" s="48">
        <f t="shared" si="348"/>
        <v>3744.3193098875763</v>
      </c>
    </row>
    <row r="252" spans="1:29" x14ac:dyDescent="0.2">
      <c r="A252" s="14" t="str">
        <f t="shared" si="383"/>
        <v>Dezembro</v>
      </c>
      <c r="B252" s="14">
        <f t="shared" si="383"/>
        <v>31</v>
      </c>
      <c r="C252" s="15">
        <f t="shared" si="383"/>
        <v>4.8499999999999996</v>
      </c>
      <c r="D252" s="15">
        <f t="shared" si="383"/>
        <v>5.6062683643486775</v>
      </c>
      <c r="E252" s="15">
        <f t="shared" si="383"/>
        <v>6.05</v>
      </c>
      <c r="F252" s="57">
        <f t="shared" si="383"/>
        <v>5.29</v>
      </c>
      <c r="G252" s="16">
        <f t="shared" si="355"/>
        <v>0.91780832862532269</v>
      </c>
      <c r="H252" s="15">
        <f t="shared" si="368"/>
        <v>3.9960194991849334</v>
      </c>
      <c r="I252" s="17">
        <f t="shared" si="307"/>
        <v>0.8135096496440688</v>
      </c>
      <c r="J252" s="14">
        <f t="shared" si="356"/>
        <v>228</v>
      </c>
      <c r="K252" s="25">
        <f t="shared" si="308"/>
        <v>19</v>
      </c>
      <c r="L252" s="18" t="str">
        <f t="shared" ref="L252" si="394">L240</f>
        <v>dez</v>
      </c>
      <c r="M252" s="43">
        <f t="shared" si="370"/>
        <v>1140</v>
      </c>
      <c r="N252" s="53">
        <f t="shared" si="339"/>
        <v>1556.8163674734726</v>
      </c>
      <c r="O252" s="43">
        <f t="shared" si="340"/>
        <v>342</v>
      </c>
      <c r="P252" s="43">
        <f t="shared" si="358"/>
        <v>1214.8163674734726</v>
      </c>
      <c r="Q252" s="43">
        <f t="shared" si="359"/>
        <v>798</v>
      </c>
      <c r="R252" s="43">
        <f t="shared" si="360"/>
        <v>416.81636747347261</v>
      </c>
      <c r="S252" s="43">
        <f t="shared" si="345"/>
        <v>5387.7242397869677</v>
      </c>
      <c r="T252" s="43">
        <f t="shared" si="361"/>
        <v>798</v>
      </c>
      <c r="U252" s="50">
        <f t="shared" si="362"/>
        <v>649.18070041596695</v>
      </c>
      <c r="V252" s="20">
        <f t="shared" si="341"/>
        <v>649.18070041596695</v>
      </c>
      <c r="W252" s="20">
        <f t="shared" si="342"/>
        <v>3963.2521392916169</v>
      </c>
      <c r="X252" s="19">
        <f t="shared" si="363"/>
        <v>3314.0714388756501</v>
      </c>
      <c r="Y252" s="38">
        <f t="shared" si="343"/>
        <v>0.83620000000000005</v>
      </c>
      <c r="Z252" s="37">
        <f t="shared" si="346"/>
        <v>453316.45089201775</v>
      </c>
      <c r="AA252" s="44">
        <f t="shared" si="347"/>
        <v>0</v>
      </c>
      <c r="AC252" s="48">
        <f t="shared" si="348"/>
        <v>3314.0714388756501</v>
      </c>
    </row>
    <row r="253" spans="1:29" x14ac:dyDescent="0.2">
      <c r="A253" s="14" t="str">
        <f t="shared" si="383"/>
        <v>Janeiro</v>
      </c>
      <c r="B253" s="14">
        <f t="shared" si="383"/>
        <v>30</v>
      </c>
      <c r="C253" s="15">
        <f t="shared" si="383"/>
        <v>4.87</v>
      </c>
      <c r="D253" s="15">
        <f t="shared" si="383"/>
        <v>5.4581782566111663</v>
      </c>
      <c r="E253" s="15">
        <f t="shared" si="383"/>
        <v>6.01</v>
      </c>
      <c r="F253" s="57">
        <f t="shared" si="383"/>
        <v>5.31</v>
      </c>
      <c r="G253" s="16">
        <f t="shared" si="355"/>
        <v>0.91372958841291174</v>
      </c>
      <c r="H253" s="15">
        <f t="shared" si="368"/>
        <v>4.3157010591197285</v>
      </c>
      <c r="I253" s="17">
        <f t="shared" si="307"/>
        <v>0.87859042161559442</v>
      </c>
      <c r="J253" s="14">
        <f t="shared" si="356"/>
        <v>229</v>
      </c>
      <c r="K253" s="25">
        <f t="shared" si="308"/>
        <v>20</v>
      </c>
      <c r="L253" s="18" t="str">
        <f t="shared" ref="L253" si="395">L241</f>
        <v>jan</v>
      </c>
      <c r="M253" s="43">
        <f t="shared" si="370"/>
        <v>836</v>
      </c>
      <c r="N253" s="53">
        <f t="shared" si="339"/>
        <v>1460.2811389716246</v>
      </c>
      <c r="O253" s="43">
        <f t="shared" si="340"/>
        <v>250.79999999999998</v>
      </c>
      <c r="P253" s="43">
        <f t="shared" si="358"/>
        <v>1209.4811389716247</v>
      </c>
      <c r="Q253" s="43">
        <f t="shared" si="359"/>
        <v>585.20000000000005</v>
      </c>
      <c r="R253" s="43">
        <f t="shared" si="360"/>
        <v>624.28113897162461</v>
      </c>
      <c r="S253" s="43">
        <f t="shared" si="345"/>
        <v>6012.0053787585921</v>
      </c>
      <c r="T253" s="43">
        <f t="shared" si="361"/>
        <v>585.20000000000005</v>
      </c>
      <c r="U253" s="50">
        <f t="shared" si="362"/>
        <v>514.15111472944591</v>
      </c>
      <c r="V253" s="20">
        <f t="shared" si="341"/>
        <v>514.15111472944591</v>
      </c>
      <c r="W253" s="20">
        <f t="shared" si="342"/>
        <v>3138.895694318961</v>
      </c>
      <c r="X253" s="19">
        <f t="shared" si="363"/>
        <v>2624.7445795895151</v>
      </c>
      <c r="Y253" s="38">
        <f t="shared" si="343"/>
        <v>0.83619999999999994</v>
      </c>
      <c r="Z253" s="37">
        <f t="shared" si="346"/>
        <v>455941.19547160727</v>
      </c>
      <c r="AA253" s="44">
        <f t="shared" si="347"/>
        <v>0</v>
      </c>
      <c r="AC253" s="48">
        <f t="shared" si="348"/>
        <v>2624.7445795895151</v>
      </c>
    </row>
    <row r="254" spans="1:29" x14ac:dyDescent="0.2">
      <c r="A254" s="14" t="str">
        <f t="shared" si="383"/>
        <v>Fevereiro</v>
      </c>
      <c r="B254" s="14">
        <f t="shared" si="383"/>
        <v>28</v>
      </c>
      <c r="C254" s="15">
        <f t="shared" si="383"/>
        <v>4.75</v>
      </c>
      <c r="D254" s="15">
        <f t="shared" si="383"/>
        <v>5.2254652301665043</v>
      </c>
      <c r="E254" s="15">
        <f t="shared" si="383"/>
        <v>5.82</v>
      </c>
      <c r="F254" s="57">
        <f t="shared" si="383"/>
        <v>5.28</v>
      </c>
      <c r="G254" s="16">
        <f t="shared" si="355"/>
        <v>0.91372958841291174</v>
      </c>
      <c r="H254" s="15">
        <f t="shared" si="368"/>
        <v>4.3157010591197285</v>
      </c>
      <c r="I254" s="17">
        <f t="shared" ref="I254:I317" si="396">$F$2*$B$2*H254*$G$6</f>
        <v>0.87859042161559442</v>
      </c>
      <c r="J254" s="14">
        <f t="shared" si="356"/>
        <v>230</v>
      </c>
      <c r="K254" s="25">
        <f t="shared" ref="K254:K317" si="397">K242+1</f>
        <v>20</v>
      </c>
      <c r="L254" s="18" t="str">
        <f t="shared" ref="L254" si="398">L242</f>
        <v>fev</v>
      </c>
      <c r="M254" s="43">
        <f t="shared" si="370"/>
        <v>1088</v>
      </c>
      <c r="N254" s="53">
        <f t="shared" si="339"/>
        <v>1304.819684383431</v>
      </c>
      <c r="O254" s="43">
        <f t="shared" si="340"/>
        <v>326.39999999999998</v>
      </c>
      <c r="P254" s="43">
        <f t="shared" si="358"/>
        <v>978.41968438343099</v>
      </c>
      <c r="Q254" s="43">
        <f t="shared" si="359"/>
        <v>761.6</v>
      </c>
      <c r="R254" s="43">
        <f t="shared" si="360"/>
        <v>216.81968438343097</v>
      </c>
      <c r="S254" s="43">
        <f t="shared" si="345"/>
        <v>6228.8250631420233</v>
      </c>
      <c r="T254" s="43">
        <f t="shared" si="361"/>
        <v>761.6</v>
      </c>
      <c r="U254" s="50">
        <f t="shared" si="362"/>
        <v>669.13446510243671</v>
      </c>
      <c r="V254" s="20">
        <f t="shared" si="341"/>
        <v>669.13446510243671</v>
      </c>
      <c r="W254" s="20">
        <f t="shared" si="342"/>
        <v>4085.0699945203701</v>
      </c>
      <c r="X254" s="19">
        <f t="shared" si="363"/>
        <v>3415.9355294179331</v>
      </c>
      <c r="Y254" s="38">
        <f t="shared" si="343"/>
        <v>0.83619999999999994</v>
      </c>
      <c r="Z254" s="37">
        <f t="shared" si="346"/>
        <v>459357.13100102521</v>
      </c>
      <c r="AA254" s="44">
        <f t="shared" si="347"/>
        <v>0</v>
      </c>
      <c r="AC254" s="48">
        <f t="shared" si="348"/>
        <v>3415.9355294179331</v>
      </c>
    </row>
    <row r="255" spans="1:29" x14ac:dyDescent="0.2">
      <c r="A255" s="14" t="str">
        <f t="shared" si="383"/>
        <v>Março</v>
      </c>
      <c r="B255" s="14">
        <f t="shared" si="383"/>
        <v>31</v>
      </c>
      <c r="C255" s="15">
        <f t="shared" si="383"/>
        <v>4.21</v>
      </c>
      <c r="D255" s="15">
        <f t="shared" si="383"/>
        <v>4.7494613124387861</v>
      </c>
      <c r="E255" s="15">
        <f t="shared" si="383"/>
        <v>5.43</v>
      </c>
      <c r="F255" s="57">
        <f t="shared" si="383"/>
        <v>5.14</v>
      </c>
      <c r="G255" s="16">
        <f t="shared" si="355"/>
        <v>0.91372958841291174</v>
      </c>
      <c r="H255" s="15">
        <f t="shared" si="368"/>
        <v>4.3157010591197285</v>
      </c>
      <c r="I255" s="17">
        <f t="shared" si="396"/>
        <v>0.87859042161559442</v>
      </c>
      <c r="J255" s="14">
        <f t="shared" si="356"/>
        <v>231</v>
      </c>
      <c r="K255" s="25">
        <f t="shared" si="397"/>
        <v>20</v>
      </c>
      <c r="L255" s="18" t="str">
        <f t="shared" ref="L255" si="399">L243</f>
        <v>mar</v>
      </c>
      <c r="M255" s="43">
        <f t="shared" si="370"/>
        <v>1152</v>
      </c>
      <c r="N255" s="53">
        <f t="shared" si="339"/>
        <v>1313.026690784628</v>
      </c>
      <c r="O255" s="43">
        <f t="shared" si="340"/>
        <v>345.59999999999997</v>
      </c>
      <c r="P255" s="43">
        <f t="shared" si="358"/>
        <v>967.42669078462814</v>
      </c>
      <c r="Q255" s="43">
        <f t="shared" si="359"/>
        <v>806.40000000000009</v>
      </c>
      <c r="R255" s="43">
        <f t="shared" si="360"/>
        <v>161.02669078462804</v>
      </c>
      <c r="S255" s="43">
        <f t="shared" si="345"/>
        <v>6389.8517539266513</v>
      </c>
      <c r="T255" s="43">
        <f t="shared" si="361"/>
        <v>806.40000000000009</v>
      </c>
      <c r="U255" s="50">
        <f t="shared" si="362"/>
        <v>708.49531599081547</v>
      </c>
      <c r="V255" s="20">
        <f t="shared" si="341"/>
        <v>708.49531599081547</v>
      </c>
      <c r="W255" s="20">
        <f t="shared" si="342"/>
        <v>4325.3682294921564</v>
      </c>
      <c r="X255" s="19">
        <f t="shared" si="363"/>
        <v>3616.8729135013409</v>
      </c>
      <c r="Y255" s="38">
        <f t="shared" si="343"/>
        <v>0.83619999999999994</v>
      </c>
      <c r="Z255" s="37">
        <f t="shared" si="346"/>
        <v>462974.00391452655</v>
      </c>
      <c r="AA255" s="44">
        <f t="shared" si="347"/>
        <v>0</v>
      </c>
      <c r="AC255" s="48">
        <f t="shared" si="348"/>
        <v>3616.8729135013409</v>
      </c>
    </row>
    <row r="256" spans="1:29" x14ac:dyDescent="0.2">
      <c r="A256" s="14" t="str">
        <f t="shared" si="383"/>
        <v>Abril</v>
      </c>
      <c r="B256" s="14">
        <f t="shared" si="383"/>
        <v>30</v>
      </c>
      <c r="C256" s="15">
        <f t="shared" si="383"/>
        <v>3.59</v>
      </c>
      <c r="D256" s="15">
        <f t="shared" si="383"/>
        <v>4.1465230166503426</v>
      </c>
      <c r="E256" s="15">
        <f t="shared" si="383"/>
        <v>4.91</v>
      </c>
      <c r="F256" s="57">
        <f t="shared" si="383"/>
        <v>4.97</v>
      </c>
      <c r="G256" s="16">
        <f t="shared" si="355"/>
        <v>0.91372958841291174</v>
      </c>
      <c r="H256" s="15">
        <f t="shared" si="368"/>
        <v>4.3157010591197285</v>
      </c>
      <c r="I256" s="17">
        <f t="shared" si="396"/>
        <v>0.87859042161559442</v>
      </c>
      <c r="J256" s="14">
        <f t="shared" si="356"/>
        <v>232</v>
      </c>
      <c r="K256" s="25">
        <f t="shared" si="397"/>
        <v>20</v>
      </c>
      <c r="L256" s="18" t="str">
        <f t="shared" ref="L256" si="400">L244</f>
        <v>abr</v>
      </c>
      <c r="M256" s="43">
        <f t="shared" si="370"/>
        <v>1000</v>
      </c>
      <c r="N256" s="53">
        <f t="shared" si="339"/>
        <v>1109.3608652652649</v>
      </c>
      <c r="O256" s="43">
        <f t="shared" si="340"/>
        <v>300</v>
      </c>
      <c r="P256" s="43">
        <f t="shared" si="358"/>
        <v>809.36086526526492</v>
      </c>
      <c r="Q256" s="43">
        <f t="shared" si="359"/>
        <v>700</v>
      </c>
      <c r="R256" s="43">
        <f t="shared" si="360"/>
        <v>109.36086526526492</v>
      </c>
      <c r="S256" s="43">
        <f t="shared" si="345"/>
        <v>6499.212619191916</v>
      </c>
      <c r="T256" s="43">
        <f t="shared" si="361"/>
        <v>700</v>
      </c>
      <c r="U256" s="50">
        <f t="shared" si="362"/>
        <v>615.01329513091605</v>
      </c>
      <c r="V256" s="20">
        <f t="shared" si="341"/>
        <v>615.01329513091605</v>
      </c>
      <c r="W256" s="20">
        <f t="shared" si="342"/>
        <v>3754.6599214341636</v>
      </c>
      <c r="X256" s="19">
        <f t="shared" si="363"/>
        <v>3139.6466263032476</v>
      </c>
      <c r="Y256" s="38">
        <f t="shared" si="343"/>
        <v>0.83619999999999994</v>
      </c>
      <c r="Z256" s="37">
        <f t="shared" si="346"/>
        <v>466113.65054082981</v>
      </c>
      <c r="AA256" s="44">
        <f t="shared" si="347"/>
        <v>0</v>
      </c>
      <c r="AC256" s="48">
        <f t="shared" si="348"/>
        <v>3139.6466263032476</v>
      </c>
    </row>
    <row r="257" spans="1:29" x14ac:dyDescent="0.2">
      <c r="A257" s="14" t="str">
        <f t="shared" si="383"/>
        <v>Maio</v>
      </c>
      <c r="B257" s="14">
        <f t="shared" si="383"/>
        <v>31</v>
      </c>
      <c r="C257" s="15">
        <f t="shared" si="383"/>
        <v>2.98</v>
      </c>
      <c r="D257" s="15">
        <f t="shared" si="383"/>
        <v>3.3849167482859945</v>
      </c>
      <c r="E257" s="15">
        <f t="shared" si="383"/>
        <v>4.25</v>
      </c>
      <c r="F257" s="57">
        <f t="shared" si="383"/>
        <v>4.66</v>
      </c>
      <c r="G257" s="16">
        <f t="shared" si="355"/>
        <v>0.91372958841291174</v>
      </c>
      <c r="H257" s="15">
        <f t="shared" si="368"/>
        <v>4.3157010591197285</v>
      </c>
      <c r="I257" s="17">
        <f t="shared" si="396"/>
        <v>0.87859042161559442</v>
      </c>
      <c r="J257" s="14">
        <f t="shared" si="356"/>
        <v>233</v>
      </c>
      <c r="K257" s="25">
        <f t="shared" si="397"/>
        <v>20</v>
      </c>
      <c r="L257" s="18" t="str">
        <f t="shared" ref="L257" si="401">L245</f>
        <v>mai</v>
      </c>
      <c r="M257" s="43">
        <f t="shared" si="370"/>
        <v>1396</v>
      </c>
      <c r="N257" s="53">
        <f t="shared" si="339"/>
        <v>935.78739655029176</v>
      </c>
      <c r="O257" s="43">
        <f t="shared" si="340"/>
        <v>418.8</v>
      </c>
      <c r="P257" s="43">
        <f t="shared" si="358"/>
        <v>516.98739655029181</v>
      </c>
      <c r="Q257" s="43">
        <f t="shared" si="359"/>
        <v>977.2</v>
      </c>
      <c r="R257" s="43">
        <f t="shared" si="360"/>
        <v>-460.21260344970824</v>
      </c>
      <c r="S257" s="43">
        <f t="shared" si="345"/>
        <v>6039.0000157422073</v>
      </c>
      <c r="T257" s="43">
        <f t="shared" si="361"/>
        <v>977.2</v>
      </c>
      <c r="U257" s="50">
        <f t="shared" si="362"/>
        <v>858.5585600027589</v>
      </c>
      <c r="V257" s="20">
        <f t="shared" si="341"/>
        <v>858.5585600027589</v>
      </c>
      <c r="W257" s="20">
        <f t="shared" si="342"/>
        <v>5241.5052503220923</v>
      </c>
      <c r="X257" s="19">
        <f t="shared" si="363"/>
        <v>4382.9466903193334</v>
      </c>
      <c r="Y257" s="38">
        <f t="shared" si="343"/>
        <v>0.83619999999999994</v>
      </c>
      <c r="Z257" s="37">
        <f t="shared" si="346"/>
        <v>470496.59723114915</v>
      </c>
      <c r="AA257" s="44">
        <f t="shared" si="347"/>
        <v>0</v>
      </c>
      <c r="AC257" s="48">
        <f t="shared" si="348"/>
        <v>4382.9466903193334</v>
      </c>
    </row>
    <row r="258" spans="1:29" x14ac:dyDescent="0.2">
      <c r="A258" s="14" t="str">
        <f t="shared" ref="A258:F273" si="402">A246</f>
        <v>Junho</v>
      </c>
      <c r="B258" s="14">
        <f t="shared" si="402"/>
        <v>30</v>
      </c>
      <c r="C258" s="15">
        <f t="shared" si="402"/>
        <v>2.74</v>
      </c>
      <c r="D258" s="15">
        <f t="shared" si="402"/>
        <v>3.1945151811949071</v>
      </c>
      <c r="E258" s="15">
        <f t="shared" si="402"/>
        <v>3.92</v>
      </c>
      <c r="F258" s="57">
        <f t="shared" si="402"/>
        <v>4.47</v>
      </c>
      <c r="G258" s="16">
        <f t="shared" si="355"/>
        <v>0.91372958841291174</v>
      </c>
      <c r="H258" s="15">
        <f t="shared" si="368"/>
        <v>4.3157010591197285</v>
      </c>
      <c r="I258" s="17">
        <f t="shared" si="396"/>
        <v>0.87859042161559442</v>
      </c>
      <c r="J258" s="14">
        <f t="shared" si="356"/>
        <v>234</v>
      </c>
      <c r="K258" s="25">
        <f t="shared" si="397"/>
        <v>20</v>
      </c>
      <c r="L258" s="18" t="str">
        <f t="shared" ref="L258" si="403">L246</f>
        <v>jun</v>
      </c>
      <c r="M258" s="43">
        <f t="shared" si="370"/>
        <v>1428</v>
      </c>
      <c r="N258" s="53">
        <f t="shared" si="339"/>
        <v>854.66066660742354</v>
      </c>
      <c r="O258" s="43">
        <f t="shared" si="340"/>
        <v>428.4</v>
      </c>
      <c r="P258" s="43">
        <f t="shared" si="358"/>
        <v>426.26066660742356</v>
      </c>
      <c r="Q258" s="43">
        <f t="shared" si="359"/>
        <v>999.6</v>
      </c>
      <c r="R258" s="43">
        <f t="shared" si="360"/>
        <v>-573.33933339257646</v>
      </c>
      <c r="S258" s="43">
        <f t="shared" si="345"/>
        <v>5465.6606823496313</v>
      </c>
      <c r="T258" s="43">
        <f t="shared" si="361"/>
        <v>999.6</v>
      </c>
      <c r="U258" s="50">
        <f t="shared" si="362"/>
        <v>878.23898544694816</v>
      </c>
      <c r="V258" s="20">
        <f t="shared" si="341"/>
        <v>878.23898544694816</v>
      </c>
      <c r="W258" s="20">
        <f t="shared" si="342"/>
        <v>5361.6543678079852</v>
      </c>
      <c r="X258" s="19">
        <f t="shared" si="363"/>
        <v>4483.4153823610368</v>
      </c>
      <c r="Y258" s="38">
        <f t="shared" si="343"/>
        <v>0.83619999999999994</v>
      </c>
      <c r="Z258" s="37">
        <f t="shared" si="346"/>
        <v>474980.01261351019</v>
      </c>
      <c r="AA258" s="44">
        <f t="shared" si="347"/>
        <v>0</v>
      </c>
      <c r="AC258" s="48">
        <f t="shared" si="348"/>
        <v>4483.4153823610368</v>
      </c>
    </row>
    <row r="259" spans="1:29" x14ac:dyDescent="0.2">
      <c r="A259" s="14" t="str">
        <f t="shared" si="402"/>
        <v>Julho</v>
      </c>
      <c r="B259" s="14">
        <f t="shared" si="402"/>
        <v>31</v>
      </c>
      <c r="C259" s="15">
        <f t="shared" si="402"/>
        <v>2.91</v>
      </c>
      <c r="D259" s="15">
        <f t="shared" si="402"/>
        <v>3.4272282076395695</v>
      </c>
      <c r="E259" s="15">
        <f t="shared" si="402"/>
        <v>4.18</v>
      </c>
      <c r="F259" s="57">
        <f t="shared" si="402"/>
        <v>4.74</v>
      </c>
      <c r="G259" s="16">
        <f t="shared" si="355"/>
        <v>0.91372958841291174</v>
      </c>
      <c r="H259" s="15">
        <f t="shared" si="368"/>
        <v>4.3157010591197285</v>
      </c>
      <c r="I259" s="17">
        <f t="shared" si="396"/>
        <v>0.87859042161559442</v>
      </c>
      <c r="J259" s="14">
        <f t="shared" si="356"/>
        <v>235</v>
      </c>
      <c r="K259" s="25">
        <f t="shared" si="397"/>
        <v>20</v>
      </c>
      <c r="L259" s="18" t="str">
        <f t="shared" ref="L259" si="404">L247</f>
        <v>jul</v>
      </c>
      <c r="M259" s="43">
        <f t="shared" si="370"/>
        <v>1392</v>
      </c>
      <c r="N259" s="53">
        <f t="shared" si="339"/>
        <v>947.48473900717033</v>
      </c>
      <c r="O259" s="43">
        <f t="shared" si="340"/>
        <v>417.59999999999997</v>
      </c>
      <c r="P259" s="43">
        <f t="shared" si="358"/>
        <v>529.88473900717031</v>
      </c>
      <c r="Q259" s="43">
        <f t="shared" si="359"/>
        <v>974.40000000000009</v>
      </c>
      <c r="R259" s="43">
        <f t="shared" si="360"/>
        <v>-444.51526099282978</v>
      </c>
      <c r="S259" s="43">
        <f t="shared" si="345"/>
        <v>5021.1454213568013</v>
      </c>
      <c r="T259" s="43">
        <f t="shared" si="361"/>
        <v>974.40000000000009</v>
      </c>
      <c r="U259" s="50">
        <f t="shared" si="362"/>
        <v>856.09850682223532</v>
      </c>
      <c r="V259" s="20">
        <f t="shared" si="341"/>
        <v>856.09850682223532</v>
      </c>
      <c r="W259" s="20">
        <f t="shared" si="342"/>
        <v>5226.4866106363561</v>
      </c>
      <c r="X259" s="19">
        <f t="shared" si="363"/>
        <v>4370.3881038141208</v>
      </c>
      <c r="Y259" s="38">
        <f t="shared" si="343"/>
        <v>0.83619999999999994</v>
      </c>
      <c r="Z259" s="37">
        <f t="shared" si="346"/>
        <v>479350.40071732429</v>
      </c>
      <c r="AA259" s="44">
        <f t="shared" si="347"/>
        <v>0</v>
      </c>
      <c r="AC259" s="48">
        <f t="shared" si="348"/>
        <v>4370.3881038141208</v>
      </c>
    </row>
    <row r="260" spans="1:29" x14ac:dyDescent="0.2">
      <c r="A260" s="14" t="str">
        <f t="shared" si="402"/>
        <v>Agosto</v>
      </c>
      <c r="B260" s="14">
        <f t="shared" si="402"/>
        <v>31</v>
      </c>
      <c r="C260" s="15">
        <f t="shared" si="402"/>
        <v>3.45</v>
      </c>
      <c r="D260" s="15">
        <f t="shared" si="402"/>
        <v>4.1147894221351615</v>
      </c>
      <c r="E260" s="15">
        <f t="shared" si="402"/>
        <v>4.83</v>
      </c>
      <c r="F260" s="57">
        <f t="shared" si="402"/>
        <v>5.21</v>
      </c>
      <c r="G260" s="16">
        <f t="shared" si="355"/>
        <v>0.91372958841291174</v>
      </c>
      <c r="H260" s="15">
        <f t="shared" si="368"/>
        <v>4.3157010591197285</v>
      </c>
      <c r="I260" s="17">
        <f t="shared" si="396"/>
        <v>0.87859042161559442</v>
      </c>
      <c r="J260" s="14">
        <f t="shared" si="356"/>
        <v>236</v>
      </c>
      <c r="K260" s="25">
        <f t="shared" si="397"/>
        <v>20</v>
      </c>
      <c r="L260" s="18" t="str">
        <f t="shared" ref="L260" si="405">L248</f>
        <v>ago</v>
      </c>
      <c r="M260" s="43">
        <f t="shared" si="370"/>
        <v>1520</v>
      </c>
      <c r="N260" s="53">
        <f t="shared" si="339"/>
        <v>1137.5665539314484</v>
      </c>
      <c r="O260" s="43">
        <f t="shared" si="340"/>
        <v>456</v>
      </c>
      <c r="P260" s="43">
        <f t="shared" si="358"/>
        <v>681.56655393144842</v>
      </c>
      <c r="Q260" s="43">
        <f t="shared" si="359"/>
        <v>1064</v>
      </c>
      <c r="R260" s="43">
        <f t="shared" si="360"/>
        <v>-382.43344606855158</v>
      </c>
      <c r="S260" s="43">
        <f t="shared" si="345"/>
        <v>4638.71197528825</v>
      </c>
      <c r="T260" s="43">
        <f t="shared" si="361"/>
        <v>1064</v>
      </c>
      <c r="U260" s="50">
        <f t="shared" si="362"/>
        <v>934.82020859899251</v>
      </c>
      <c r="V260" s="20">
        <f t="shared" si="341"/>
        <v>934.82020859899251</v>
      </c>
      <c r="W260" s="20">
        <f t="shared" si="342"/>
        <v>5707.0830805799296</v>
      </c>
      <c r="X260" s="19">
        <f t="shared" si="363"/>
        <v>4772.2628719809372</v>
      </c>
      <c r="Y260" s="38">
        <f t="shared" si="343"/>
        <v>0.83620000000000005</v>
      </c>
      <c r="Z260" s="37">
        <f t="shared" si="346"/>
        <v>484122.66358930524</v>
      </c>
      <c r="AA260" s="44">
        <f t="shared" si="347"/>
        <v>0</v>
      </c>
      <c r="AC260" s="48">
        <f t="shared" si="348"/>
        <v>4772.2628719809372</v>
      </c>
    </row>
    <row r="261" spans="1:29" x14ac:dyDescent="0.2">
      <c r="A261" s="14" t="str">
        <f t="shared" si="402"/>
        <v>Setembro</v>
      </c>
      <c r="B261" s="14">
        <f t="shared" si="402"/>
        <v>30</v>
      </c>
      <c r="C261" s="15">
        <f t="shared" si="402"/>
        <v>3.82</v>
      </c>
      <c r="D261" s="15">
        <f t="shared" si="402"/>
        <v>4.2417238001958868</v>
      </c>
      <c r="E261" s="15">
        <f t="shared" si="402"/>
        <v>5.12</v>
      </c>
      <c r="F261" s="57">
        <f t="shared" si="402"/>
        <v>5.1100000000000003</v>
      </c>
      <c r="G261" s="16">
        <f t="shared" si="355"/>
        <v>0.91372958841291174</v>
      </c>
      <c r="H261" s="15">
        <f t="shared" si="368"/>
        <v>4.3157010591197285</v>
      </c>
      <c r="I261" s="17">
        <f t="shared" si="396"/>
        <v>0.87859042161559442</v>
      </c>
      <c r="J261" s="14">
        <f t="shared" si="356"/>
        <v>237</v>
      </c>
      <c r="K261" s="25">
        <f t="shared" si="397"/>
        <v>20</v>
      </c>
      <c r="L261" s="18" t="str">
        <f t="shared" ref="L261" si="406">L249</f>
        <v>set</v>
      </c>
      <c r="M261" s="43">
        <f t="shared" si="370"/>
        <v>1400</v>
      </c>
      <c r="N261" s="53">
        <f t="shared" si="339"/>
        <v>1134.8308851310494</v>
      </c>
      <c r="O261" s="43">
        <f t="shared" si="340"/>
        <v>420</v>
      </c>
      <c r="P261" s="43">
        <f t="shared" si="358"/>
        <v>714.8308851310494</v>
      </c>
      <c r="Q261" s="43">
        <f t="shared" si="359"/>
        <v>980</v>
      </c>
      <c r="R261" s="43">
        <f t="shared" si="360"/>
        <v>-265.1691148689506</v>
      </c>
      <c r="S261" s="43">
        <f t="shared" si="345"/>
        <v>4373.5428604192994</v>
      </c>
      <c r="T261" s="43">
        <f t="shared" si="361"/>
        <v>980</v>
      </c>
      <c r="U261" s="50">
        <f t="shared" si="362"/>
        <v>861.01861318328258</v>
      </c>
      <c r="V261" s="20">
        <f t="shared" si="341"/>
        <v>861.01861318328258</v>
      </c>
      <c r="W261" s="20">
        <f t="shared" si="342"/>
        <v>5256.5238900078293</v>
      </c>
      <c r="X261" s="19">
        <f t="shared" si="363"/>
        <v>4395.5052768245469</v>
      </c>
      <c r="Y261" s="38">
        <f t="shared" si="343"/>
        <v>0.83619999999999994</v>
      </c>
      <c r="Z261" s="37">
        <f t="shared" si="346"/>
        <v>488518.16886612977</v>
      </c>
      <c r="AA261" s="44">
        <f t="shared" si="347"/>
        <v>0</v>
      </c>
      <c r="AC261" s="48">
        <f t="shared" si="348"/>
        <v>4395.5052768245469</v>
      </c>
    </row>
    <row r="262" spans="1:29" x14ac:dyDescent="0.2">
      <c r="A262" s="14" t="str">
        <f t="shared" si="402"/>
        <v>Outubro</v>
      </c>
      <c r="B262" s="14">
        <f t="shared" si="402"/>
        <v>31</v>
      </c>
      <c r="C262" s="15">
        <f t="shared" si="402"/>
        <v>4.33</v>
      </c>
      <c r="D262" s="15">
        <f t="shared" si="402"/>
        <v>4.8763956904995114</v>
      </c>
      <c r="E262" s="15">
        <f t="shared" si="402"/>
        <v>5.57</v>
      </c>
      <c r="F262" s="57">
        <f t="shared" si="402"/>
        <v>5.17</v>
      </c>
      <c r="G262" s="16">
        <f t="shared" si="355"/>
        <v>0.91372958841291174</v>
      </c>
      <c r="H262" s="15">
        <f t="shared" si="368"/>
        <v>4.3157010591197285</v>
      </c>
      <c r="I262" s="17">
        <f t="shared" si="396"/>
        <v>0.87859042161559442</v>
      </c>
      <c r="J262" s="14">
        <f t="shared" si="356"/>
        <v>238</v>
      </c>
      <c r="K262" s="25">
        <f t="shared" si="397"/>
        <v>20</v>
      </c>
      <c r="L262" s="18" t="str">
        <f t="shared" ref="L262" si="407">L250</f>
        <v>out</v>
      </c>
      <c r="M262" s="43">
        <f t="shared" si="370"/>
        <v>1340</v>
      </c>
      <c r="N262" s="53">
        <f t="shared" si="339"/>
        <v>1348.1187181552641</v>
      </c>
      <c r="O262" s="43">
        <f t="shared" si="340"/>
        <v>402</v>
      </c>
      <c r="P262" s="43">
        <f t="shared" si="358"/>
        <v>946.11871815526411</v>
      </c>
      <c r="Q262" s="43">
        <f t="shared" si="359"/>
        <v>938</v>
      </c>
      <c r="R262" s="43">
        <f t="shared" si="360"/>
        <v>8.118718155264105</v>
      </c>
      <c r="S262" s="43">
        <f t="shared" si="345"/>
        <v>4381.6615785745635</v>
      </c>
      <c r="T262" s="43">
        <f t="shared" si="361"/>
        <v>938</v>
      </c>
      <c r="U262" s="50">
        <f t="shared" si="362"/>
        <v>824.11781547542762</v>
      </c>
      <c r="V262" s="20">
        <f t="shared" si="341"/>
        <v>824.11781547542762</v>
      </c>
      <c r="W262" s="20">
        <f t="shared" si="342"/>
        <v>5031.2442947217796</v>
      </c>
      <c r="X262" s="19">
        <f t="shared" si="363"/>
        <v>4207.1264792463517</v>
      </c>
      <c r="Y262" s="38">
        <f t="shared" si="343"/>
        <v>0.83619999999999994</v>
      </c>
      <c r="Z262" s="37">
        <f t="shared" si="346"/>
        <v>492725.29534537613</v>
      </c>
      <c r="AA262" s="44">
        <f t="shared" si="347"/>
        <v>0</v>
      </c>
      <c r="AC262" s="48">
        <f t="shared" si="348"/>
        <v>4207.1264792463517</v>
      </c>
    </row>
    <row r="263" spans="1:29" x14ac:dyDescent="0.2">
      <c r="A263" s="14" t="str">
        <f t="shared" si="402"/>
        <v>Novembro</v>
      </c>
      <c r="B263" s="14">
        <f t="shared" si="402"/>
        <v>30</v>
      </c>
      <c r="C263" s="15">
        <f t="shared" si="402"/>
        <v>4.68</v>
      </c>
      <c r="D263" s="15">
        <f t="shared" si="402"/>
        <v>5.5745347698334964</v>
      </c>
      <c r="E263" s="15">
        <f t="shared" si="402"/>
        <v>5.89</v>
      </c>
      <c r="F263" s="57">
        <f t="shared" si="402"/>
        <v>5.23</v>
      </c>
      <c r="G263" s="16">
        <f t="shared" si="355"/>
        <v>0.91372958841291174</v>
      </c>
      <c r="H263" s="15">
        <f t="shared" si="368"/>
        <v>4.3157010591197285</v>
      </c>
      <c r="I263" s="17">
        <f t="shared" si="396"/>
        <v>0.87859042161559442</v>
      </c>
      <c r="J263" s="14">
        <f t="shared" si="356"/>
        <v>239</v>
      </c>
      <c r="K263" s="25">
        <f t="shared" si="397"/>
        <v>20</v>
      </c>
      <c r="L263" s="18" t="str">
        <f t="shared" ref="L263" si="408">L251</f>
        <v>nov</v>
      </c>
      <c r="M263" s="43">
        <f t="shared" si="370"/>
        <v>1288</v>
      </c>
      <c r="N263" s="53">
        <f t="shared" si="339"/>
        <v>1491.4111632520273</v>
      </c>
      <c r="O263" s="43">
        <f t="shared" si="340"/>
        <v>386.4</v>
      </c>
      <c r="P263" s="43">
        <f t="shared" si="358"/>
        <v>1105.0111632520275</v>
      </c>
      <c r="Q263" s="43">
        <f t="shared" si="359"/>
        <v>901.6</v>
      </c>
      <c r="R263" s="43">
        <f t="shared" si="360"/>
        <v>203.41116325202745</v>
      </c>
      <c r="S263" s="43">
        <f t="shared" si="345"/>
        <v>4585.0727418265906</v>
      </c>
      <c r="T263" s="43">
        <f t="shared" si="361"/>
        <v>901.6</v>
      </c>
      <c r="U263" s="50">
        <f t="shared" si="362"/>
        <v>792.13712412861992</v>
      </c>
      <c r="V263" s="20">
        <f t="shared" si="341"/>
        <v>792.13712412861992</v>
      </c>
      <c r="W263" s="20">
        <f t="shared" si="342"/>
        <v>4836.0019788072022</v>
      </c>
      <c r="X263" s="19">
        <f t="shared" si="363"/>
        <v>4043.8648546785826</v>
      </c>
      <c r="Y263" s="38">
        <f t="shared" si="343"/>
        <v>0.83620000000000005</v>
      </c>
      <c r="Z263" s="37">
        <f t="shared" si="346"/>
        <v>496769.1602000547</v>
      </c>
      <c r="AA263" s="44">
        <f t="shared" si="347"/>
        <v>0</v>
      </c>
      <c r="AC263" s="48">
        <f t="shared" si="348"/>
        <v>4043.8648546785826</v>
      </c>
    </row>
    <row r="264" spans="1:29" x14ac:dyDescent="0.2">
      <c r="A264" s="14" t="str">
        <f t="shared" si="402"/>
        <v>Dezembro</v>
      </c>
      <c r="B264" s="14">
        <f t="shared" si="402"/>
        <v>31</v>
      </c>
      <c r="C264" s="15">
        <f t="shared" si="402"/>
        <v>4.8499999999999996</v>
      </c>
      <c r="D264" s="15">
        <f t="shared" si="402"/>
        <v>5.6062683643486775</v>
      </c>
      <c r="E264" s="15">
        <f t="shared" si="402"/>
        <v>6.05</v>
      </c>
      <c r="F264" s="57">
        <f t="shared" si="402"/>
        <v>5.29</v>
      </c>
      <c r="G264" s="16">
        <f t="shared" si="355"/>
        <v>0.91372958841291174</v>
      </c>
      <c r="H264" s="15">
        <f t="shared" si="368"/>
        <v>4.3157010591197285</v>
      </c>
      <c r="I264" s="17">
        <f t="shared" si="396"/>
        <v>0.87859042161559442</v>
      </c>
      <c r="J264" s="14">
        <f t="shared" si="356"/>
        <v>240</v>
      </c>
      <c r="K264" s="25">
        <f t="shared" si="397"/>
        <v>20</v>
      </c>
      <c r="L264" s="18" t="str">
        <f t="shared" ref="L264" si="409">L252</f>
        <v>dez</v>
      </c>
      <c r="M264" s="43">
        <f t="shared" si="370"/>
        <v>1140</v>
      </c>
      <c r="N264" s="53">
        <f t="shared" si="339"/>
        <v>1549.8978755364203</v>
      </c>
      <c r="O264" s="43">
        <f t="shared" si="340"/>
        <v>342</v>
      </c>
      <c r="P264" s="43">
        <f t="shared" si="358"/>
        <v>1207.8978755364203</v>
      </c>
      <c r="Q264" s="43">
        <f t="shared" si="359"/>
        <v>798</v>
      </c>
      <c r="R264" s="43">
        <f t="shared" si="360"/>
        <v>409.89787553642032</v>
      </c>
      <c r="S264" s="43">
        <f t="shared" si="345"/>
        <v>4994.9706173630111</v>
      </c>
      <c r="T264" s="43">
        <f t="shared" si="361"/>
        <v>798</v>
      </c>
      <c r="U264" s="50">
        <f t="shared" si="362"/>
        <v>701.1151564492443</v>
      </c>
      <c r="V264" s="20">
        <f t="shared" si="341"/>
        <v>701.1151564492443</v>
      </c>
      <c r="W264" s="20">
        <f t="shared" si="342"/>
        <v>4280.3123104349461</v>
      </c>
      <c r="X264" s="19">
        <f t="shared" si="363"/>
        <v>3579.1971539857018</v>
      </c>
      <c r="Y264" s="38">
        <f t="shared" si="343"/>
        <v>0.83619999999999994</v>
      </c>
      <c r="Z264" s="37">
        <f t="shared" si="346"/>
        <v>500348.35735404037</v>
      </c>
      <c r="AA264" s="44">
        <f t="shared" si="347"/>
        <v>0</v>
      </c>
      <c r="AC264" s="48">
        <f t="shared" si="348"/>
        <v>3579.1971539857018</v>
      </c>
    </row>
    <row r="265" spans="1:29" x14ac:dyDescent="0.2">
      <c r="A265" s="14" t="str">
        <f t="shared" si="402"/>
        <v>Janeiro</v>
      </c>
      <c r="B265" s="14">
        <f t="shared" si="402"/>
        <v>30</v>
      </c>
      <c r="C265" s="15">
        <f t="shared" si="402"/>
        <v>4.87</v>
      </c>
      <c r="D265" s="15">
        <f t="shared" si="402"/>
        <v>5.4581782566111663</v>
      </c>
      <c r="E265" s="15">
        <f t="shared" si="402"/>
        <v>6.01</v>
      </c>
      <c r="F265" s="57">
        <f t="shared" si="402"/>
        <v>5.31</v>
      </c>
      <c r="G265" s="16">
        <f t="shared" si="355"/>
        <v>0.90966897412200476</v>
      </c>
      <c r="H265" s="15">
        <f t="shared" si="368"/>
        <v>4.6609571438493065</v>
      </c>
      <c r="I265" s="17">
        <f t="shared" si="396"/>
        <v>0.94887765534484192</v>
      </c>
      <c r="J265" s="14">
        <f t="shared" si="356"/>
        <v>241</v>
      </c>
      <c r="K265" s="25">
        <f t="shared" si="397"/>
        <v>21</v>
      </c>
      <c r="L265" s="18" t="str">
        <f t="shared" ref="L265" si="410">L253</f>
        <v>jan</v>
      </c>
      <c r="M265" s="43">
        <f t="shared" si="370"/>
        <v>836</v>
      </c>
      <c r="N265" s="53">
        <f t="shared" si="339"/>
        <v>1453.7916495900347</v>
      </c>
      <c r="O265" s="43">
        <f t="shared" si="340"/>
        <v>250.79999999999998</v>
      </c>
      <c r="P265" s="43">
        <f t="shared" si="358"/>
        <v>1202.9916495900347</v>
      </c>
      <c r="Q265" s="43">
        <f t="shared" si="359"/>
        <v>585.20000000000005</v>
      </c>
      <c r="R265" s="43">
        <f t="shared" si="360"/>
        <v>617.79164959003469</v>
      </c>
      <c r="S265" s="43">
        <f t="shared" si="345"/>
        <v>5612.7622669530456</v>
      </c>
      <c r="T265" s="43">
        <f t="shared" si="361"/>
        <v>585.20000000000005</v>
      </c>
      <c r="U265" s="50">
        <f t="shared" si="362"/>
        <v>555.28320390780152</v>
      </c>
      <c r="V265" s="20">
        <f t="shared" si="341"/>
        <v>555.28320390780152</v>
      </c>
      <c r="W265" s="20">
        <f t="shared" si="342"/>
        <v>3390.0073498644779</v>
      </c>
      <c r="X265" s="19">
        <f t="shared" si="363"/>
        <v>2834.7241459566762</v>
      </c>
      <c r="Y265" s="38">
        <f t="shared" si="343"/>
        <v>0.83619999999999994</v>
      </c>
      <c r="Z265" s="37">
        <f t="shared" si="346"/>
        <v>503183.08149999706</v>
      </c>
      <c r="AA265" s="44">
        <f t="shared" si="347"/>
        <v>0</v>
      </c>
      <c r="AC265" s="48">
        <f t="shared" si="348"/>
        <v>2834.7241459566762</v>
      </c>
    </row>
    <row r="266" spans="1:29" x14ac:dyDescent="0.2">
      <c r="A266" s="14" t="str">
        <f t="shared" si="402"/>
        <v>Fevereiro</v>
      </c>
      <c r="B266" s="14">
        <f t="shared" si="402"/>
        <v>28</v>
      </c>
      <c r="C266" s="15">
        <f t="shared" si="402"/>
        <v>4.75</v>
      </c>
      <c r="D266" s="15">
        <f t="shared" si="402"/>
        <v>5.2254652301665043</v>
      </c>
      <c r="E266" s="15">
        <f t="shared" si="402"/>
        <v>5.82</v>
      </c>
      <c r="F266" s="57">
        <f t="shared" si="402"/>
        <v>5.28</v>
      </c>
      <c r="G266" s="16">
        <f t="shared" si="355"/>
        <v>0.90966897412200476</v>
      </c>
      <c r="H266" s="15">
        <f t="shared" si="368"/>
        <v>4.6609571438493065</v>
      </c>
      <c r="I266" s="17">
        <f t="shared" si="396"/>
        <v>0.94887765534484192</v>
      </c>
      <c r="J266" s="14">
        <f t="shared" si="356"/>
        <v>242</v>
      </c>
      <c r="K266" s="25">
        <f t="shared" si="397"/>
        <v>21</v>
      </c>
      <c r="L266" s="18" t="str">
        <f t="shared" ref="L266" si="411">L254</f>
        <v>fev</v>
      </c>
      <c r="M266" s="43">
        <f t="shared" si="370"/>
        <v>1088</v>
      </c>
      <c r="N266" s="53">
        <f t="shared" si="339"/>
        <v>1299.0210657060311</v>
      </c>
      <c r="O266" s="43">
        <f t="shared" si="340"/>
        <v>326.39999999999998</v>
      </c>
      <c r="P266" s="43">
        <f t="shared" si="358"/>
        <v>972.62106570603112</v>
      </c>
      <c r="Q266" s="43">
        <f t="shared" si="359"/>
        <v>761.6</v>
      </c>
      <c r="R266" s="43">
        <f t="shared" si="360"/>
        <v>211.0210657060311</v>
      </c>
      <c r="S266" s="43">
        <f t="shared" si="345"/>
        <v>5823.7833326590771</v>
      </c>
      <c r="T266" s="43">
        <f t="shared" si="361"/>
        <v>761.6</v>
      </c>
      <c r="U266" s="50">
        <f t="shared" si="362"/>
        <v>722.66522231063163</v>
      </c>
      <c r="V266" s="20">
        <f t="shared" si="341"/>
        <v>722.66522231063163</v>
      </c>
      <c r="W266" s="20">
        <f t="shared" si="342"/>
        <v>4411.8755940819992</v>
      </c>
      <c r="X266" s="19">
        <f t="shared" si="363"/>
        <v>3689.2103717713676</v>
      </c>
      <c r="Y266" s="38">
        <f t="shared" si="343"/>
        <v>0.83619999999999994</v>
      </c>
      <c r="Z266" s="37">
        <f t="shared" si="346"/>
        <v>506872.29187176842</v>
      </c>
      <c r="AA266" s="44">
        <f t="shared" si="347"/>
        <v>0</v>
      </c>
      <c r="AC266" s="48">
        <f t="shared" si="348"/>
        <v>3689.2103717713676</v>
      </c>
    </row>
    <row r="267" spans="1:29" x14ac:dyDescent="0.2">
      <c r="A267" s="14" t="str">
        <f t="shared" si="402"/>
        <v>Março</v>
      </c>
      <c r="B267" s="14">
        <f t="shared" si="402"/>
        <v>31</v>
      </c>
      <c r="C267" s="15">
        <f t="shared" si="402"/>
        <v>4.21</v>
      </c>
      <c r="D267" s="15">
        <f t="shared" si="402"/>
        <v>4.7494613124387861</v>
      </c>
      <c r="E267" s="15">
        <f t="shared" si="402"/>
        <v>5.43</v>
      </c>
      <c r="F267" s="57">
        <f t="shared" si="402"/>
        <v>5.14</v>
      </c>
      <c r="G267" s="16">
        <f t="shared" si="355"/>
        <v>0.90966897412200476</v>
      </c>
      <c r="H267" s="15">
        <f t="shared" si="368"/>
        <v>4.6609571438493065</v>
      </c>
      <c r="I267" s="17">
        <f t="shared" si="396"/>
        <v>0.94887765534484192</v>
      </c>
      <c r="J267" s="14">
        <f t="shared" si="356"/>
        <v>243</v>
      </c>
      <c r="K267" s="25">
        <f t="shared" si="397"/>
        <v>21</v>
      </c>
      <c r="L267" s="18" t="str">
        <f t="shared" ref="L267" si="412">L255</f>
        <v>mar</v>
      </c>
      <c r="M267" s="43">
        <f t="shared" si="370"/>
        <v>1152</v>
      </c>
      <c r="N267" s="53">
        <f t="shared" si="339"/>
        <v>1307.1916001707812</v>
      </c>
      <c r="O267" s="43">
        <f t="shared" si="340"/>
        <v>345.59999999999997</v>
      </c>
      <c r="P267" s="43">
        <f t="shared" si="358"/>
        <v>961.59160017078125</v>
      </c>
      <c r="Q267" s="43">
        <f t="shared" si="359"/>
        <v>806.40000000000009</v>
      </c>
      <c r="R267" s="43">
        <f t="shared" si="360"/>
        <v>155.19160017078116</v>
      </c>
      <c r="S267" s="43">
        <f t="shared" si="345"/>
        <v>5978.9749328298585</v>
      </c>
      <c r="T267" s="43">
        <f t="shared" si="361"/>
        <v>806.40000000000009</v>
      </c>
      <c r="U267" s="50">
        <f t="shared" si="362"/>
        <v>765.17494127008058</v>
      </c>
      <c r="V267" s="20">
        <f t="shared" si="341"/>
        <v>765.17494127008058</v>
      </c>
      <c r="W267" s="20">
        <f t="shared" si="342"/>
        <v>4671.3976878515286</v>
      </c>
      <c r="X267" s="19">
        <f t="shared" si="363"/>
        <v>3906.2227465814481</v>
      </c>
      <c r="Y267" s="38">
        <f t="shared" si="343"/>
        <v>0.83619999999999994</v>
      </c>
      <c r="Z267" s="37">
        <f t="shared" si="346"/>
        <v>510778.51461834984</v>
      </c>
      <c r="AA267" s="44">
        <f t="shared" si="347"/>
        <v>0</v>
      </c>
      <c r="AC267" s="48">
        <f t="shared" si="348"/>
        <v>3906.2227465814481</v>
      </c>
    </row>
    <row r="268" spans="1:29" x14ac:dyDescent="0.2">
      <c r="A268" s="14" t="str">
        <f t="shared" si="402"/>
        <v>Abril</v>
      </c>
      <c r="B268" s="14">
        <f t="shared" si="402"/>
        <v>30</v>
      </c>
      <c r="C268" s="15">
        <f t="shared" si="402"/>
        <v>3.59</v>
      </c>
      <c r="D268" s="15">
        <f t="shared" si="402"/>
        <v>4.1465230166503426</v>
      </c>
      <c r="E268" s="15">
        <f t="shared" si="402"/>
        <v>4.91</v>
      </c>
      <c r="F268" s="57">
        <f t="shared" si="402"/>
        <v>4.97</v>
      </c>
      <c r="G268" s="16">
        <f t="shared" si="355"/>
        <v>0.90966897412200476</v>
      </c>
      <c r="H268" s="15">
        <f t="shared" si="368"/>
        <v>4.6609571438493065</v>
      </c>
      <c r="I268" s="17">
        <f t="shared" si="396"/>
        <v>0.94887765534484192</v>
      </c>
      <c r="J268" s="14">
        <f t="shared" si="356"/>
        <v>244</v>
      </c>
      <c r="K268" s="25">
        <f t="shared" si="397"/>
        <v>21</v>
      </c>
      <c r="L268" s="18" t="str">
        <f t="shared" ref="L268" si="413">L256</f>
        <v>abr</v>
      </c>
      <c r="M268" s="43">
        <f t="shared" si="370"/>
        <v>1000</v>
      </c>
      <c r="N268" s="53">
        <f t="shared" si="339"/>
        <v>1104.4308655800262</v>
      </c>
      <c r="O268" s="43">
        <f t="shared" si="340"/>
        <v>300</v>
      </c>
      <c r="P268" s="43">
        <f t="shared" si="358"/>
        <v>804.43086558002619</v>
      </c>
      <c r="Q268" s="43">
        <f t="shared" si="359"/>
        <v>700</v>
      </c>
      <c r="R268" s="43">
        <f t="shared" si="360"/>
        <v>104.43086558002619</v>
      </c>
      <c r="S268" s="43">
        <f t="shared" si="345"/>
        <v>6083.4057984098845</v>
      </c>
      <c r="T268" s="43">
        <f t="shared" si="361"/>
        <v>700</v>
      </c>
      <c r="U268" s="50">
        <f t="shared" si="362"/>
        <v>664.21435874138933</v>
      </c>
      <c r="V268" s="20">
        <f t="shared" si="341"/>
        <v>664.21435874138933</v>
      </c>
      <c r="W268" s="20">
        <f t="shared" si="342"/>
        <v>4055.0327151488968</v>
      </c>
      <c r="X268" s="19">
        <f t="shared" si="363"/>
        <v>3390.8183564075075</v>
      </c>
      <c r="Y268" s="38">
        <f t="shared" si="343"/>
        <v>0.83619999999999994</v>
      </c>
      <c r="Z268" s="37">
        <f t="shared" si="346"/>
        <v>514169.33297475736</v>
      </c>
      <c r="AA268" s="44">
        <f t="shared" si="347"/>
        <v>0</v>
      </c>
      <c r="AC268" s="48">
        <f t="shared" si="348"/>
        <v>3390.8183564075075</v>
      </c>
    </row>
    <row r="269" spans="1:29" x14ac:dyDescent="0.2">
      <c r="A269" s="14" t="str">
        <f t="shared" si="402"/>
        <v>Maio</v>
      </c>
      <c r="B269" s="14">
        <f t="shared" si="402"/>
        <v>31</v>
      </c>
      <c r="C269" s="15">
        <f t="shared" si="402"/>
        <v>2.98</v>
      </c>
      <c r="D269" s="15">
        <f t="shared" si="402"/>
        <v>3.3849167482859945</v>
      </c>
      <c r="E269" s="15">
        <f t="shared" si="402"/>
        <v>4.25</v>
      </c>
      <c r="F269" s="57">
        <f t="shared" si="402"/>
        <v>4.66</v>
      </c>
      <c r="G269" s="16">
        <f t="shared" si="355"/>
        <v>0.90966897412200476</v>
      </c>
      <c r="H269" s="15">
        <f t="shared" si="368"/>
        <v>4.6609571438493065</v>
      </c>
      <c r="I269" s="17">
        <f t="shared" si="396"/>
        <v>0.94887765534484192</v>
      </c>
      <c r="J269" s="14">
        <f t="shared" si="356"/>
        <v>245</v>
      </c>
      <c r="K269" s="25">
        <f t="shared" si="397"/>
        <v>21</v>
      </c>
      <c r="L269" s="18" t="str">
        <f t="shared" ref="L269" si="414">L257</f>
        <v>mai</v>
      </c>
      <c r="M269" s="43">
        <f t="shared" si="370"/>
        <v>1396</v>
      </c>
      <c r="N269" s="53">
        <f t="shared" si="339"/>
        <v>931.62875736002229</v>
      </c>
      <c r="O269" s="43">
        <f t="shared" si="340"/>
        <v>418.8</v>
      </c>
      <c r="P269" s="43">
        <f t="shared" si="358"/>
        <v>512.82875736002234</v>
      </c>
      <c r="Q269" s="43">
        <f t="shared" si="359"/>
        <v>977.2</v>
      </c>
      <c r="R269" s="43">
        <f t="shared" si="360"/>
        <v>-464.37124263997771</v>
      </c>
      <c r="S269" s="43">
        <f t="shared" si="345"/>
        <v>5619.0345557699065</v>
      </c>
      <c r="T269" s="43">
        <f t="shared" si="361"/>
        <v>977.2</v>
      </c>
      <c r="U269" s="50">
        <f t="shared" si="362"/>
        <v>927.24324480297958</v>
      </c>
      <c r="V269" s="20">
        <f t="shared" si="341"/>
        <v>927.24324480297958</v>
      </c>
      <c r="W269" s="20">
        <f t="shared" si="342"/>
        <v>5660.8256703478601</v>
      </c>
      <c r="X269" s="19">
        <f t="shared" si="363"/>
        <v>4733.5824255448806</v>
      </c>
      <c r="Y269" s="38">
        <f t="shared" si="343"/>
        <v>0.83620000000000005</v>
      </c>
      <c r="Z269" s="37">
        <f t="shared" si="346"/>
        <v>518902.91540030221</v>
      </c>
      <c r="AA269" s="44">
        <f t="shared" si="347"/>
        <v>0</v>
      </c>
      <c r="AC269" s="48">
        <f t="shared" si="348"/>
        <v>4733.5824255448806</v>
      </c>
    </row>
    <row r="270" spans="1:29" x14ac:dyDescent="0.2">
      <c r="A270" s="14" t="str">
        <f t="shared" si="402"/>
        <v>Junho</v>
      </c>
      <c r="B270" s="14">
        <f t="shared" si="402"/>
        <v>30</v>
      </c>
      <c r="C270" s="15">
        <f t="shared" si="402"/>
        <v>2.74</v>
      </c>
      <c r="D270" s="15">
        <f t="shared" si="402"/>
        <v>3.1945151811949071</v>
      </c>
      <c r="E270" s="15">
        <f t="shared" si="402"/>
        <v>3.92</v>
      </c>
      <c r="F270" s="57">
        <f t="shared" si="402"/>
        <v>4.47</v>
      </c>
      <c r="G270" s="16">
        <f t="shared" si="355"/>
        <v>0.90966897412200476</v>
      </c>
      <c r="H270" s="15">
        <f t="shared" si="368"/>
        <v>4.6609571438493065</v>
      </c>
      <c r="I270" s="17">
        <f t="shared" si="396"/>
        <v>0.94887765534484192</v>
      </c>
      <c r="J270" s="14">
        <f t="shared" si="356"/>
        <v>246</v>
      </c>
      <c r="K270" s="25">
        <f t="shared" si="397"/>
        <v>21</v>
      </c>
      <c r="L270" s="18" t="str">
        <f t="shared" ref="L270" si="415">L258</f>
        <v>jun</v>
      </c>
      <c r="M270" s="43">
        <f t="shared" si="370"/>
        <v>1428</v>
      </c>
      <c r="N270" s="53">
        <f t="shared" si="339"/>
        <v>850.86255460502014</v>
      </c>
      <c r="O270" s="43">
        <f t="shared" si="340"/>
        <v>428.4</v>
      </c>
      <c r="P270" s="43">
        <f t="shared" si="358"/>
        <v>422.46255460502016</v>
      </c>
      <c r="Q270" s="43">
        <f t="shared" si="359"/>
        <v>999.6</v>
      </c>
      <c r="R270" s="43">
        <f t="shared" si="360"/>
        <v>-577.13744539497986</v>
      </c>
      <c r="S270" s="43">
        <f t="shared" si="345"/>
        <v>5041.8971103749263</v>
      </c>
      <c r="T270" s="43">
        <f t="shared" si="361"/>
        <v>999.6</v>
      </c>
      <c r="U270" s="50">
        <f t="shared" si="362"/>
        <v>948.49810428270405</v>
      </c>
      <c r="V270" s="20">
        <f t="shared" si="341"/>
        <v>948.49810428270405</v>
      </c>
      <c r="W270" s="20">
        <f t="shared" si="342"/>
        <v>5790.5867172326243</v>
      </c>
      <c r="X270" s="19">
        <f t="shared" si="363"/>
        <v>4842.0886129499204</v>
      </c>
      <c r="Y270" s="38">
        <f t="shared" si="343"/>
        <v>0.83619999999999994</v>
      </c>
      <c r="Z270" s="37">
        <f t="shared" si="346"/>
        <v>523745.00401325215</v>
      </c>
      <c r="AA270" s="44">
        <f t="shared" si="347"/>
        <v>0</v>
      </c>
      <c r="AC270" s="48">
        <f t="shared" si="348"/>
        <v>4842.0886129499204</v>
      </c>
    </row>
    <row r="271" spans="1:29" x14ac:dyDescent="0.2">
      <c r="A271" s="14" t="str">
        <f t="shared" si="402"/>
        <v>Julho</v>
      </c>
      <c r="B271" s="14">
        <f t="shared" si="402"/>
        <v>31</v>
      </c>
      <c r="C271" s="15">
        <f t="shared" si="402"/>
        <v>2.91</v>
      </c>
      <c r="D271" s="15">
        <f t="shared" si="402"/>
        <v>3.4272282076395695</v>
      </c>
      <c r="E271" s="15">
        <f t="shared" si="402"/>
        <v>4.18</v>
      </c>
      <c r="F271" s="57">
        <f t="shared" si="402"/>
        <v>4.74</v>
      </c>
      <c r="G271" s="16">
        <f t="shared" si="355"/>
        <v>0.90966897412200476</v>
      </c>
      <c r="H271" s="15">
        <f t="shared" si="368"/>
        <v>4.6609571438493065</v>
      </c>
      <c r="I271" s="17">
        <f t="shared" si="396"/>
        <v>0.94887765534484192</v>
      </c>
      <c r="J271" s="14">
        <f t="shared" si="356"/>
        <v>247</v>
      </c>
      <c r="K271" s="25">
        <f t="shared" si="397"/>
        <v>21</v>
      </c>
      <c r="L271" s="18" t="str">
        <f t="shared" ref="L271" si="416">L259</f>
        <v>jul</v>
      </c>
      <c r="M271" s="43">
        <f t="shared" si="370"/>
        <v>1392</v>
      </c>
      <c r="N271" s="53">
        <f t="shared" si="339"/>
        <v>943.27411682702245</v>
      </c>
      <c r="O271" s="43">
        <f t="shared" si="340"/>
        <v>417.59999999999997</v>
      </c>
      <c r="P271" s="43">
        <f t="shared" si="358"/>
        <v>525.67411682702254</v>
      </c>
      <c r="Q271" s="43">
        <f t="shared" si="359"/>
        <v>974.40000000000009</v>
      </c>
      <c r="R271" s="43">
        <f t="shared" si="360"/>
        <v>-448.72588317297755</v>
      </c>
      <c r="S271" s="43">
        <f t="shared" si="345"/>
        <v>4593.1712272019486</v>
      </c>
      <c r="T271" s="43">
        <f t="shared" si="361"/>
        <v>974.40000000000009</v>
      </c>
      <c r="U271" s="50">
        <f t="shared" si="362"/>
        <v>924.58638736801402</v>
      </c>
      <c r="V271" s="20">
        <f t="shared" si="341"/>
        <v>924.58638736801402</v>
      </c>
      <c r="W271" s="20">
        <f t="shared" si="342"/>
        <v>5644.6055394872637</v>
      </c>
      <c r="X271" s="19">
        <f t="shared" si="363"/>
        <v>4720.0191521192501</v>
      </c>
      <c r="Y271" s="38">
        <f t="shared" si="343"/>
        <v>0.83620000000000005</v>
      </c>
      <c r="Z271" s="37">
        <f t="shared" si="346"/>
        <v>528465.02316537139</v>
      </c>
      <c r="AA271" s="44">
        <f t="shared" si="347"/>
        <v>0</v>
      </c>
      <c r="AC271" s="48">
        <f t="shared" si="348"/>
        <v>4720.0191521192501</v>
      </c>
    </row>
    <row r="272" spans="1:29" x14ac:dyDescent="0.2">
      <c r="A272" s="14" t="str">
        <f t="shared" si="402"/>
        <v>Agosto</v>
      </c>
      <c r="B272" s="14">
        <f t="shared" si="402"/>
        <v>31</v>
      </c>
      <c r="C272" s="15">
        <f t="shared" si="402"/>
        <v>3.45</v>
      </c>
      <c r="D272" s="15">
        <f t="shared" si="402"/>
        <v>4.1147894221351615</v>
      </c>
      <c r="E272" s="15">
        <f t="shared" si="402"/>
        <v>4.83</v>
      </c>
      <c r="F272" s="57">
        <f t="shared" si="402"/>
        <v>5.21</v>
      </c>
      <c r="G272" s="16">
        <f t="shared" si="355"/>
        <v>0.90966897412200476</v>
      </c>
      <c r="H272" s="15">
        <f t="shared" si="368"/>
        <v>4.6609571438493065</v>
      </c>
      <c r="I272" s="17">
        <f t="shared" si="396"/>
        <v>0.94887765534484192</v>
      </c>
      <c r="J272" s="14">
        <f t="shared" si="356"/>
        <v>248</v>
      </c>
      <c r="K272" s="25">
        <f t="shared" si="397"/>
        <v>21</v>
      </c>
      <c r="L272" s="18" t="str">
        <f t="shared" ref="L272" si="417">L260</f>
        <v>ago</v>
      </c>
      <c r="M272" s="43">
        <f t="shared" si="370"/>
        <v>1520</v>
      </c>
      <c r="N272" s="53">
        <f t="shared" si="339"/>
        <v>1132.5112081657769</v>
      </c>
      <c r="O272" s="43">
        <f t="shared" si="340"/>
        <v>456</v>
      </c>
      <c r="P272" s="43">
        <f t="shared" si="358"/>
        <v>676.51120816577691</v>
      </c>
      <c r="Q272" s="43">
        <f t="shared" si="359"/>
        <v>1064</v>
      </c>
      <c r="R272" s="43">
        <f t="shared" si="360"/>
        <v>-387.48879183422309</v>
      </c>
      <c r="S272" s="43">
        <f t="shared" si="345"/>
        <v>4205.6824353677257</v>
      </c>
      <c r="T272" s="43">
        <f t="shared" si="361"/>
        <v>1064</v>
      </c>
      <c r="U272" s="50">
        <f t="shared" si="362"/>
        <v>1009.6058252869118</v>
      </c>
      <c r="V272" s="20">
        <f t="shared" si="341"/>
        <v>1009.6058252869118</v>
      </c>
      <c r="W272" s="20">
        <f t="shared" si="342"/>
        <v>6163.6497270263235</v>
      </c>
      <c r="X272" s="19">
        <f t="shared" si="363"/>
        <v>5154.0439017394119</v>
      </c>
      <c r="Y272" s="38">
        <f t="shared" si="343"/>
        <v>0.83620000000000005</v>
      </c>
      <c r="Z272" s="37">
        <f t="shared" si="346"/>
        <v>533619.06706711079</v>
      </c>
      <c r="AA272" s="44">
        <f t="shared" si="347"/>
        <v>0</v>
      </c>
      <c r="AC272" s="48">
        <f t="shared" si="348"/>
        <v>5154.0439017394119</v>
      </c>
    </row>
    <row r="273" spans="1:29" x14ac:dyDescent="0.2">
      <c r="A273" s="14" t="str">
        <f t="shared" si="402"/>
        <v>Setembro</v>
      </c>
      <c r="B273" s="14">
        <f t="shared" si="402"/>
        <v>30</v>
      </c>
      <c r="C273" s="15">
        <f t="shared" si="402"/>
        <v>3.82</v>
      </c>
      <c r="D273" s="15">
        <f t="shared" si="402"/>
        <v>4.2417238001958868</v>
      </c>
      <c r="E273" s="15">
        <f t="shared" si="402"/>
        <v>5.12</v>
      </c>
      <c r="F273" s="57">
        <f t="shared" si="402"/>
        <v>5.1100000000000003</v>
      </c>
      <c r="G273" s="16">
        <f t="shared" si="355"/>
        <v>0.90966897412200476</v>
      </c>
      <c r="H273" s="15">
        <f t="shared" si="368"/>
        <v>4.6609571438493065</v>
      </c>
      <c r="I273" s="17">
        <f t="shared" si="396"/>
        <v>0.94887765534484192</v>
      </c>
      <c r="J273" s="14">
        <f t="shared" si="356"/>
        <v>249</v>
      </c>
      <c r="K273" s="25">
        <f t="shared" si="397"/>
        <v>21</v>
      </c>
      <c r="L273" s="18" t="str">
        <f t="shared" ref="L273" si="418">L261</f>
        <v>set</v>
      </c>
      <c r="M273" s="43">
        <f t="shared" si="370"/>
        <v>1400</v>
      </c>
      <c r="N273" s="53">
        <f t="shared" si="339"/>
        <v>1129.787696677527</v>
      </c>
      <c r="O273" s="43">
        <f t="shared" si="340"/>
        <v>420</v>
      </c>
      <c r="P273" s="43">
        <f t="shared" si="358"/>
        <v>709.78769667752704</v>
      </c>
      <c r="Q273" s="43">
        <f t="shared" si="359"/>
        <v>980</v>
      </c>
      <c r="R273" s="43">
        <f t="shared" si="360"/>
        <v>-270.21230332247296</v>
      </c>
      <c r="S273" s="43">
        <f t="shared" si="345"/>
        <v>3935.4701320452527</v>
      </c>
      <c r="T273" s="43">
        <f t="shared" si="361"/>
        <v>980</v>
      </c>
      <c r="U273" s="50">
        <f t="shared" si="362"/>
        <v>929.90010223794513</v>
      </c>
      <c r="V273" s="20">
        <f t="shared" si="341"/>
        <v>929.90010223794513</v>
      </c>
      <c r="W273" s="20">
        <f t="shared" si="342"/>
        <v>5677.0458012084555</v>
      </c>
      <c r="X273" s="19">
        <f t="shared" si="363"/>
        <v>4747.1456989705102</v>
      </c>
      <c r="Y273" s="38">
        <f t="shared" si="343"/>
        <v>0.83619999999999994</v>
      </c>
      <c r="Z273" s="37">
        <f t="shared" si="346"/>
        <v>538366.21276608133</v>
      </c>
      <c r="AA273" s="44">
        <f t="shared" si="347"/>
        <v>0</v>
      </c>
      <c r="AC273" s="48">
        <f t="shared" si="348"/>
        <v>4747.1456989705102</v>
      </c>
    </row>
    <row r="274" spans="1:29" x14ac:dyDescent="0.2">
      <c r="A274" s="14" t="str">
        <f t="shared" ref="A274:F289" si="419">A262</f>
        <v>Outubro</v>
      </c>
      <c r="B274" s="14">
        <f t="shared" si="419"/>
        <v>31</v>
      </c>
      <c r="C274" s="15">
        <f t="shared" si="419"/>
        <v>4.33</v>
      </c>
      <c r="D274" s="15">
        <f t="shared" si="419"/>
        <v>4.8763956904995114</v>
      </c>
      <c r="E274" s="15">
        <f t="shared" si="419"/>
        <v>5.57</v>
      </c>
      <c r="F274" s="57">
        <f t="shared" si="419"/>
        <v>5.17</v>
      </c>
      <c r="G274" s="16">
        <f t="shared" si="355"/>
        <v>0.90966897412200476</v>
      </c>
      <c r="H274" s="15">
        <f t="shared" si="368"/>
        <v>4.6609571438493065</v>
      </c>
      <c r="I274" s="17">
        <f t="shared" si="396"/>
        <v>0.94887765534484192</v>
      </c>
      <c r="J274" s="14">
        <f t="shared" si="356"/>
        <v>250</v>
      </c>
      <c r="K274" s="25">
        <f t="shared" si="397"/>
        <v>21</v>
      </c>
      <c r="L274" s="18" t="str">
        <f t="shared" ref="L274" si="420">L262</f>
        <v>out</v>
      </c>
      <c r="M274" s="43">
        <f t="shared" si="370"/>
        <v>1340</v>
      </c>
      <c r="N274" s="53">
        <f t="shared" si="339"/>
        <v>1342.1276785717821</v>
      </c>
      <c r="O274" s="43">
        <f t="shared" si="340"/>
        <v>402</v>
      </c>
      <c r="P274" s="43">
        <f t="shared" si="358"/>
        <v>940.1276785717821</v>
      </c>
      <c r="Q274" s="43">
        <f t="shared" si="359"/>
        <v>938</v>
      </c>
      <c r="R274" s="43">
        <f t="shared" si="360"/>
        <v>2.1276785717820985</v>
      </c>
      <c r="S274" s="43">
        <f t="shared" si="345"/>
        <v>3937.5978106170351</v>
      </c>
      <c r="T274" s="43">
        <f t="shared" si="361"/>
        <v>938</v>
      </c>
      <c r="U274" s="50">
        <f t="shared" si="362"/>
        <v>890.04724071346175</v>
      </c>
      <c r="V274" s="20">
        <f t="shared" si="341"/>
        <v>890.04724071346175</v>
      </c>
      <c r="W274" s="20">
        <f t="shared" si="342"/>
        <v>5433.7438382995215</v>
      </c>
      <c r="X274" s="19">
        <f t="shared" si="363"/>
        <v>4543.6965975860594</v>
      </c>
      <c r="Y274" s="38">
        <f t="shared" si="343"/>
        <v>0.83619999999999994</v>
      </c>
      <c r="Z274" s="37">
        <f t="shared" si="346"/>
        <v>542909.90936366736</v>
      </c>
      <c r="AA274" s="44">
        <f t="shared" si="347"/>
        <v>0</v>
      </c>
      <c r="AC274" s="48">
        <f t="shared" si="348"/>
        <v>4543.6965975860594</v>
      </c>
    </row>
    <row r="275" spans="1:29" x14ac:dyDescent="0.2">
      <c r="A275" s="14" t="str">
        <f t="shared" si="419"/>
        <v>Novembro</v>
      </c>
      <c r="B275" s="14">
        <f t="shared" si="419"/>
        <v>30</v>
      </c>
      <c r="C275" s="15">
        <f t="shared" si="419"/>
        <v>4.68</v>
      </c>
      <c r="D275" s="15">
        <f t="shared" si="419"/>
        <v>5.5745347698334964</v>
      </c>
      <c r="E275" s="15">
        <f t="shared" si="419"/>
        <v>5.89</v>
      </c>
      <c r="F275" s="57">
        <f t="shared" si="419"/>
        <v>5.23</v>
      </c>
      <c r="G275" s="16">
        <f t="shared" si="355"/>
        <v>0.90966897412200476</v>
      </c>
      <c r="H275" s="15">
        <f t="shared" si="368"/>
        <v>4.6609571438493065</v>
      </c>
      <c r="I275" s="17">
        <f t="shared" si="396"/>
        <v>0.94887765534484192</v>
      </c>
      <c r="J275" s="14">
        <f t="shared" si="356"/>
        <v>251</v>
      </c>
      <c r="K275" s="25">
        <f t="shared" si="397"/>
        <v>21</v>
      </c>
      <c r="L275" s="18" t="str">
        <f t="shared" ref="L275" si="421">L263</f>
        <v>nov</v>
      </c>
      <c r="M275" s="43">
        <f t="shared" si="370"/>
        <v>1288</v>
      </c>
      <c r="N275" s="53">
        <f t="shared" si="339"/>
        <v>1484.7833320425352</v>
      </c>
      <c r="O275" s="43">
        <f t="shared" si="340"/>
        <v>386.4</v>
      </c>
      <c r="P275" s="43">
        <f t="shared" si="358"/>
        <v>1098.3833320425351</v>
      </c>
      <c r="Q275" s="43">
        <f t="shared" si="359"/>
        <v>901.6</v>
      </c>
      <c r="R275" s="43">
        <f t="shared" si="360"/>
        <v>196.78333204253511</v>
      </c>
      <c r="S275" s="43">
        <f t="shared" si="345"/>
        <v>4134.3811426595703</v>
      </c>
      <c r="T275" s="43">
        <f t="shared" si="361"/>
        <v>901.6</v>
      </c>
      <c r="U275" s="50">
        <f t="shared" si="362"/>
        <v>855.50809405890948</v>
      </c>
      <c r="V275" s="20">
        <f t="shared" si="341"/>
        <v>855.50809405890948</v>
      </c>
      <c r="W275" s="20">
        <f t="shared" si="342"/>
        <v>5222.8821371117783</v>
      </c>
      <c r="X275" s="19">
        <f t="shared" si="363"/>
        <v>4367.3740430528687</v>
      </c>
      <c r="Y275" s="38">
        <f t="shared" si="343"/>
        <v>0.83619999999999994</v>
      </c>
      <c r="Z275" s="37">
        <f t="shared" si="346"/>
        <v>547277.28340672026</v>
      </c>
      <c r="AA275" s="44">
        <f t="shared" si="347"/>
        <v>0</v>
      </c>
      <c r="AC275" s="48">
        <f t="shared" si="348"/>
        <v>4367.3740430528687</v>
      </c>
    </row>
    <row r="276" spans="1:29" x14ac:dyDescent="0.2">
      <c r="A276" s="14" t="str">
        <f t="shared" si="419"/>
        <v>Dezembro</v>
      </c>
      <c r="B276" s="14">
        <f t="shared" si="419"/>
        <v>31</v>
      </c>
      <c r="C276" s="15">
        <f t="shared" si="419"/>
        <v>4.8499999999999996</v>
      </c>
      <c r="D276" s="15">
        <f t="shared" si="419"/>
        <v>5.6062683643486775</v>
      </c>
      <c r="E276" s="15">
        <f t="shared" si="419"/>
        <v>6.05</v>
      </c>
      <c r="F276" s="57">
        <f t="shared" si="419"/>
        <v>5.29</v>
      </c>
      <c r="G276" s="16">
        <f t="shared" si="355"/>
        <v>0.90966897412200476</v>
      </c>
      <c r="H276" s="15">
        <f t="shared" si="368"/>
        <v>4.6609571438493065</v>
      </c>
      <c r="I276" s="17">
        <f t="shared" si="396"/>
        <v>0.94887765534484192</v>
      </c>
      <c r="J276" s="14">
        <f t="shared" si="356"/>
        <v>252</v>
      </c>
      <c r="K276" s="25">
        <f t="shared" si="397"/>
        <v>21</v>
      </c>
      <c r="L276" s="18" t="str">
        <f t="shared" ref="L276" si="422">L264</f>
        <v>dez</v>
      </c>
      <c r="M276" s="43">
        <f t="shared" si="370"/>
        <v>1140</v>
      </c>
      <c r="N276" s="53">
        <f t="shared" si="339"/>
        <v>1543.0101293775365</v>
      </c>
      <c r="O276" s="43">
        <f t="shared" si="340"/>
        <v>342</v>
      </c>
      <c r="P276" s="43">
        <f t="shared" si="358"/>
        <v>1201.0101293775365</v>
      </c>
      <c r="Q276" s="43">
        <f t="shared" si="359"/>
        <v>798</v>
      </c>
      <c r="R276" s="43">
        <f t="shared" si="360"/>
        <v>403.01012937753649</v>
      </c>
      <c r="S276" s="43">
        <f t="shared" si="345"/>
        <v>4537.3912720371063</v>
      </c>
      <c r="T276" s="43">
        <f t="shared" si="361"/>
        <v>798</v>
      </c>
      <c r="U276" s="50">
        <f t="shared" si="362"/>
        <v>757.2043689651839</v>
      </c>
      <c r="V276" s="20">
        <f t="shared" si="341"/>
        <v>757.2043689651839</v>
      </c>
      <c r="W276" s="20">
        <f t="shared" si="342"/>
        <v>4622.7372952697424</v>
      </c>
      <c r="X276" s="19">
        <f t="shared" si="363"/>
        <v>3865.5329263045587</v>
      </c>
      <c r="Y276" s="38">
        <f t="shared" si="343"/>
        <v>0.83620000000000005</v>
      </c>
      <c r="Z276" s="37">
        <f t="shared" si="346"/>
        <v>551142.81633302488</v>
      </c>
      <c r="AA276" s="44">
        <f t="shared" si="347"/>
        <v>0</v>
      </c>
      <c r="AC276" s="48">
        <f t="shared" si="348"/>
        <v>3865.5329263045587</v>
      </c>
    </row>
    <row r="277" spans="1:29" x14ac:dyDescent="0.2">
      <c r="A277" s="14" t="str">
        <f t="shared" si="419"/>
        <v>Janeiro</v>
      </c>
      <c r="B277" s="14">
        <f t="shared" si="419"/>
        <v>30</v>
      </c>
      <c r="C277" s="15">
        <f t="shared" si="419"/>
        <v>4.87</v>
      </c>
      <c r="D277" s="15">
        <f t="shared" si="419"/>
        <v>5.4581782566111663</v>
      </c>
      <c r="E277" s="15">
        <f t="shared" si="419"/>
        <v>6.01</v>
      </c>
      <c r="F277" s="57">
        <f t="shared" si="419"/>
        <v>5.31</v>
      </c>
      <c r="G277" s="16">
        <f t="shared" si="355"/>
        <v>0.90562640520100657</v>
      </c>
      <c r="H277" s="15">
        <f t="shared" si="368"/>
        <v>5.0338337153572512</v>
      </c>
      <c r="I277" s="17">
        <f t="shared" si="396"/>
        <v>1.0247878677724294</v>
      </c>
      <c r="J277" s="14">
        <f t="shared" si="356"/>
        <v>253</v>
      </c>
      <c r="K277" s="25">
        <f t="shared" si="397"/>
        <v>22</v>
      </c>
      <c r="L277" s="18" t="str">
        <f t="shared" ref="L277" si="423">L265</f>
        <v>jan</v>
      </c>
      <c r="M277" s="43">
        <f t="shared" si="370"/>
        <v>836</v>
      </c>
      <c r="N277" s="53">
        <f t="shared" si="339"/>
        <v>1447.3309994992564</v>
      </c>
      <c r="O277" s="43">
        <f t="shared" si="340"/>
        <v>250.79999999999998</v>
      </c>
      <c r="P277" s="43">
        <f t="shared" si="358"/>
        <v>1196.5309994992565</v>
      </c>
      <c r="Q277" s="43">
        <f t="shared" si="359"/>
        <v>585.20000000000005</v>
      </c>
      <c r="R277" s="43">
        <f t="shared" si="360"/>
        <v>611.33099949925645</v>
      </c>
      <c r="S277" s="43">
        <f t="shared" si="345"/>
        <v>5148.7222715363623</v>
      </c>
      <c r="T277" s="43">
        <f t="shared" si="361"/>
        <v>585.20000000000005</v>
      </c>
      <c r="U277" s="50">
        <f t="shared" si="362"/>
        <v>599.70586022042573</v>
      </c>
      <c r="V277" s="20">
        <f t="shared" si="341"/>
        <v>599.70586022042573</v>
      </c>
      <c r="W277" s="20">
        <f t="shared" si="342"/>
        <v>3661.2079378536364</v>
      </c>
      <c r="X277" s="19">
        <f t="shared" si="363"/>
        <v>3061.5020776332108</v>
      </c>
      <c r="Y277" s="38">
        <f t="shared" si="343"/>
        <v>0.83620000000000005</v>
      </c>
      <c r="Z277" s="37">
        <f t="shared" si="346"/>
        <v>554204.31841065804</v>
      </c>
      <c r="AA277" s="44">
        <f t="shared" si="347"/>
        <v>0</v>
      </c>
      <c r="AC277" s="48">
        <f t="shared" si="348"/>
        <v>3061.5020776332108</v>
      </c>
    </row>
    <row r="278" spans="1:29" x14ac:dyDescent="0.2">
      <c r="A278" s="14" t="str">
        <f t="shared" si="419"/>
        <v>Fevereiro</v>
      </c>
      <c r="B278" s="14">
        <f t="shared" si="419"/>
        <v>28</v>
      </c>
      <c r="C278" s="15">
        <f t="shared" si="419"/>
        <v>4.75</v>
      </c>
      <c r="D278" s="15">
        <f t="shared" si="419"/>
        <v>5.2254652301665043</v>
      </c>
      <c r="E278" s="15">
        <f t="shared" si="419"/>
        <v>5.82</v>
      </c>
      <c r="F278" s="57">
        <f t="shared" si="419"/>
        <v>5.28</v>
      </c>
      <c r="G278" s="16">
        <f t="shared" si="355"/>
        <v>0.90562640520100657</v>
      </c>
      <c r="H278" s="15">
        <f t="shared" si="368"/>
        <v>5.0338337153572512</v>
      </c>
      <c r="I278" s="17">
        <f t="shared" si="396"/>
        <v>1.0247878677724294</v>
      </c>
      <c r="J278" s="14">
        <f t="shared" si="356"/>
        <v>254</v>
      </c>
      <c r="K278" s="25">
        <f t="shared" si="397"/>
        <v>22</v>
      </c>
      <c r="L278" s="18" t="str">
        <f t="shared" ref="L278" si="424">L266</f>
        <v>fev</v>
      </c>
      <c r="M278" s="43">
        <f t="shared" si="370"/>
        <v>1088</v>
      </c>
      <c r="N278" s="53">
        <f t="shared" si="339"/>
        <v>1293.2482160900336</v>
      </c>
      <c r="O278" s="43">
        <f t="shared" si="340"/>
        <v>326.39999999999998</v>
      </c>
      <c r="P278" s="43">
        <f t="shared" si="358"/>
        <v>966.84821609003359</v>
      </c>
      <c r="Q278" s="43">
        <f t="shared" si="359"/>
        <v>761.6</v>
      </c>
      <c r="R278" s="43">
        <f t="shared" si="360"/>
        <v>205.24821609003357</v>
      </c>
      <c r="S278" s="43">
        <f t="shared" si="345"/>
        <v>5353.9704876263959</v>
      </c>
      <c r="T278" s="43">
        <f t="shared" si="361"/>
        <v>761.6</v>
      </c>
      <c r="U278" s="50">
        <f t="shared" si="362"/>
        <v>780.47844009548226</v>
      </c>
      <c r="V278" s="20">
        <f t="shared" si="341"/>
        <v>780.47844009548226</v>
      </c>
      <c r="W278" s="20">
        <f t="shared" si="342"/>
        <v>4764.8256416085596</v>
      </c>
      <c r="X278" s="19">
        <f t="shared" si="363"/>
        <v>3984.3472015130774</v>
      </c>
      <c r="Y278" s="38">
        <f t="shared" si="343"/>
        <v>0.83619999999999994</v>
      </c>
      <c r="Z278" s="37">
        <f t="shared" si="346"/>
        <v>558188.66561217117</v>
      </c>
      <c r="AA278" s="44">
        <f t="shared" si="347"/>
        <v>0</v>
      </c>
      <c r="AC278" s="48">
        <f t="shared" si="348"/>
        <v>3984.3472015130774</v>
      </c>
    </row>
    <row r="279" spans="1:29" x14ac:dyDescent="0.2">
      <c r="A279" s="14" t="str">
        <f t="shared" si="419"/>
        <v>Março</v>
      </c>
      <c r="B279" s="14">
        <f t="shared" si="419"/>
        <v>31</v>
      </c>
      <c r="C279" s="15">
        <f t="shared" si="419"/>
        <v>4.21</v>
      </c>
      <c r="D279" s="15">
        <f t="shared" si="419"/>
        <v>4.7494613124387861</v>
      </c>
      <c r="E279" s="15">
        <f t="shared" si="419"/>
        <v>5.43</v>
      </c>
      <c r="F279" s="57">
        <f t="shared" si="419"/>
        <v>5.14</v>
      </c>
      <c r="G279" s="16">
        <f t="shared" si="355"/>
        <v>0.90562640520100657</v>
      </c>
      <c r="H279" s="15">
        <f t="shared" si="368"/>
        <v>5.0338337153572512</v>
      </c>
      <c r="I279" s="17">
        <f t="shared" si="396"/>
        <v>1.0247878677724294</v>
      </c>
      <c r="J279" s="14">
        <f t="shared" si="356"/>
        <v>255</v>
      </c>
      <c r="K279" s="25">
        <f t="shared" si="397"/>
        <v>22</v>
      </c>
      <c r="L279" s="18" t="str">
        <f t="shared" ref="L279" si="425">L267</f>
        <v>mar</v>
      </c>
      <c r="M279" s="43">
        <f t="shared" si="370"/>
        <v>1152</v>
      </c>
      <c r="N279" s="53">
        <f t="shared" si="339"/>
        <v>1301.3824406996223</v>
      </c>
      <c r="O279" s="43">
        <f t="shared" si="340"/>
        <v>345.59999999999997</v>
      </c>
      <c r="P279" s="43">
        <f t="shared" si="358"/>
        <v>955.78244069962238</v>
      </c>
      <c r="Q279" s="43">
        <f t="shared" si="359"/>
        <v>806.40000000000009</v>
      </c>
      <c r="R279" s="43">
        <f t="shared" si="360"/>
        <v>149.38244069962229</v>
      </c>
      <c r="S279" s="43">
        <f t="shared" si="345"/>
        <v>5503.3529283260177</v>
      </c>
      <c r="T279" s="43">
        <f t="shared" si="361"/>
        <v>806.40000000000009</v>
      </c>
      <c r="U279" s="50">
        <f t="shared" si="362"/>
        <v>826.38893657168717</v>
      </c>
      <c r="V279" s="20">
        <f t="shared" si="341"/>
        <v>826.38893657168717</v>
      </c>
      <c r="W279" s="20">
        <f t="shared" si="342"/>
        <v>5045.1095028796517</v>
      </c>
      <c r="X279" s="19">
        <f t="shared" si="363"/>
        <v>4218.7205663079649</v>
      </c>
      <c r="Y279" s="38">
        <f t="shared" si="343"/>
        <v>0.83620000000000005</v>
      </c>
      <c r="Z279" s="37">
        <f t="shared" si="346"/>
        <v>562407.38617847918</v>
      </c>
      <c r="AA279" s="44">
        <f t="shared" si="347"/>
        <v>0</v>
      </c>
      <c r="AC279" s="48">
        <f t="shared" si="348"/>
        <v>4218.7205663079649</v>
      </c>
    </row>
    <row r="280" spans="1:29" x14ac:dyDescent="0.2">
      <c r="A280" s="14" t="str">
        <f t="shared" si="419"/>
        <v>Abril</v>
      </c>
      <c r="B280" s="14">
        <f t="shared" si="419"/>
        <v>30</v>
      </c>
      <c r="C280" s="15">
        <f t="shared" si="419"/>
        <v>3.59</v>
      </c>
      <c r="D280" s="15">
        <f t="shared" si="419"/>
        <v>4.1465230166503426</v>
      </c>
      <c r="E280" s="15">
        <f t="shared" si="419"/>
        <v>4.91</v>
      </c>
      <c r="F280" s="57">
        <f t="shared" si="419"/>
        <v>4.97</v>
      </c>
      <c r="G280" s="16">
        <f t="shared" si="355"/>
        <v>0.90562640520100657</v>
      </c>
      <c r="H280" s="15">
        <f t="shared" si="368"/>
        <v>5.0338337153572512</v>
      </c>
      <c r="I280" s="17">
        <f t="shared" si="396"/>
        <v>1.0247878677724294</v>
      </c>
      <c r="J280" s="14">
        <f t="shared" si="356"/>
        <v>256</v>
      </c>
      <c r="K280" s="25">
        <f t="shared" si="397"/>
        <v>22</v>
      </c>
      <c r="L280" s="18" t="str">
        <f t="shared" ref="L280" si="426">L268</f>
        <v>abr</v>
      </c>
      <c r="M280" s="43">
        <f t="shared" si="370"/>
        <v>1000</v>
      </c>
      <c r="N280" s="53">
        <f t="shared" si="339"/>
        <v>1099.5227748133884</v>
      </c>
      <c r="O280" s="43">
        <f t="shared" si="340"/>
        <v>300</v>
      </c>
      <c r="P280" s="43">
        <f t="shared" si="358"/>
        <v>799.52277481338842</v>
      </c>
      <c r="Q280" s="43">
        <f t="shared" si="359"/>
        <v>700</v>
      </c>
      <c r="R280" s="43">
        <f t="shared" si="360"/>
        <v>99.522774813388423</v>
      </c>
      <c r="S280" s="43">
        <f t="shared" si="345"/>
        <v>5602.8757031394061</v>
      </c>
      <c r="T280" s="43">
        <f t="shared" si="361"/>
        <v>700</v>
      </c>
      <c r="U280" s="50">
        <f t="shared" si="362"/>
        <v>717.35150744070052</v>
      </c>
      <c r="V280" s="20">
        <f t="shared" si="341"/>
        <v>717.35150744070052</v>
      </c>
      <c r="W280" s="20">
        <f t="shared" si="342"/>
        <v>4379.4353323608084</v>
      </c>
      <c r="X280" s="19">
        <f t="shared" si="363"/>
        <v>3662.0838249201079</v>
      </c>
      <c r="Y280" s="38">
        <f t="shared" si="343"/>
        <v>0.83619999999999994</v>
      </c>
      <c r="Z280" s="37">
        <f t="shared" si="346"/>
        <v>566069.4700033993</v>
      </c>
      <c r="AA280" s="44">
        <f t="shared" si="347"/>
        <v>0</v>
      </c>
      <c r="AC280" s="48">
        <f t="shared" si="348"/>
        <v>3662.0838249201079</v>
      </c>
    </row>
    <row r="281" spans="1:29" x14ac:dyDescent="0.2">
      <c r="A281" s="14" t="str">
        <f t="shared" si="419"/>
        <v>Maio</v>
      </c>
      <c r="B281" s="14">
        <f t="shared" si="419"/>
        <v>31</v>
      </c>
      <c r="C281" s="15">
        <f t="shared" si="419"/>
        <v>2.98</v>
      </c>
      <c r="D281" s="15">
        <f t="shared" si="419"/>
        <v>3.3849167482859945</v>
      </c>
      <c r="E281" s="15">
        <f t="shared" si="419"/>
        <v>4.25</v>
      </c>
      <c r="F281" s="57">
        <f t="shared" si="419"/>
        <v>4.66</v>
      </c>
      <c r="G281" s="16">
        <f t="shared" si="355"/>
        <v>0.90562640520100657</v>
      </c>
      <c r="H281" s="15">
        <f t="shared" si="368"/>
        <v>5.0338337153572512</v>
      </c>
      <c r="I281" s="17">
        <f t="shared" si="396"/>
        <v>1.0247878677724294</v>
      </c>
      <c r="J281" s="14">
        <f t="shared" si="356"/>
        <v>257</v>
      </c>
      <c r="K281" s="25">
        <f t="shared" si="397"/>
        <v>22</v>
      </c>
      <c r="L281" s="18" t="str">
        <f t="shared" ref="L281" si="427">L269</f>
        <v>mai</v>
      </c>
      <c r="M281" s="43">
        <f t="shared" si="370"/>
        <v>1396</v>
      </c>
      <c r="N281" s="53">
        <f t="shared" ref="N281:N344" si="428">B281*IF($A$6="Curitiba",D281,F281)*0.8*$B$9*G281</f>
        <v>927.48859916231436</v>
      </c>
      <c r="O281" s="43">
        <f t="shared" ref="O281:O344" si="429">MIN($B$11*M281,N281)</f>
        <v>418.8</v>
      </c>
      <c r="P281" s="43">
        <f t="shared" si="358"/>
        <v>508.68859916231435</v>
      </c>
      <c r="Q281" s="43">
        <f t="shared" si="359"/>
        <v>977.2</v>
      </c>
      <c r="R281" s="43">
        <f t="shared" si="360"/>
        <v>-468.5114008376857</v>
      </c>
      <c r="S281" s="43">
        <f t="shared" si="345"/>
        <v>5134.3643023017203</v>
      </c>
      <c r="T281" s="43">
        <f t="shared" si="361"/>
        <v>977.2</v>
      </c>
      <c r="U281" s="50">
        <f t="shared" si="362"/>
        <v>1001.422704387218</v>
      </c>
      <c r="V281" s="20">
        <f t="shared" ref="V281:V344" si="430">IF(U281+((Q281-T281)*$B$2*H281)&lt;$B$5*$B$2*H281,$B$5*$B$2*H281,U281+((Q281-T281)*$B$2*H281))</f>
        <v>1001.422704387218</v>
      </c>
      <c r="W281" s="20">
        <f t="shared" ref="W281:W344" si="431">M281*$B$2*H281</f>
        <v>6113.6917239756885</v>
      </c>
      <c r="X281" s="19">
        <f t="shared" si="363"/>
        <v>5112.2690195884707</v>
      </c>
      <c r="Y281" s="38">
        <f t="shared" ref="Y281:Y344" si="432">X281/W281</f>
        <v>0.83619999999999994</v>
      </c>
      <c r="Z281" s="37">
        <f t="shared" si="346"/>
        <v>571181.73902298778</v>
      </c>
      <c r="AA281" s="44">
        <f t="shared" si="347"/>
        <v>0</v>
      </c>
      <c r="AC281" s="48">
        <f t="shared" si="348"/>
        <v>5112.2690195884707</v>
      </c>
    </row>
    <row r="282" spans="1:29" x14ac:dyDescent="0.2">
      <c r="A282" s="14" t="str">
        <f t="shared" si="419"/>
        <v>Junho</v>
      </c>
      <c r="B282" s="14">
        <f t="shared" si="419"/>
        <v>30</v>
      </c>
      <c r="C282" s="15">
        <f t="shared" si="419"/>
        <v>2.74</v>
      </c>
      <c r="D282" s="15">
        <f t="shared" si="419"/>
        <v>3.1945151811949071</v>
      </c>
      <c r="E282" s="15">
        <f t="shared" si="419"/>
        <v>3.92</v>
      </c>
      <c r="F282" s="57">
        <f t="shared" si="419"/>
        <v>4.47</v>
      </c>
      <c r="G282" s="16">
        <f t="shared" si="355"/>
        <v>0.90562640520100657</v>
      </c>
      <c r="H282" s="15">
        <f t="shared" si="368"/>
        <v>5.0338337153572512</v>
      </c>
      <c r="I282" s="17">
        <f t="shared" si="396"/>
        <v>1.0247878677724294</v>
      </c>
      <c r="J282" s="14">
        <f t="shared" si="356"/>
        <v>258</v>
      </c>
      <c r="K282" s="25">
        <f t="shared" si="397"/>
        <v>22</v>
      </c>
      <c r="L282" s="18" t="str">
        <f t="shared" ref="L282" si="433">L270</f>
        <v>jun</v>
      </c>
      <c r="M282" s="43">
        <f t="shared" si="370"/>
        <v>1428</v>
      </c>
      <c r="N282" s="53">
        <f t="shared" si="428"/>
        <v>847.08132141235546</v>
      </c>
      <c r="O282" s="43">
        <f t="shared" si="429"/>
        <v>428.4</v>
      </c>
      <c r="P282" s="43">
        <f t="shared" si="358"/>
        <v>418.68132141235549</v>
      </c>
      <c r="Q282" s="43">
        <f t="shared" si="359"/>
        <v>999.6</v>
      </c>
      <c r="R282" s="43">
        <f t="shared" si="360"/>
        <v>-580.91867858764454</v>
      </c>
      <c r="S282" s="43">
        <f t="shared" ref="S282:S345" si="434">MAX(0,S281+R282)</f>
        <v>4553.4456237140757</v>
      </c>
      <c r="T282" s="43">
        <f t="shared" si="361"/>
        <v>999.6</v>
      </c>
      <c r="U282" s="50">
        <f t="shared" si="362"/>
        <v>1024.3779526253204</v>
      </c>
      <c r="V282" s="20">
        <f t="shared" si="430"/>
        <v>1024.3779526253204</v>
      </c>
      <c r="W282" s="20">
        <f t="shared" si="431"/>
        <v>6253.8336546112341</v>
      </c>
      <c r="X282" s="19">
        <f t="shared" si="363"/>
        <v>5229.4557019859139</v>
      </c>
      <c r="Y282" s="38">
        <f t="shared" si="432"/>
        <v>0.83619999999999994</v>
      </c>
      <c r="Z282" s="37">
        <f t="shared" ref="Z282:Z345" si="435">Z281+X282</f>
        <v>576411.19472497364</v>
      </c>
      <c r="AA282" s="44">
        <f t="shared" ref="AA282:AA345" si="436">IF(AND(Z282&gt;0,Z281&lt;0),J282,0)</f>
        <v>0</v>
      </c>
      <c r="AC282" s="48">
        <f t="shared" ref="AC282:AC345" si="437">X282</f>
        <v>5229.4557019859139</v>
      </c>
    </row>
    <row r="283" spans="1:29" x14ac:dyDescent="0.2">
      <c r="A283" s="14" t="str">
        <f t="shared" si="419"/>
        <v>Julho</v>
      </c>
      <c r="B283" s="14">
        <f t="shared" si="419"/>
        <v>31</v>
      </c>
      <c r="C283" s="15">
        <f t="shared" si="419"/>
        <v>2.91</v>
      </c>
      <c r="D283" s="15">
        <f t="shared" si="419"/>
        <v>3.4272282076395695</v>
      </c>
      <c r="E283" s="15">
        <f t="shared" si="419"/>
        <v>4.18</v>
      </c>
      <c r="F283" s="57">
        <f t="shared" si="419"/>
        <v>4.74</v>
      </c>
      <c r="G283" s="16">
        <f t="shared" si="355"/>
        <v>0.90562640520100657</v>
      </c>
      <c r="H283" s="15">
        <f t="shared" si="368"/>
        <v>5.0338337153572512</v>
      </c>
      <c r="I283" s="17">
        <f t="shared" si="396"/>
        <v>1.0247878677724294</v>
      </c>
      <c r="J283" s="14">
        <f t="shared" si="356"/>
        <v>259</v>
      </c>
      <c r="K283" s="25">
        <f t="shared" si="397"/>
        <v>22</v>
      </c>
      <c r="L283" s="18" t="str">
        <f t="shared" ref="L283" si="438">L271</f>
        <v>jul</v>
      </c>
      <c r="M283" s="43">
        <f t="shared" si="370"/>
        <v>1392</v>
      </c>
      <c r="N283" s="53">
        <f t="shared" si="428"/>
        <v>939.08220665184319</v>
      </c>
      <c r="O283" s="43">
        <f t="shared" si="429"/>
        <v>417.59999999999997</v>
      </c>
      <c r="P283" s="43">
        <f t="shared" si="358"/>
        <v>521.48220665184317</v>
      </c>
      <c r="Q283" s="43">
        <f t="shared" si="359"/>
        <v>974.40000000000009</v>
      </c>
      <c r="R283" s="43">
        <f t="shared" si="360"/>
        <v>-452.91779334815692</v>
      </c>
      <c r="S283" s="43">
        <f t="shared" si="434"/>
        <v>4100.5278303659188</v>
      </c>
      <c r="T283" s="43">
        <f t="shared" si="361"/>
        <v>974.40000000000009</v>
      </c>
      <c r="U283" s="50">
        <f t="shared" si="362"/>
        <v>998.55329835745522</v>
      </c>
      <c r="V283" s="20">
        <f t="shared" si="430"/>
        <v>998.55329835745522</v>
      </c>
      <c r="W283" s="20">
        <f t="shared" si="431"/>
        <v>6096.1739826462453</v>
      </c>
      <c r="X283" s="19">
        <f t="shared" si="363"/>
        <v>5097.6206842887905</v>
      </c>
      <c r="Y283" s="38">
        <f t="shared" si="432"/>
        <v>0.83620000000000005</v>
      </c>
      <c r="Z283" s="37">
        <f t="shared" si="435"/>
        <v>581508.81540926243</v>
      </c>
      <c r="AA283" s="44">
        <f t="shared" si="436"/>
        <v>0</v>
      </c>
      <c r="AC283" s="48">
        <f t="shared" si="437"/>
        <v>5097.6206842887905</v>
      </c>
    </row>
    <row r="284" spans="1:29" x14ac:dyDescent="0.2">
      <c r="A284" s="14" t="str">
        <f t="shared" si="419"/>
        <v>Agosto</v>
      </c>
      <c r="B284" s="14">
        <f t="shared" si="419"/>
        <v>31</v>
      </c>
      <c r="C284" s="15">
        <f t="shared" si="419"/>
        <v>3.45</v>
      </c>
      <c r="D284" s="15">
        <f t="shared" si="419"/>
        <v>4.1147894221351615</v>
      </c>
      <c r="E284" s="15">
        <f t="shared" si="419"/>
        <v>4.83</v>
      </c>
      <c r="F284" s="57">
        <f t="shared" si="419"/>
        <v>5.21</v>
      </c>
      <c r="G284" s="16">
        <f t="shared" si="355"/>
        <v>0.90562640520100657</v>
      </c>
      <c r="H284" s="15">
        <f t="shared" si="368"/>
        <v>5.0338337153572512</v>
      </c>
      <c r="I284" s="17">
        <f t="shared" si="396"/>
        <v>1.0247878677724294</v>
      </c>
      <c r="J284" s="14">
        <f t="shared" si="356"/>
        <v>260</v>
      </c>
      <c r="K284" s="25">
        <f t="shared" si="397"/>
        <v>22</v>
      </c>
      <c r="L284" s="18" t="str">
        <f t="shared" ref="L284" si="439">L272</f>
        <v>ago</v>
      </c>
      <c r="M284" s="43">
        <f t="shared" si="370"/>
        <v>1520</v>
      </c>
      <c r="N284" s="53">
        <f t="shared" si="428"/>
        <v>1127.4783283566883</v>
      </c>
      <c r="O284" s="43">
        <f t="shared" si="429"/>
        <v>456</v>
      </c>
      <c r="P284" s="43">
        <f t="shared" si="358"/>
        <v>671.47832835668828</v>
      </c>
      <c r="Q284" s="43">
        <f t="shared" si="359"/>
        <v>1064</v>
      </c>
      <c r="R284" s="43">
        <f t="shared" si="360"/>
        <v>-392.52167164331172</v>
      </c>
      <c r="S284" s="43">
        <f t="shared" si="434"/>
        <v>3708.0061587226073</v>
      </c>
      <c r="T284" s="43">
        <f t="shared" si="361"/>
        <v>1064</v>
      </c>
      <c r="U284" s="50">
        <f t="shared" si="362"/>
        <v>1090.3742913098649</v>
      </c>
      <c r="V284" s="20">
        <f t="shared" si="430"/>
        <v>1090.3742913098649</v>
      </c>
      <c r="W284" s="20">
        <f t="shared" si="431"/>
        <v>6656.7417051884295</v>
      </c>
      <c r="X284" s="19">
        <f t="shared" si="363"/>
        <v>5566.3674138785645</v>
      </c>
      <c r="Y284" s="38">
        <f t="shared" si="432"/>
        <v>0.83619999999999994</v>
      </c>
      <c r="Z284" s="37">
        <f t="shared" si="435"/>
        <v>587075.18282314099</v>
      </c>
      <c r="AA284" s="44">
        <f t="shared" si="436"/>
        <v>0</v>
      </c>
      <c r="AC284" s="48">
        <f t="shared" si="437"/>
        <v>5566.3674138785645</v>
      </c>
    </row>
    <row r="285" spans="1:29" x14ac:dyDescent="0.2">
      <c r="A285" s="14" t="str">
        <f t="shared" si="419"/>
        <v>Setembro</v>
      </c>
      <c r="B285" s="14">
        <f t="shared" si="419"/>
        <v>30</v>
      </c>
      <c r="C285" s="15">
        <f t="shared" si="419"/>
        <v>3.82</v>
      </c>
      <c r="D285" s="15">
        <f t="shared" si="419"/>
        <v>4.2417238001958868</v>
      </c>
      <c r="E285" s="15">
        <f t="shared" si="419"/>
        <v>5.12</v>
      </c>
      <c r="F285" s="57">
        <f t="shared" si="419"/>
        <v>5.1100000000000003</v>
      </c>
      <c r="G285" s="16">
        <f t="shared" si="355"/>
        <v>0.90562640520100657</v>
      </c>
      <c r="H285" s="15">
        <f t="shared" si="368"/>
        <v>5.0338337153572512</v>
      </c>
      <c r="I285" s="17">
        <f t="shared" si="396"/>
        <v>1.0247878677724294</v>
      </c>
      <c r="J285" s="14">
        <f t="shared" si="356"/>
        <v>261</v>
      </c>
      <c r="K285" s="25">
        <f t="shared" si="397"/>
        <v>22</v>
      </c>
      <c r="L285" s="18" t="str">
        <f t="shared" ref="L285" si="440">L273</f>
        <v>set</v>
      </c>
      <c r="M285" s="43">
        <f t="shared" si="370"/>
        <v>1400</v>
      </c>
      <c r="N285" s="53">
        <f t="shared" si="428"/>
        <v>1124.7669201534923</v>
      </c>
      <c r="O285" s="43">
        <f t="shared" si="429"/>
        <v>420</v>
      </c>
      <c r="P285" s="43">
        <f t="shared" si="358"/>
        <v>704.76692015349226</v>
      </c>
      <c r="Q285" s="43">
        <f t="shared" si="359"/>
        <v>980</v>
      </c>
      <c r="R285" s="43">
        <f t="shared" si="360"/>
        <v>-275.23307984650774</v>
      </c>
      <c r="S285" s="43">
        <f t="shared" si="434"/>
        <v>3432.7730788760996</v>
      </c>
      <c r="T285" s="43">
        <f t="shared" si="361"/>
        <v>980</v>
      </c>
      <c r="U285" s="50">
        <f t="shared" si="362"/>
        <v>1004.2921104169808</v>
      </c>
      <c r="V285" s="20">
        <f t="shared" si="430"/>
        <v>1004.2921104169808</v>
      </c>
      <c r="W285" s="20">
        <f t="shared" si="431"/>
        <v>6131.2094653051317</v>
      </c>
      <c r="X285" s="19">
        <f t="shared" si="363"/>
        <v>5126.9173548881508</v>
      </c>
      <c r="Y285" s="38">
        <f t="shared" si="432"/>
        <v>0.83619999999999994</v>
      </c>
      <c r="Z285" s="37">
        <f t="shared" si="435"/>
        <v>592202.10017802916</v>
      </c>
      <c r="AA285" s="44">
        <f t="shared" si="436"/>
        <v>0</v>
      </c>
      <c r="AC285" s="48">
        <f t="shared" si="437"/>
        <v>5126.9173548881508</v>
      </c>
    </row>
    <row r="286" spans="1:29" x14ac:dyDescent="0.2">
      <c r="A286" s="14" t="str">
        <f t="shared" si="419"/>
        <v>Outubro</v>
      </c>
      <c r="B286" s="14">
        <f t="shared" si="419"/>
        <v>31</v>
      </c>
      <c r="C286" s="15">
        <f t="shared" si="419"/>
        <v>4.33</v>
      </c>
      <c r="D286" s="15">
        <f t="shared" si="419"/>
        <v>4.8763956904995114</v>
      </c>
      <c r="E286" s="15">
        <f t="shared" si="419"/>
        <v>5.57</v>
      </c>
      <c r="F286" s="57">
        <f t="shared" si="419"/>
        <v>5.17</v>
      </c>
      <c r="G286" s="16">
        <f t="shared" si="355"/>
        <v>0.90562640520100657</v>
      </c>
      <c r="H286" s="15">
        <f t="shared" si="368"/>
        <v>5.0338337153572512</v>
      </c>
      <c r="I286" s="17">
        <f t="shared" si="396"/>
        <v>1.0247878677724294</v>
      </c>
      <c r="J286" s="14">
        <f t="shared" si="356"/>
        <v>262</v>
      </c>
      <c r="K286" s="25">
        <f t="shared" si="397"/>
        <v>22</v>
      </c>
      <c r="L286" s="18" t="str">
        <f t="shared" ref="L286" si="441">L274</f>
        <v>out</v>
      </c>
      <c r="M286" s="43">
        <f t="shared" si="370"/>
        <v>1340</v>
      </c>
      <c r="N286" s="53">
        <f t="shared" si="428"/>
        <v>1336.1632631682089</v>
      </c>
      <c r="O286" s="43">
        <f t="shared" si="429"/>
        <v>402</v>
      </c>
      <c r="P286" s="43">
        <f t="shared" si="358"/>
        <v>934.16326316820891</v>
      </c>
      <c r="Q286" s="43">
        <f t="shared" si="359"/>
        <v>938</v>
      </c>
      <c r="R286" s="43">
        <f t="shared" si="360"/>
        <v>-3.8367368317910859</v>
      </c>
      <c r="S286" s="43">
        <f t="shared" si="434"/>
        <v>3428.9363420443087</v>
      </c>
      <c r="T286" s="43">
        <f t="shared" si="361"/>
        <v>938</v>
      </c>
      <c r="U286" s="50">
        <f t="shared" si="362"/>
        <v>961.25101997053878</v>
      </c>
      <c r="V286" s="20">
        <f t="shared" si="430"/>
        <v>961.25101997053878</v>
      </c>
      <c r="W286" s="20">
        <f t="shared" si="431"/>
        <v>5868.4433453634829</v>
      </c>
      <c r="X286" s="19">
        <f t="shared" si="363"/>
        <v>4907.1923253929444</v>
      </c>
      <c r="Y286" s="38">
        <f t="shared" si="432"/>
        <v>0.83620000000000005</v>
      </c>
      <c r="Z286" s="37">
        <f t="shared" si="435"/>
        <v>597109.29250342213</v>
      </c>
      <c r="AA286" s="44">
        <f t="shared" si="436"/>
        <v>0</v>
      </c>
      <c r="AC286" s="48">
        <f t="shared" si="437"/>
        <v>4907.1923253929444</v>
      </c>
    </row>
    <row r="287" spans="1:29" x14ac:dyDescent="0.2">
      <c r="A287" s="14" t="str">
        <f t="shared" si="419"/>
        <v>Novembro</v>
      </c>
      <c r="B287" s="14">
        <f t="shared" si="419"/>
        <v>30</v>
      </c>
      <c r="C287" s="15">
        <f t="shared" si="419"/>
        <v>4.68</v>
      </c>
      <c r="D287" s="15">
        <f t="shared" si="419"/>
        <v>5.5745347698334964</v>
      </c>
      <c r="E287" s="15">
        <f t="shared" si="419"/>
        <v>5.89</v>
      </c>
      <c r="F287" s="57">
        <f t="shared" si="419"/>
        <v>5.23</v>
      </c>
      <c r="G287" s="16">
        <f t="shared" si="355"/>
        <v>0.90562640520100657</v>
      </c>
      <c r="H287" s="15">
        <f t="shared" si="368"/>
        <v>5.0338337153572512</v>
      </c>
      <c r="I287" s="17">
        <f t="shared" si="396"/>
        <v>1.0247878677724294</v>
      </c>
      <c r="J287" s="14">
        <f t="shared" si="356"/>
        <v>263</v>
      </c>
      <c r="K287" s="25">
        <f t="shared" si="397"/>
        <v>22</v>
      </c>
      <c r="L287" s="18" t="str">
        <f t="shared" ref="L287" si="442">L275</f>
        <v>nov</v>
      </c>
      <c r="M287" s="43">
        <f t="shared" si="370"/>
        <v>1288</v>
      </c>
      <c r="N287" s="53">
        <f t="shared" si="428"/>
        <v>1478.1849549149383</v>
      </c>
      <c r="O287" s="43">
        <f t="shared" si="429"/>
        <v>386.4</v>
      </c>
      <c r="P287" s="43">
        <f t="shared" si="358"/>
        <v>1091.7849549149382</v>
      </c>
      <c r="Q287" s="43">
        <f t="shared" si="359"/>
        <v>901.6</v>
      </c>
      <c r="R287" s="43">
        <f t="shared" si="360"/>
        <v>190.1849549149382</v>
      </c>
      <c r="S287" s="43">
        <f t="shared" si="434"/>
        <v>3619.121296959247</v>
      </c>
      <c r="T287" s="43">
        <f t="shared" si="361"/>
        <v>901.6</v>
      </c>
      <c r="U287" s="50">
        <f t="shared" si="362"/>
        <v>923.94874158362234</v>
      </c>
      <c r="V287" s="20">
        <f t="shared" si="430"/>
        <v>923.94874158362234</v>
      </c>
      <c r="W287" s="20">
        <f t="shared" si="431"/>
        <v>5640.7127080807213</v>
      </c>
      <c r="X287" s="19">
        <f t="shared" si="363"/>
        <v>4716.7639664970993</v>
      </c>
      <c r="Y287" s="38">
        <f t="shared" si="432"/>
        <v>0.83620000000000005</v>
      </c>
      <c r="Z287" s="37">
        <f t="shared" si="435"/>
        <v>601826.05646991928</v>
      </c>
      <c r="AA287" s="44">
        <f t="shared" si="436"/>
        <v>0</v>
      </c>
      <c r="AC287" s="48">
        <f t="shared" si="437"/>
        <v>4716.7639664970993</v>
      </c>
    </row>
    <row r="288" spans="1:29" x14ac:dyDescent="0.2">
      <c r="A288" s="14" t="str">
        <f t="shared" si="419"/>
        <v>Dezembro</v>
      </c>
      <c r="B288" s="14">
        <f t="shared" si="419"/>
        <v>31</v>
      </c>
      <c r="C288" s="15">
        <f t="shared" si="419"/>
        <v>4.8499999999999996</v>
      </c>
      <c r="D288" s="15">
        <f t="shared" si="419"/>
        <v>5.6062683643486775</v>
      </c>
      <c r="E288" s="15">
        <f t="shared" si="419"/>
        <v>6.05</v>
      </c>
      <c r="F288" s="57">
        <f t="shared" si="419"/>
        <v>5.29</v>
      </c>
      <c r="G288" s="16">
        <f t="shared" si="355"/>
        <v>0.90562640520100657</v>
      </c>
      <c r="H288" s="15">
        <f t="shared" si="368"/>
        <v>5.0338337153572512</v>
      </c>
      <c r="I288" s="17">
        <f t="shared" si="396"/>
        <v>1.0247878677724294</v>
      </c>
      <c r="J288" s="14">
        <f t="shared" si="356"/>
        <v>264</v>
      </c>
      <c r="K288" s="25">
        <f t="shared" si="397"/>
        <v>22</v>
      </c>
      <c r="L288" s="18" t="str">
        <f t="shared" ref="L288" si="443">L276</f>
        <v>dez</v>
      </c>
      <c r="M288" s="43">
        <f t="shared" si="370"/>
        <v>1140</v>
      </c>
      <c r="N288" s="53">
        <f t="shared" si="428"/>
        <v>1536.1529923625828</v>
      </c>
      <c r="O288" s="43">
        <f t="shared" si="429"/>
        <v>342</v>
      </c>
      <c r="P288" s="43">
        <f t="shared" si="358"/>
        <v>1194.1529923625828</v>
      </c>
      <c r="Q288" s="43">
        <f t="shared" si="359"/>
        <v>798</v>
      </c>
      <c r="R288" s="43">
        <f t="shared" si="360"/>
        <v>396.15299236258284</v>
      </c>
      <c r="S288" s="43">
        <f t="shared" si="434"/>
        <v>4015.2742893218301</v>
      </c>
      <c r="T288" s="43">
        <f t="shared" si="361"/>
        <v>798</v>
      </c>
      <c r="U288" s="50">
        <f t="shared" si="362"/>
        <v>817.78071848239858</v>
      </c>
      <c r="V288" s="20">
        <f t="shared" si="430"/>
        <v>817.78071848239858</v>
      </c>
      <c r="W288" s="20">
        <f t="shared" si="431"/>
        <v>4992.5562788913212</v>
      </c>
      <c r="X288" s="19">
        <f t="shared" si="363"/>
        <v>4174.7755604089225</v>
      </c>
      <c r="Y288" s="38">
        <f t="shared" si="432"/>
        <v>0.83619999999999994</v>
      </c>
      <c r="Z288" s="37">
        <f t="shared" si="435"/>
        <v>606000.83203032822</v>
      </c>
      <c r="AA288" s="44">
        <f t="shared" si="436"/>
        <v>0</v>
      </c>
      <c r="AC288" s="48">
        <f t="shared" si="437"/>
        <v>4174.7755604089225</v>
      </c>
    </row>
    <row r="289" spans="1:29" x14ac:dyDescent="0.2">
      <c r="A289" s="14" t="str">
        <f t="shared" si="419"/>
        <v>Janeiro</v>
      </c>
      <c r="B289" s="14">
        <f t="shared" si="419"/>
        <v>30</v>
      </c>
      <c r="C289" s="15">
        <f t="shared" si="419"/>
        <v>4.87</v>
      </c>
      <c r="D289" s="15">
        <f t="shared" si="419"/>
        <v>5.4581782566111663</v>
      </c>
      <c r="E289" s="15">
        <f t="shared" si="419"/>
        <v>6.01</v>
      </c>
      <c r="F289" s="57">
        <f t="shared" si="419"/>
        <v>5.31</v>
      </c>
      <c r="G289" s="16">
        <f t="shared" ref="G289:G301" si="444">(1-1%)*(1-0.4444%)^K265</f>
        <v>0.90160180145629332</v>
      </c>
      <c r="H289" s="15">
        <f t="shared" si="368"/>
        <v>5.4365404125858321</v>
      </c>
      <c r="I289" s="17">
        <f t="shared" si="396"/>
        <v>1.1067708971942238</v>
      </c>
      <c r="J289" s="14">
        <f t="shared" ref="J289:J301" si="445">J288+1</f>
        <v>265</v>
      </c>
      <c r="K289" s="25">
        <f t="shared" si="397"/>
        <v>23</v>
      </c>
      <c r="L289" s="18" t="str">
        <f t="shared" ref="L289" si="446">L277</f>
        <v>jan</v>
      </c>
      <c r="M289" s="43">
        <f t="shared" si="370"/>
        <v>836</v>
      </c>
      <c r="N289" s="53">
        <f t="shared" si="428"/>
        <v>1440.899060537482</v>
      </c>
      <c r="O289" s="43">
        <f t="shared" si="429"/>
        <v>250.79999999999998</v>
      </c>
      <c r="P289" s="43">
        <f t="shared" ref="P289:P301" si="447">N289-O289</f>
        <v>1190.099060537482</v>
      </c>
      <c r="Q289" s="43">
        <f t="shared" ref="Q289:Q301" si="448">M289-O289</f>
        <v>585.20000000000005</v>
      </c>
      <c r="R289" s="43">
        <f t="shared" ref="R289:R301" si="449">P289-Q289</f>
        <v>604.899060537482</v>
      </c>
      <c r="S289" s="43">
        <f t="shared" si="434"/>
        <v>4620.1733498593121</v>
      </c>
      <c r="T289" s="43">
        <f t="shared" ref="T289:T301" si="450">MIN(Q289,P289+S288)</f>
        <v>585.20000000000005</v>
      </c>
      <c r="U289" s="50">
        <f t="shared" ref="U289:U301" si="451">T289*I289</f>
        <v>647.68232903805983</v>
      </c>
      <c r="V289" s="20">
        <f t="shared" si="430"/>
        <v>647.68232903805983</v>
      </c>
      <c r="W289" s="20">
        <f t="shared" si="431"/>
        <v>3954.1045728819277</v>
      </c>
      <c r="X289" s="19">
        <f t="shared" ref="X289:X301" si="452">W289-V289</f>
        <v>3306.4222438438678</v>
      </c>
      <c r="Y289" s="38">
        <f t="shared" si="432"/>
        <v>0.83619999999999994</v>
      </c>
      <c r="Z289" s="37">
        <f t="shared" si="435"/>
        <v>609307.25427417213</v>
      </c>
      <c r="AA289" s="44">
        <f t="shared" si="436"/>
        <v>0</v>
      </c>
      <c r="AC289" s="48">
        <f t="shared" si="437"/>
        <v>3306.4222438438678</v>
      </c>
    </row>
    <row r="290" spans="1:29" x14ac:dyDescent="0.2">
      <c r="A290" s="14" t="str">
        <f t="shared" ref="A290:F301" si="453">A278</f>
        <v>Fevereiro</v>
      </c>
      <c r="B290" s="14">
        <f t="shared" si="453"/>
        <v>28</v>
      </c>
      <c r="C290" s="15">
        <f t="shared" si="453"/>
        <v>4.75</v>
      </c>
      <c r="D290" s="15">
        <f t="shared" si="453"/>
        <v>5.2254652301665043</v>
      </c>
      <c r="E290" s="15">
        <f t="shared" si="453"/>
        <v>5.82</v>
      </c>
      <c r="F290" s="57">
        <f t="shared" si="453"/>
        <v>5.28</v>
      </c>
      <c r="G290" s="16">
        <f t="shared" si="444"/>
        <v>0.90160180145629332</v>
      </c>
      <c r="H290" s="15">
        <f t="shared" si="368"/>
        <v>5.4365404125858321</v>
      </c>
      <c r="I290" s="17">
        <f t="shared" si="396"/>
        <v>1.1067708971942238</v>
      </c>
      <c r="J290" s="14">
        <f t="shared" si="445"/>
        <v>266</v>
      </c>
      <c r="K290" s="25">
        <f t="shared" si="397"/>
        <v>23</v>
      </c>
      <c r="L290" s="18" t="str">
        <f t="shared" ref="L290" si="454">L278</f>
        <v>fev</v>
      </c>
      <c r="M290" s="43">
        <f t="shared" si="370"/>
        <v>1088</v>
      </c>
      <c r="N290" s="53">
        <f t="shared" si="428"/>
        <v>1287.5010210177293</v>
      </c>
      <c r="O290" s="43">
        <f t="shared" si="429"/>
        <v>326.39999999999998</v>
      </c>
      <c r="P290" s="43">
        <f t="shared" si="447"/>
        <v>961.10102101772929</v>
      </c>
      <c r="Q290" s="43">
        <f t="shared" si="448"/>
        <v>761.6</v>
      </c>
      <c r="R290" s="43">
        <f t="shared" si="449"/>
        <v>199.50102101772927</v>
      </c>
      <c r="S290" s="43">
        <f t="shared" si="434"/>
        <v>4819.6743708770409</v>
      </c>
      <c r="T290" s="43">
        <f t="shared" si="450"/>
        <v>761.6</v>
      </c>
      <c r="U290" s="50">
        <f t="shared" si="451"/>
        <v>842.9167153031209</v>
      </c>
      <c r="V290" s="20">
        <f t="shared" si="430"/>
        <v>842.9167153031209</v>
      </c>
      <c r="W290" s="20">
        <f t="shared" si="431"/>
        <v>5146.0116929372452</v>
      </c>
      <c r="X290" s="19">
        <f t="shared" si="452"/>
        <v>4303.094977634124</v>
      </c>
      <c r="Y290" s="38">
        <f t="shared" si="432"/>
        <v>0.83619999999999994</v>
      </c>
      <c r="Z290" s="37">
        <f t="shared" si="435"/>
        <v>613610.34925180627</v>
      </c>
      <c r="AA290" s="44">
        <f t="shared" si="436"/>
        <v>0</v>
      </c>
      <c r="AC290" s="48">
        <f t="shared" si="437"/>
        <v>4303.094977634124</v>
      </c>
    </row>
    <row r="291" spans="1:29" x14ac:dyDescent="0.2">
      <c r="A291" s="14" t="str">
        <f t="shared" si="453"/>
        <v>Março</v>
      </c>
      <c r="B291" s="14">
        <f t="shared" si="453"/>
        <v>31</v>
      </c>
      <c r="C291" s="15">
        <f t="shared" si="453"/>
        <v>4.21</v>
      </c>
      <c r="D291" s="15">
        <f t="shared" si="453"/>
        <v>4.7494613124387861</v>
      </c>
      <c r="E291" s="15">
        <f t="shared" si="453"/>
        <v>5.43</v>
      </c>
      <c r="F291" s="57">
        <f t="shared" si="453"/>
        <v>5.14</v>
      </c>
      <c r="G291" s="16">
        <f t="shared" si="444"/>
        <v>0.90160180145629332</v>
      </c>
      <c r="H291" s="15">
        <f t="shared" si="368"/>
        <v>5.4365404125858321</v>
      </c>
      <c r="I291" s="17">
        <f t="shared" si="396"/>
        <v>1.1067708971942238</v>
      </c>
      <c r="J291" s="14">
        <f t="shared" si="445"/>
        <v>267</v>
      </c>
      <c r="K291" s="25">
        <f t="shared" si="397"/>
        <v>23</v>
      </c>
      <c r="L291" s="18" t="str">
        <f t="shared" ref="L291" si="455">L279</f>
        <v>mar</v>
      </c>
      <c r="M291" s="43">
        <f t="shared" si="370"/>
        <v>1152</v>
      </c>
      <c r="N291" s="53">
        <f t="shared" si="428"/>
        <v>1295.5990971331532</v>
      </c>
      <c r="O291" s="43">
        <f t="shared" si="429"/>
        <v>345.59999999999997</v>
      </c>
      <c r="P291" s="43">
        <f t="shared" si="447"/>
        <v>949.99909713315333</v>
      </c>
      <c r="Q291" s="43">
        <f t="shared" si="448"/>
        <v>806.40000000000009</v>
      </c>
      <c r="R291" s="43">
        <f t="shared" si="449"/>
        <v>143.59909713315324</v>
      </c>
      <c r="S291" s="43">
        <f t="shared" si="434"/>
        <v>4963.2734680101939</v>
      </c>
      <c r="T291" s="43">
        <f t="shared" si="450"/>
        <v>806.40000000000009</v>
      </c>
      <c r="U291" s="50">
        <f t="shared" si="451"/>
        <v>892.50005149742219</v>
      </c>
      <c r="V291" s="20">
        <f t="shared" si="430"/>
        <v>892.50005149742219</v>
      </c>
      <c r="W291" s="20">
        <f t="shared" si="431"/>
        <v>5448.7182631100241</v>
      </c>
      <c r="X291" s="19">
        <f t="shared" si="452"/>
        <v>4556.2182116126023</v>
      </c>
      <c r="Y291" s="38">
        <f t="shared" si="432"/>
        <v>0.83620000000000005</v>
      </c>
      <c r="Z291" s="37">
        <f t="shared" si="435"/>
        <v>618166.56746341882</v>
      </c>
      <c r="AA291" s="44">
        <f t="shared" si="436"/>
        <v>0</v>
      </c>
      <c r="AC291" s="48">
        <f t="shared" si="437"/>
        <v>4556.2182116126023</v>
      </c>
    </row>
    <row r="292" spans="1:29" x14ac:dyDescent="0.2">
      <c r="A292" s="14" t="str">
        <f t="shared" si="453"/>
        <v>Abril</v>
      </c>
      <c r="B292" s="14">
        <f t="shared" si="453"/>
        <v>30</v>
      </c>
      <c r="C292" s="15">
        <f t="shared" si="453"/>
        <v>3.59</v>
      </c>
      <c r="D292" s="15">
        <f t="shared" si="453"/>
        <v>4.1465230166503426</v>
      </c>
      <c r="E292" s="15">
        <f t="shared" si="453"/>
        <v>4.91</v>
      </c>
      <c r="F292" s="57">
        <f t="shared" si="453"/>
        <v>4.97</v>
      </c>
      <c r="G292" s="16">
        <f t="shared" si="444"/>
        <v>0.90160180145629332</v>
      </c>
      <c r="H292" s="15">
        <f t="shared" si="368"/>
        <v>5.4365404125858321</v>
      </c>
      <c r="I292" s="17">
        <f t="shared" si="396"/>
        <v>1.1067708971942238</v>
      </c>
      <c r="J292" s="14">
        <f t="shared" si="445"/>
        <v>268</v>
      </c>
      <c r="K292" s="25">
        <f t="shared" si="397"/>
        <v>23</v>
      </c>
      <c r="L292" s="18" t="str">
        <f t="shared" ref="L292" si="456">L280</f>
        <v>abr</v>
      </c>
      <c r="M292" s="43">
        <f t="shared" si="370"/>
        <v>1000</v>
      </c>
      <c r="N292" s="53">
        <f t="shared" si="428"/>
        <v>1094.6364956021177</v>
      </c>
      <c r="O292" s="43">
        <f t="shared" si="429"/>
        <v>300</v>
      </c>
      <c r="P292" s="43">
        <f t="shared" si="447"/>
        <v>794.63649560211775</v>
      </c>
      <c r="Q292" s="43">
        <f t="shared" si="448"/>
        <v>700</v>
      </c>
      <c r="R292" s="43">
        <f t="shared" si="449"/>
        <v>94.636495602117748</v>
      </c>
      <c r="S292" s="43">
        <f t="shared" si="434"/>
        <v>5057.9099636123119</v>
      </c>
      <c r="T292" s="43">
        <f t="shared" si="450"/>
        <v>700</v>
      </c>
      <c r="U292" s="50">
        <f t="shared" si="451"/>
        <v>774.73962803595668</v>
      </c>
      <c r="V292" s="20">
        <f t="shared" si="430"/>
        <v>774.73962803595668</v>
      </c>
      <c r="W292" s="20">
        <f t="shared" si="431"/>
        <v>4729.7901589496742</v>
      </c>
      <c r="X292" s="19">
        <f t="shared" si="452"/>
        <v>3955.0505309137175</v>
      </c>
      <c r="Y292" s="38">
        <f t="shared" si="432"/>
        <v>0.83619999999999994</v>
      </c>
      <c r="Z292" s="37">
        <f t="shared" si="435"/>
        <v>622121.61799433257</v>
      </c>
      <c r="AA292" s="44">
        <f t="shared" si="436"/>
        <v>0</v>
      </c>
      <c r="AC292" s="48">
        <f t="shared" si="437"/>
        <v>3955.0505309137175</v>
      </c>
    </row>
    <row r="293" spans="1:29" x14ac:dyDescent="0.2">
      <c r="A293" s="14" t="str">
        <f t="shared" si="453"/>
        <v>Maio</v>
      </c>
      <c r="B293" s="14">
        <f t="shared" si="453"/>
        <v>31</v>
      </c>
      <c r="C293" s="15">
        <f t="shared" si="453"/>
        <v>2.98</v>
      </c>
      <c r="D293" s="15">
        <f t="shared" si="453"/>
        <v>3.3849167482859945</v>
      </c>
      <c r="E293" s="15">
        <f t="shared" si="453"/>
        <v>4.25</v>
      </c>
      <c r="F293" s="57">
        <f t="shared" si="453"/>
        <v>4.66</v>
      </c>
      <c r="G293" s="16">
        <f t="shared" si="444"/>
        <v>0.90160180145629332</v>
      </c>
      <c r="H293" s="15">
        <f t="shared" ref="H293:H356" si="457">(1+$B$13)^K281</f>
        <v>5.4365404125858321</v>
      </c>
      <c r="I293" s="17">
        <f t="shared" si="396"/>
        <v>1.1067708971942238</v>
      </c>
      <c r="J293" s="14">
        <f t="shared" si="445"/>
        <v>269</v>
      </c>
      <c r="K293" s="25">
        <f t="shared" si="397"/>
        <v>23</v>
      </c>
      <c r="L293" s="18" t="str">
        <f t="shared" ref="L293" si="458">L281</f>
        <v>mai</v>
      </c>
      <c r="M293" s="43">
        <f t="shared" ref="M293:M356" si="459">M281*(1+$B$14)</f>
        <v>1396</v>
      </c>
      <c r="N293" s="53">
        <f t="shared" si="428"/>
        <v>923.36683982763702</v>
      </c>
      <c r="O293" s="43">
        <f t="shared" si="429"/>
        <v>418.8</v>
      </c>
      <c r="P293" s="43">
        <f t="shared" si="447"/>
        <v>504.56683982763701</v>
      </c>
      <c r="Q293" s="43">
        <f t="shared" si="448"/>
        <v>977.2</v>
      </c>
      <c r="R293" s="43">
        <f t="shared" si="449"/>
        <v>-472.63316017236303</v>
      </c>
      <c r="S293" s="43">
        <f t="shared" si="434"/>
        <v>4585.2768034399487</v>
      </c>
      <c r="T293" s="43">
        <f t="shared" si="450"/>
        <v>977.2</v>
      </c>
      <c r="U293" s="50">
        <f t="shared" si="451"/>
        <v>1081.5365207381956</v>
      </c>
      <c r="V293" s="20">
        <f t="shared" si="430"/>
        <v>1081.5365207381956</v>
      </c>
      <c r="W293" s="20">
        <f t="shared" si="431"/>
        <v>6602.787061893745</v>
      </c>
      <c r="X293" s="19">
        <f t="shared" si="452"/>
        <v>5521.2505411555494</v>
      </c>
      <c r="Y293" s="38">
        <f t="shared" si="432"/>
        <v>0.83619999999999994</v>
      </c>
      <c r="Z293" s="37">
        <f t="shared" si="435"/>
        <v>627642.86853548815</v>
      </c>
      <c r="AA293" s="44">
        <f t="shared" si="436"/>
        <v>0</v>
      </c>
      <c r="AC293" s="48">
        <f t="shared" si="437"/>
        <v>5521.2505411555494</v>
      </c>
    </row>
    <row r="294" spans="1:29" x14ac:dyDescent="0.2">
      <c r="A294" s="14" t="str">
        <f t="shared" si="453"/>
        <v>Junho</v>
      </c>
      <c r="B294" s="14">
        <f t="shared" si="453"/>
        <v>30</v>
      </c>
      <c r="C294" s="15">
        <f t="shared" si="453"/>
        <v>2.74</v>
      </c>
      <c r="D294" s="15">
        <f t="shared" si="453"/>
        <v>3.1945151811949071</v>
      </c>
      <c r="E294" s="15">
        <f t="shared" si="453"/>
        <v>3.92</v>
      </c>
      <c r="F294" s="57">
        <f t="shared" si="453"/>
        <v>4.47</v>
      </c>
      <c r="G294" s="16">
        <f t="shared" si="444"/>
        <v>0.90160180145629332</v>
      </c>
      <c r="H294" s="15">
        <f t="shared" si="457"/>
        <v>5.4365404125858321</v>
      </c>
      <c r="I294" s="17">
        <f t="shared" si="396"/>
        <v>1.1067708971942238</v>
      </c>
      <c r="J294" s="14">
        <f t="shared" si="445"/>
        <v>270</v>
      </c>
      <c r="K294" s="25">
        <f t="shared" si="397"/>
        <v>23</v>
      </c>
      <c r="L294" s="18" t="str">
        <f t="shared" ref="L294" si="460">L282</f>
        <v>jun</v>
      </c>
      <c r="M294" s="43">
        <f t="shared" si="459"/>
        <v>1428</v>
      </c>
      <c r="N294" s="53">
        <f t="shared" si="428"/>
        <v>843.31689201999905</v>
      </c>
      <c r="O294" s="43">
        <f t="shared" si="429"/>
        <v>428.4</v>
      </c>
      <c r="P294" s="43">
        <f t="shared" si="447"/>
        <v>414.91689201999907</v>
      </c>
      <c r="Q294" s="43">
        <f t="shared" si="448"/>
        <v>999.6</v>
      </c>
      <c r="R294" s="43">
        <f t="shared" si="449"/>
        <v>-584.68310798000095</v>
      </c>
      <c r="S294" s="43">
        <f t="shared" si="434"/>
        <v>4000.5936954599479</v>
      </c>
      <c r="T294" s="43">
        <f t="shared" si="450"/>
        <v>999.6</v>
      </c>
      <c r="U294" s="50">
        <f t="shared" si="451"/>
        <v>1106.3281888353463</v>
      </c>
      <c r="V294" s="20">
        <f t="shared" si="430"/>
        <v>1106.3281888353463</v>
      </c>
      <c r="W294" s="20">
        <f t="shared" si="431"/>
        <v>6754.1403469801335</v>
      </c>
      <c r="X294" s="19">
        <f t="shared" si="452"/>
        <v>5647.8121581447867</v>
      </c>
      <c r="Y294" s="38">
        <f t="shared" si="432"/>
        <v>0.83619999999999983</v>
      </c>
      <c r="Z294" s="37">
        <f t="shared" si="435"/>
        <v>633290.68069363292</v>
      </c>
      <c r="AA294" s="44">
        <f t="shared" si="436"/>
        <v>0</v>
      </c>
      <c r="AC294" s="48">
        <f t="shared" si="437"/>
        <v>5647.8121581447867</v>
      </c>
    </row>
    <row r="295" spans="1:29" x14ac:dyDescent="0.2">
      <c r="A295" s="14" t="str">
        <f t="shared" si="453"/>
        <v>Julho</v>
      </c>
      <c r="B295" s="14">
        <f t="shared" si="453"/>
        <v>31</v>
      </c>
      <c r="C295" s="15">
        <f t="shared" si="453"/>
        <v>2.91</v>
      </c>
      <c r="D295" s="15">
        <f t="shared" si="453"/>
        <v>3.4272282076395695</v>
      </c>
      <c r="E295" s="15">
        <f t="shared" si="453"/>
        <v>4.18</v>
      </c>
      <c r="F295" s="57">
        <f t="shared" si="453"/>
        <v>4.74</v>
      </c>
      <c r="G295" s="16">
        <f t="shared" si="444"/>
        <v>0.90160180145629332</v>
      </c>
      <c r="H295" s="15">
        <f t="shared" si="457"/>
        <v>5.4365404125858321</v>
      </c>
      <c r="I295" s="17">
        <f t="shared" si="396"/>
        <v>1.1067708971942238</v>
      </c>
      <c r="J295" s="14">
        <f t="shared" si="445"/>
        <v>271</v>
      </c>
      <c r="K295" s="25">
        <f t="shared" si="397"/>
        <v>23</v>
      </c>
      <c r="L295" s="18" t="str">
        <f t="shared" ref="L295" si="461">L283</f>
        <v>jul</v>
      </c>
      <c r="M295" s="43">
        <f t="shared" si="459"/>
        <v>1392</v>
      </c>
      <c r="N295" s="53">
        <f t="shared" si="428"/>
        <v>934.90892532548241</v>
      </c>
      <c r="O295" s="43">
        <f t="shared" si="429"/>
        <v>417.59999999999997</v>
      </c>
      <c r="P295" s="43">
        <f t="shared" si="447"/>
        <v>517.30892532548251</v>
      </c>
      <c r="Q295" s="43">
        <f t="shared" si="448"/>
        <v>974.40000000000009</v>
      </c>
      <c r="R295" s="43">
        <f t="shared" si="449"/>
        <v>-457.09107467451759</v>
      </c>
      <c r="S295" s="43">
        <f t="shared" si="434"/>
        <v>3543.5026207854303</v>
      </c>
      <c r="T295" s="43">
        <f t="shared" si="450"/>
        <v>974.40000000000009</v>
      </c>
      <c r="U295" s="50">
        <f t="shared" si="451"/>
        <v>1078.4375622260518</v>
      </c>
      <c r="V295" s="20">
        <f t="shared" si="430"/>
        <v>1078.4375622260518</v>
      </c>
      <c r="W295" s="20">
        <f t="shared" si="431"/>
        <v>6583.867901257946</v>
      </c>
      <c r="X295" s="19">
        <f t="shared" si="452"/>
        <v>5505.4303390318946</v>
      </c>
      <c r="Y295" s="38">
        <f t="shared" si="432"/>
        <v>0.83620000000000005</v>
      </c>
      <c r="Z295" s="37">
        <f t="shared" si="435"/>
        <v>638796.11103266478</v>
      </c>
      <c r="AA295" s="44">
        <f t="shared" si="436"/>
        <v>0</v>
      </c>
      <c r="AC295" s="48">
        <f t="shared" si="437"/>
        <v>5505.4303390318946</v>
      </c>
    </row>
    <row r="296" spans="1:29" x14ac:dyDescent="0.2">
      <c r="A296" s="14" t="str">
        <f t="shared" si="453"/>
        <v>Agosto</v>
      </c>
      <c r="B296" s="14">
        <f t="shared" si="453"/>
        <v>31</v>
      </c>
      <c r="C296" s="15">
        <f t="shared" si="453"/>
        <v>3.45</v>
      </c>
      <c r="D296" s="15">
        <f t="shared" si="453"/>
        <v>4.1147894221351615</v>
      </c>
      <c r="E296" s="15">
        <f t="shared" si="453"/>
        <v>4.83</v>
      </c>
      <c r="F296" s="57">
        <f t="shared" si="453"/>
        <v>5.21</v>
      </c>
      <c r="G296" s="16">
        <f t="shared" si="444"/>
        <v>0.90160180145629332</v>
      </c>
      <c r="H296" s="15">
        <f t="shared" si="457"/>
        <v>5.4365404125858321</v>
      </c>
      <c r="I296" s="17">
        <f t="shared" si="396"/>
        <v>1.1067708971942238</v>
      </c>
      <c r="J296" s="14">
        <f t="shared" si="445"/>
        <v>272</v>
      </c>
      <c r="K296" s="25">
        <f t="shared" si="397"/>
        <v>23</v>
      </c>
      <c r="L296" s="18" t="str">
        <f t="shared" ref="L296" si="462">L284</f>
        <v>ago</v>
      </c>
      <c r="M296" s="43">
        <f t="shared" si="459"/>
        <v>1520</v>
      </c>
      <c r="N296" s="53">
        <f t="shared" si="428"/>
        <v>1122.4678146654712</v>
      </c>
      <c r="O296" s="43">
        <f t="shared" si="429"/>
        <v>456</v>
      </c>
      <c r="P296" s="43">
        <f t="shared" si="447"/>
        <v>666.46781466547122</v>
      </c>
      <c r="Q296" s="43">
        <f t="shared" si="448"/>
        <v>1064</v>
      </c>
      <c r="R296" s="43">
        <f t="shared" si="449"/>
        <v>-397.53218533452878</v>
      </c>
      <c r="S296" s="43">
        <f t="shared" si="434"/>
        <v>3145.9704354509013</v>
      </c>
      <c r="T296" s="43">
        <f t="shared" si="450"/>
        <v>1064</v>
      </c>
      <c r="U296" s="50">
        <f t="shared" si="451"/>
        <v>1177.6042346146542</v>
      </c>
      <c r="V296" s="20">
        <f t="shared" si="430"/>
        <v>1177.6042346146542</v>
      </c>
      <c r="W296" s="20">
        <f t="shared" si="431"/>
        <v>7189.2810416035045</v>
      </c>
      <c r="X296" s="19">
        <f t="shared" si="452"/>
        <v>6011.6768069888503</v>
      </c>
      <c r="Y296" s="38">
        <f t="shared" si="432"/>
        <v>0.83619999999999994</v>
      </c>
      <c r="Z296" s="37">
        <f t="shared" si="435"/>
        <v>644807.78783965367</v>
      </c>
      <c r="AA296" s="44">
        <f t="shared" si="436"/>
        <v>0</v>
      </c>
      <c r="AC296" s="48">
        <f t="shared" si="437"/>
        <v>6011.6768069888503</v>
      </c>
    </row>
    <row r="297" spans="1:29" x14ac:dyDescent="0.2">
      <c r="A297" s="14" t="str">
        <f t="shared" si="453"/>
        <v>Setembro</v>
      </c>
      <c r="B297" s="14">
        <f t="shared" si="453"/>
        <v>30</v>
      </c>
      <c r="C297" s="15">
        <f t="shared" si="453"/>
        <v>3.82</v>
      </c>
      <c r="D297" s="15">
        <f t="shared" si="453"/>
        <v>4.2417238001958868</v>
      </c>
      <c r="E297" s="15">
        <f t="shared" si="453"/>
        <v>5.12</v>
      </c>
      <c r="F297" s="57">
        <f t="shared" si="453"/>
        <v>5.1100000000000003</v>
      </c>
      <c r="G297" s="16">
        <f t="shared" si="444"/>
        <v>0.90160180145629332</v>
      </c>
      <c r="H297" s="15">
        <f t="shared" si="457"/>
        <v>5.4365404125858321</v>
      </c>
      <c r="I297" s="17">
        <f t="shared" si="396"/>
        <v>1.1067708971942238</v>
      </c>
      <c r="J297" s="14">
        <f t="shared" si="445"/>
        <v>273</v>
      </c>
      <c r="K297" s="25">
        <f t="shared" si="397"/>
        <v>23</v>
      </c>
      <c r="L297" s="18" t="str">
        <f t="shared" ref="L297" si="463">L285</f>
        <v>set</v>
      </c>
      <c r="M297" s="43">
        <f t="shared" si="459"/>
        <v>1400</v>
      </c>
      <c r="N297" s="53">
        <f t="shared" si="428"/>
        <v>1119.7684559603301</v>
      </c>
      <c r="O297" s="43">
        <f t="shared" si="429"/>
        <v>420</v>
      </c>
      <c r="P297" s="43">
        <f t="shared" si="447"/>
        <v>699.76845596033013</v>
      </c>
      <c r="Q297" s="43">
        <f t="shared" si="448"/>
        <v>980</v>
      </c>
      <c r="R297" s="43">
        <f t="shared" si="449"/>
        <v>-280.23154403966987</v>
      </c>
      <c r="S297" s="43">
        <f t="shared" si="434"/>
        <v>2865.7388914112316</v>
      </c>
      <c r="T297" s="43">
        <f t="shared" si="450"/>
        <v>980</v>
      </c>
      <c r="U297" s="50">
        <f t="shared" si="451"/>
        <v>1084.6354792503394</v>
      </c>
      <c r="V297" s="20">
        <f t="shared" si="430"/>
        <v>1084.6354792503394</v>
      </c>
      <c r="W297" s="20">
        <f t="shared" si="431"/>
        <v>6621.7062225295431</v>
      </c>
      <c r="X297" s="19">
        <f t="shared" si="452"/>
        <v>5537.0707432792042</v>
      </c>
      <c r="Y297" s="38">
        <f t="shared" si="432"/>
        <v>0.83620000000000005</v>
      </c>
      <c r="Z297" s="37">
        <f t="shared" si="435"/>
        <v>650344.85858293285</v>
      </c>
      <c r="AA297" s="44">
        <f t="shared" si="436"/>
        <v>0</v>
      </c>
      <c r="AC297" s="48">
        <f t="shared" si="437"/>
        <v>5537.0707432792042</v>
      </c>
    </row>
    <row r="298" spans="1:29" x14ac:dyDescent="0.2">
      <c r="A298" s="14" t="str">
        <f t="shared" si="453"/>
        <v>Outubro</v>
      </c>
      <c r="B298" s="14">
        <f t="shared" si="453"/>
        <v>31</v>
      </c>
      <c r="C298" s="15">
        <f t="shared" si="453"/>
        <v>4.33</v>
      </c>
      <c r="D298" s="15">
        <f t="shared" si="453"/>
        <v>4.8763956904995114</v>
      </c>
      <c r="E298" s="15">
        <f t="shared" si="453"/>
        <v>5.57</v>
      </c>
      <c r="F298" s="57">
        <f t="shared" si="453"/>
        <v>5.17</v>
      </c>
      <c r="G298" s="16">
        <f t="shared" si="444"/>
        <v>0.90160180145629332</v>
      </c>
      <c r="H298" s="15">
        <f t="shared" si="457"/>
        <v>5.4365404125858321</v>
      </c>
      <c r="I298" s="17">
        <f t="shared" si="396"/>
        <v>1.1067708971942238</v>
      </c>
      <c r="J298" s="14">
        <f t="shared" si="445"/>
        <v>274</v>
      </c>
      <c r="K298" s="25">
        <f t="shared" si="397"/>
        <v>23</v>
      </c>
      <c r="L298" s="18" t="str">
        <f t="shared" ref="L298" si="464">L286</f>
        <v>out</v>
      </c>
      <c r="M298" s="43">
        <f t="shared" si="459"/>
        <v>1340</v>
      </c>
      <c r="N298" s="53">
        <f t="shared" si="428"/>
        <v>1330.2253536266894</v>
      </c>
      <c r="O298" s="43">
        <f t="shared" si="429"/>
        <v>402</v>
      </c>
      <c r="P298" s="43">
        <f t="shared" si="447"/>
        <v>928.22535362668941</v>
      </c>
      <c r="Q298" s="43">
        <f t="shared" si="448"/>
        <v>938</v>
      </c>
      <c r="R298" s="43">
        <f t="shared" si="449"/>
        <v>-9.7746463733105884</v>
      </c>
      <c r="S298" s="43">
        <f t="shared" si="434"/>
        <v>2855.964245037921</v>
      </c>
      <c r="T298" s="43">
        <f t="shared" si="450"/>
        <v>938</v>
      </c>
      <c r="U298" s="50">
        <f t="shared" si="451"/>
        <v>1038.151101568182</v>
      </c>
      <c r="V298" s="20">
        <f t="shared" si="430"/>
        <v>1038.151101568182</v>
      </c>
      <c r="W298" s="20">
        <f t="shared" si="431"/>
        <v>6337.9188129925624</v>
      </c>
      <c r="X298" s="19">
        <f t="shared" si="452"/>
        <v>5299.7677114243806</v>
      </c>
      <c r="Y298" s="38">
        <f t="shared" si="432"/>
        <v>0.83619999999999994</v>
      </c>
      <c r="Z298" s="37">
        <f t="shared" si="435"/>
        <v>655644.62629435724</v>
      </c>
      <c r="AA298" s="44">
        <f t="shared" si="436"/>
        <v>0</v>
      </c>
      <c r="AC298" s="48">
        <f t="shared" si="437"/>
        <v>5299.7677114243806</v>
      </c>
    </row>
    <row r="299" spans="1:29" x14ac:dyDescent="0.2">
      <c r="A299" s="14" t="str">
        <f t="shared" si="453"/>
        <v>Novembro</v>
      </c>
      <c r="B299" s="14">
        <f t="shared" si="453"/>
        <v>30</v>
      </c>
      <c r="C299" s="15">
        <f t="shared" si="453"/>
        <v>4.68</v>
      </c>
      <c r="D299" s="15">
        <f t="shared" si="453"/>
        <v>5.5745347698334964</v>
      </c>
      <c r="E299" s="15">
        <f t="shared" si="453"/>
        <v>5.89</v>
      </c>
      <c r="F299" s="57">
        <f t="shared" si="453"/>
        <v>5.23</v>
      </c>
      <c r="G299" s="16">
        <f t="shared" si="444"/>
        <v>0.90160180145629332</v>
      </c>
      <c r="H299" s="15">
        <f t="shared" si="457"/>
        <v>5.4365404125858321</v>
      </c>
      <c r="I299" s="17">
        <f t="shared" si="396"/>
        <v>1.1067708971942238</v>
      </c>
      <c r="J299" s="14">
        <f t="shared" si="445"/>
        <v>275</v>
      </c>
      <c r="K299" s="25">
        <f t="shared" si="397"/>
        <v>23</v>
      </c>
      <c r="L299" s="18" t="str">
        <f t="shared" ref="L299" si="465">L287</f>
        <v>nov</v>
      </c>
      <c r="M299" s="43">
        <f t="shared" si="459"/>
        <v>1288</v>
      </c>
      <c r="N299" s="53">
        <f t="shared" si="428"/>
        <v>1471.6159009752962</v>
      </c>
      <c r="O299" s="43">
        <f t="shared" si="429"/>
        <v>386.4</v>
      </c>
      <c r="P299" s="43">
        <f t="shared" si="447"/>
        <v>1085.2159009752963</v>
      </c>
      <c r="Q299" s="43">
        <f t="shared" si="448"/>
        <v>901.6</v>
      </c>
      <c r="R299" s="43">
        <f t="shared" si="449"/>
        <v>183.61590097529631</v>
      </c>
      <c r="S299" s="43">
        <f t="shared" si="434"/>
        <v>3039.5801460132175</v>
      </c>
      <c r="T299" s="43">
        <f t="shared" si="450"/>
        <v>901.6</v>
      </c>
      <c r="U299" s="50">
        <f t="shared" si="451"/>
        <v>997.86464091031223</v>
      </c>
      <c r="V299" s="20">
        <f t="shared" si="430"/>
        <v>997.86464091031223</v>
      </c>
      <c r="W299" s="20">
        <f t="shared" si="431"/>
        <v>6091.9697247271797</v>
      </c>
      <c r="X299" s="19">
        <f t="shared" si="452"/>
        <v>5094.1050838168676</v>
      </c>
      <c r="Y299" s="38">
        <f t="shared" si="432"/>
        <v>0.83619999999999994</v>
      </c>
      <c r="Z299" s="37">
        <f t="shared" si="435"/>
        <v>660738.73137817415</v>
      </c>
      <c r="AA299" s="44">
        <f t="shared" si="436"/>
        <v>0</v>
      </c>
      <c r="AC299" s="48">
        <f t="shared" si="437"/>
        <v>5094.1050838168676</v>
      </c>
    </row>
    <row r="300" spans="1:29" x14ac:dyDescent="0.2">
      <c r="A300" s="14" t="str">
        <f t="shared" si="453"/>
        <v>Dezembro</v>
      </c>
      <c r="B300" s="14">
        <f t="shared" si="453"/>
        <v>31</v>
      </c>
      <c r="C300" s="15">
        <f t="shared" si="453"/>
        <v>4.8499999999999996</v>
      </c>
      <c r="D300" s="15">
        <f t="shared" si="453"/>
        <v>5.6062683643486775</v>
      </c>
      <c r="E300" s="15">
        <f t="shared" si="453"/>
        <v>6.05</v>
      </c>
      <c r="F300" s="57">
        <f t="shared" si="453"/>
        <v>5.29</v>
      </c>
      <c r="G300" s="16">
        <f t="shared" si="444"/>
        <v>0.90160180145629332</v>
      </c>
      <c r="H300" s="15">
        <f t="shared" si="457"/>
        <v>5.4365404125858321</v>
      </c>
      <c r="I300" s="17">
        <f t="shared" si="396"/>
        <v>1.1067708971942238</v>
      </c>
      <c r="J300" s="14">
        <f t="shared" si="445"/>
        <v>276</v>
      </c>
      <c r="K300" s="25">
        <f t="shared" si="397"/>
        <v>23</v>
      </c>
      <c r="L300" s="18" t="str">
        <f t="shared" ref="L300" si="466">L288</f>
        <v>dez</v>
      </c>
      <c r="M300" s="43">
        <f t="shared" si="459"/>
        <v>1140</v>
      </c>
      <c r="N300" s="53">
        <f t="shared" si="428"/>
        <v>1529.3263284645234</v>
      </c>
      <c r="O300" s="43">
        <f t="shared" si="429"/>
        <v>342</v>
      </c>
      <c r="P300" s="43">
        <f t="shared" si="447"/>
        <v>1187.3263284645234</v>
      </c>
      <c r="Q300" s="43">
        <f t="shared" si="448"/>
        <v>798</v>
      </c>
      <c r="R300" s="43">
        <f t="shared" si="449"/>
        <v>389.32632846452339</v>
      </c>
      <c r="S300" s="43">
        <f t="shared" si="434"/>
        <v>3428.9064744777406</v>
      </c>
      <c r="T300" s="43">
        <f t="shared" si="450"/>
        <v>798</v>
      </c>
      <c r="U300" s="50">
        <f t="shared" si="451"/>
        <v>883.20317596099062</v>
      </c>
      <c r="V300" s="20">
        <f t="shared" si="430"/>
        <v>883.20317596099062</v>
      </c>
      <c r="W300" s="20">
        <f t="shared" si="431"/>
        <v>5391.9607812026279</v>
      </c>
      <c r="X300" s="19">
        <f t="shared" si="452"/>
        <v>4508.7576052416371</v>
      </c>
      <c r="Y300" s="38">
        <f t="shared" si="432"/>
        <v>0.83619999999999994</v>
      </c>
      <c r="Z300" s="37">
        <f t="shared" si="435"/>
        <v>665247.48898341577</v>
      </c>
      <c r="AA300" s="44">
        <f t="shared" si="436"/>
        <v>0</v>
      </c>
      <c r="AC300" s="48">
        <f t="shared" si="437"/>
        <v>4508.7576052416371</v>
      </c>
    </row>
    <row r="301" spans="1:29" x14ac:dyDescent="0.2">
      <c r="A301" s="14" t="str">
        <f t="shared" si="453"/>
        <v>Janeiro</v>
      </c>
      <c r="B301" s="14">
        <f t="shared" si="453"/>
        <v>30</v>
      </c>
      <c r="C301" s="15">
        <f t="shared" si="453"/>
        <v>4.87</v>
      </c>
      <c r="D301" s="15">
        <f t="shared" si="453"/>
        <v>5.4581782566111663</v>
      </c>
      <c r="E301" s="15">
        <f t="shared" si="453"/>
        <v>6.01</v>
      </c>
      <c r="F301" s="57">
        <f t="shared" si="453"/>
        <v>5.31</v>
      </c>
      <c r="G301" s="16">
        <f t="shared" si="444"/>
        <v>0.89759508305062141</v>
      </c>
      <c r="H301" s="15">
        <f t="shared" si="457"/>
        <v>5.8714636455926987</v>
      </c>
      <c r="I301" s="17">
        <f t="shared" si="396"/>
        <v>1.1953125689697617</v>
      </c>
      <c r="J301" s="14">
        <f t="shared" si="445"/>
        <v>277</v>
      </c>
      <c r="K301" s="25">
        <f t="shared" si="397"/>
        <v>24</v>
      </c>
      <c r="L301" s="18" t="str">
        <f t="shared" ref="L301" si="467">L289</f>
        <v>jan</v>
      </c>
      <c r="M301" s="43">
        <f t="shared" si="459"/>
        <v>836</v>
      </c>
      <c r="N301" s="53">
        <f t="shared" si="428"/>
        <v>1434.4957051124532</v>
      </c>
      <c r="O301" s="43">
        <f t="shared" si="429"/>
        <v>250.79999999999998</v>
      </c>
      <c r="P301" s="43">
        <f t="shared" si="447"/>
        <v>1183.6957051124532</v>
      </c>
      <c r="Q301" s="43">
        <f t="shared" si="448"/>
        <v>585.20000000000005</v>
      </c>
      <c r="R301" s="43">
        <f t="shared" si="449"/>
        <v>598.49570511245315</v>
      </c>
      <c r="S301" s="43">
        <f t="shared" si="434"/>
        <v>4027.4021795901936</v>
      </c>
      <c r="T301" s="43">
        <f t="shared" si="450"/>
        <v>585.20000000000005</v>
      </c>
      <c r="U301" s="50">
        <f t="shared" si="451"/>
        <v>699.49691536110458</v>
      </c>
      <c r="V301" s="20">
        <f t="shared" si="430"/>
        <v>699.49691536110458</v>
      </c>
      <c r="W301" s="20">
        <f t="shared" si="431"/>
        <v>4270.4329387124817</v>
      </c>
      <c r="X301" s="19">
        <f t="shared" si="452"/>
        <v>3570.9360233513771</v>
      </c>
      <c r="Y301" s="38">
        <f t="shared" si="432"/>
        <v>0.83619999999999994</v>
      </c>
      <c r="Z301" s="37">
        <f t="shared" si="435"/>
        <v>668818.42500676715</v>
      </c>
      <c r="AA301" s="44">
        <f t="shared" si="436"/>
        <v>0</v>
      </c>
      <c r="AC301" s="48">
        <f t="shared" si="437"/>
        <v>3570.9360233513771</v>
      </c>
    </row>
    <row r="302" spans="1:29" x14ac:dyDescent="0.2">
      <c r="A302" s="14" t="str">
        <f t="shared" ref="A302:F302" si="468">A290</f>
        <v>Fevereiro</v>
      </c>
      <c r="B302" s="14">
        <f t="shared" si="468"/>
        <v>28</v>
      </c>
      <c r="C302" s="15">
        <f t="shared" si="468"/>
        <v>4.75</v>
      </c>
      <c r="D302" s="15">
        <f t="shared" si="468"/>
        <v>5.2254652301665043</v>
      </c>
      <c r="E302" s="15">
        <f t="shared" si="468"/>
        <v>5.82</v>
      </c>
      <c r="F302" s="57">
        <f t="shared" si="468"/>
        <v>5.28</v>
      </c>
      <c r="G302" s="16">
        <f t="shared" ref="G302:G360" si="469">(1-1%)*(1-0.4444%)^K278</f>
        <v>0.89759508305062141</v>
      </c>
      <c r="H302" s="15">
        <f t="shared" si="457"/>
        <v>5.8714636455926987</v>
      </c>
      <c r="I302" s="17">
        <f t="shared" si="396"/>
        <v>1.1953125689697617</v>
      </c>
      <c r="J302" s="14">
        <f t="shared" ref="J302:J360" si="470">J301+1</f>
        <v>278</v>
      </c>
      <c r="K302" s="25">
        <f t="shared" si="397"/>
        <v>24</v>
      </c>
      <c r="L302" s="18" t="str">
        <f t="shared" ref="L302" si="471">L290</f>
        <v>fev</v>
      </c>
      <c r="M302" s="43">
        <f t="shared" si="459"/>
        <v>1088</v>
      </c>
      <c r="N302" s="53">
        <f t="shared" si="428"/>
        <v>1281.7793664803264</v>
      </c>
      <c r="O302" s="43">
        <f t="shared" si="429"/>
        <v>326.39999999999998</v>
      </c>
      <c r="P302" s="43">
        <f t="shared" ref="P302:P360" si="472">N302-O302</f>
        <v>955.37936648032644</v>
      </c>
      <c r="Q302" s="43">
        <f t="shared" ref="Q302:Q360" si="473">M302-O302</f>
        <v>761.6</v>
      </c>
      <c r="R302" s="43">
        <f t="shared" ref="R302:R360" si="474">P302-Q302</f>
        <v>193.77936648032642</v>
      </c>
      <c r="S302" s="43">
        <f t="shared" si="434"/>
        <v>4221.1815460705202</v>
      </c>
      <c r="T302" s="43">
        <f t="shared" ref="T302:T360" si="475">MIN(Q302,P302+S301)</f>
        <v>761.6</v>
      </c>
      <c r="U302" s="50">
        <f t="shared" ref="U302:U360" si="476">T302*I302</f>
        <v>910.35005252737051</v>
      </c>
      <c r="V302" s="20">
        <f t="shared" si="430"/>
        <v>910.35005252737051</v>
      </c>
      <c r="W302" s="20">
        <f t="shared" si="431"/>
        <v>5557.692628372225</v>
      </c>
      <c r="X302" s="19">
        <f t="shared" ref="X302:X360" si="477">W302-V302</f>
        <v>4647.3425758448548</v>
      </c>
      <c r="Y302" s="46">
        <f t="shared" si="432"/>
        <v>0.83620000000000005</v>
      </c>
      <c r="Z302" s="19">
        <f t="shared" si="435"/>
        <v>673465.767582612</v>
      </c>
      <c r="AA302" s="18">
        <f t="shared" si="436"/>
        <v>0</v>
      </c>
      <c r="AC302" s="48">
        <f t="shared" si="437"/>
        <v>4647.3425758448548</v>
      </c>
    </row>
    <row r="303" spans="1:29" x14ac:dyDescent="0.2">
      <c r="A303" s="14" t="str">
        <f t="shared" ref="A303:F303" si="478">A291</f>
        <v>Março</v>
      </c>
      <c r="B303" s="14">
        <f t="shared" si="478"/>
        <v>31</v>
      </c>
      <c r="C303" s="15">
        <f t="shared" si="478"/>
        <v>4.21</v>
      </c>
      <c r="D303" s="15">
        <f t="shared" si="478"/>
        <v>4.7494613124387861</v>
      </c>
      <c r="E303" s="15">
        <f t="shared" si="478"/>
        <v>5.43</v>
      </c>
      <c r="F303" s="57">
        <f t="shared" si="478"/>
        <v>5.14</v>
      </c>
      <c r="G303" s="16">
        <f t="shared" si="469"/>
        <v>0.89759508305062141</v>
      </c>
      <c r="H303" s="15">
        <f t="shared" si="457"/>
        <v>5.8714636455926987</v>
      </c>
      <c r="I303" s="17">
        <f t="shared" si="396"/>
        <v>1.1953125689697617</v>
      </c>
      <c r="J303" s="14">
        <f t="shared" si="470"/>
        <v>279</v>
      </c>
      <c r="K303" s="25">
        <f t="shared" si="397"/>
        <v>24</v>
      </c>
      <c r="L303" s="18" t="str">
        <f t="shared" ref="L303" si="479">L291</f>
        <v>mar</v>
      </c>
      <c r="M303" s="43">
        <f t="shared" si="459"/>
        <v>1152</v>
      </c>
      <c r="N303" s="53">
        <f t="shared" si="428"/>
        <v>1289.8414547454931</v>
      </c>
      <c r="O303" s="43">
        <f t="shared" si="429"/>
        <v>345.59999999999997</v>
      </c>
      <c r="P303" s="43">
        <f t="shared" si="472"/>
        <v>944.24145474549323</v>
      </c>
      <c r="Q303" s="43">
        <f t="shared" si="473"/>
        <v>806.40000000000009</v>
      </c>
      <c r="R303" s="43">
        <f t="shared" si="474"/>
        <v>137.84145474549314</v>
      </c>
      <c r="S303" s="43">
        <f t="shared" si="434"/>
        <v>4359.0230008160133</v>
      </c>
      <c r="T303" s="43">
        <f t="shared" si="475"/>
        <v>806.40000000000009</v>
      </c>
      <c r="U303" s="50">
        <f t="shared" si="476"/>
        <v>963.90005561721591</v>
      </c>
      <c r="V303" s="20">
        <f t="shared" si="430"/>
        <v>963.90005561721591</v>
      </c>
      <c r="W303" s="20">
        <f t="shared" si="431"/>
        <v>5884.6157241588262</v>
      </c>
      <c r="X303" s="19">
        <f t="shared" si="477"/>
        <v>4920.7156685416103</v>
      </c>
      <c r="Y303" s="38">
        <f t="shared" si="432"/>
        <v>0.83619999999999994</v>
      </c>
      <c r="Z303" s="37">
        <f t="shared" si="435"/>
        <v>678386.48325115361</v>
      </c>
      <c r="AA303" s="44">
        <f t="shared" si="436"/>
        <v>0</v>
      </c>
      <c r="AC303" s="48">
        <f t="shared" si="437"/>
        <v>4920.7156685416103</v>
      </c>
    </row>
    <row r="304" spans="1:29" x14ac:dyDescent="0.2">
      <c r="A304" s="14" t="str">
        <f t="shared" ref="A304:F304" si="480">A292</f>
        <v>Abril</v>
      </c>
      <c r="B304" s="14">
        <f t="shared" si="480"/>
        <v>30</v>
      </c>
      <c r="C304" s="15">
        <f t="shared" si="480"/>
        <v>3.59</v>
      </c>
      <c r="D304" s="15">
        <f t="shared" si="480"/>
        <v>4.1465230166503426</v>
      </c>
      <c r="E304" s="15">
        <f t="shared" si="480"/>
        <v>4.91</v>
      </c>
      <c r="F304" s="57">
        <f t="shared" si="480"/>
        <v>4.97</v>
      </c>
      <c r="G304" s="16">
        <f t="shared" si="469"/>
        <v>0.89759508305062141</v>
      </c>
      <c r="H304" s="15">
        <f t="shared" si="457"/>
        <v>5.8714636455926987</v>
      </c>
      <c r="I304" s="17">
        <f t="shared" si="396"/>
        <v>1.1953125689697617</v>
      </c>
      <c r="J304" s="14">
        <f t="shared" si="470"/>
        <v>280</v>
      </c>
      <c r="K304" s="25">
        <f t="shared" si="397"/>
        <v>24</v>
      </c>
      <c r="L304" s="18" t="str">
        <f t="shared" ref="L304" si="481">L292</f>
        <v>abr</v>
      </c>
      <c r="M304" s="43">
        <f t="shared" si="459"/>
        <v>1000</v>
      </c>
      <c r="N304" s="53">
        <f t="shared" si="428"/>
        <v>1089.7719310156619</v>
      </c>
      <c r="O304" s="43">
        <f t="shared" si="429"/>
        <v>300</v>
      </c>
      <c r="P304" s="43">
        <f t="shared" si="472"/>
        <v>789.77193101566195</v>
      </c>
      <c r="Q304" s="43">
        <f t="shared" si="473"/>
        <v>700</v>
      </c>
      <c r="R304" s="43">
        <f t="shared" si="474"/>
        <v>89.771931015661949</v>
      </c>
      <c r="S304" s="43">
        <f t="shared" si="434"/>
        <v>4448.7949318316751</v>
      </c>
      <c r="T304" s="43">
        <f t="shared" si="475"/>
        <v>700</v>
      </c>
      <c r="U304" s="50">
        <f t="shared" si="476"/>
        <v>836.71879827883322</v>
      </c>
      <c r="V304" s="20">
        <f t="shared" si="430"/>
        <v>836.71879827883322</v>
      </c>
      <c r="W304" s="20">
        <f t="shared" si="431"/>
        <v>5108.1733716656481</v>
      </c>
      <c r="X304" s="19">
        <f t="shared" si="477"/>
        <v>4271.4545733868144</v>
      </c>
      <c r="Y304" s="38">
        <f t="shared" si="432"/>
        <v>0.83619999999999994</v>
      </c>
      <c r="Z304" s="37">
        <f t="shared" si="435"/>
        <v>682657.93782454042</v>
      </c>
      <c r="AA304" s="44">
        <f t="shared" si="436"/>
        <v>0</v>
      </c>
      <c r="AC304" s="48">
        <f t="shared" si="437"/>
        <v>4271.4545733868144</v>
      </c>
    </row>
    <row r="305" spans="1:29" x14ac:dyDescent="0.2">
      <c r="A305" s="14" t="str">
        <f t="shared" ref="A305:F305" si="482">A293</f>
        <v>Maio</v>
      </c>
      <c r="B305" s="14">
        <f t="shared" si="482"/>
        <v>31</v>
      </c>
      <c r="C305" s="15">
        <f t="shared" si="482"/>
        <v>2.98</v>
      </c>
      <c r="D305" s="15">
        <f t="shared" si="482"/>
        <v>3.3849167482859945</v>
      </c>
      <c r="E305" s="15">
        <f t="shared" si="482"/>
        <v>4.25</v>
      </c>
      <c r="F305" s="57">
        <f t="shared" si="482"/>
        <v>4.66</v>
      </c>
      <c r="G305" s="16">
        <f t="shared" si="469"/>
        <v>0.89759508305062141</v>
      </c>
      <c r="H305" s="15">
        <f t="shared" si="457"/>
        <v>5.8714636455926987</v>
      </c>
      <c r="I305" s="17">
        <f t="shared" si="396"/>
        <v>1.1953125689697617</v>
      </c>
      <c r="J305" s="14">
        <f t="shared" si="470"/>
        <v>281</v>
      </c>
      <c r="K305" s="25">
        <f t="shared" si="397"/>
        <v>24</v>
      </c>
      <c r="L305" s="18" t="str">
        <f t="shared" ref="L305" si="483">L293</f>
        <v>mai</v>
      </c>
      <c r="M305" s="43">
        <f t="shared" si="459"/>
        <v>1396</v>
      </c>
      <c r="N305" s="53">
        <f t="shared" si="428"/>
        <v>919.26339759144287</v>
      </c>
      <c r="O305" s="43">
        <f t="shared" si="429"/>
        <v>418.8</v>
      </c>
      <c r="P305" s="43">
        <f t="shared" si="472"/>
        <v>500.46339759144286</v>
      </c>
      <c r="Q305" s="43">
        <f t="shared" si="473"/>
        <v>977.2</v>
      </c>
      <c r="R305" s="43">
        <f t="shared" si="474"/>
        <v>-476.73660240855719</v>
      </c>
      <c r="S305" s="43">
        <f t="shared" si="434"/>
        <v>3972.0583294231178</v>
      </c>
      <c r="T305" s="43">
        <f t="shared" si="475"/>
        <v>977.2</v>
      </c>
      <c r="U305" s="50">
        <f t="shared" si="476"/>
        <v>1168.0594423972511</v>
      </c>
      <c r="V305" s="20">
        <f t="shared" si="430"/>
        <v>1168.0594423972511</v>
      </c>
      <c r="W305" s="20">
        <f t="shared" si="431"/>
        <v>7131.0100268452443</v>
      </c>
      <c r="X305" s="19">
        <f t="shared" si="477"/>
        <v>5962.9505844479936</v>
      </c>
      <c r="Y305" s="38">
        <f t="shared" si="432"/>
        <v>0.83620000000000005</v>
      </c>
      <c r="Z305" s="37">
        <f t="shared" si="435"/>
        <v>688620.88840898836</v>
      </c>
      <c r="AA305" s="44">
        <f t="shared" si="436"/>
        <v>0</v>
      </c>
      <c r="AC305" s="48">
        <f t="shared" si="437"/>
        <v>5962.9505844479936</v>
      </c>
    </row>
    <row r="306" spans="1:29" x14ac:dyDescent="0.2">
      <c r="A306" s="14" t="str">
        <f t="shared" ref="A306:F306" si="484">A294</f>
        <v>Junho</v>
      </c>
      <c r="B306" s="14">
        <f t="shared" si="484"/>
        <v>30</v>
      </c>
      <c r="C306" s="15">
        <f t="shared" si="484"/>
        <v>2.74</v>
      </c>
      <c r="D306" s="15">
        <f t="shared" si="484"/>
        <v>3.1945151811949071</v>
      </c>
      <c r="E306" s="15">
        <f t="shared" si="484"/>
        <v>3.92</v>
      </c>
      <c r="F306" s="57">
        <f t="shared" si="484"/>
        <v>4.47</v>
      </c>
      <c r="G306" s="16">
        <f t="shared" si="469"/>
        <v>0.89759508305062141</v>
      </c>
      <c r="H306" s="15">
        <f t="shared" si="457"/>
        <v>5.8714636455926987</v>
      </c>
      <c r="I306" s="17">
        <f t="shared" si="396"/>
        <v>1.1953125689697617</v>
      </c>
      <c r="J306" s="14">
        <f t="shared" si="470"/>
        <v>282</v>
      </c>
      <c r="K306" s="25">
        <f t="shared" si="397"/>
        <v>24</v>
      </c>
      <c r="L306" s="18" t="str">
        <f t="shared" ref="L306" si="485">L294</f>
        <v>jun</v>
      </c>
      <c r="M306" s="43">
        <f t="shared" si="459"/>
        <v>1428</v>
      </c>
      <c r="N306" s="53">
        <f t="shared" si="428"/>
        <v>839.56919175186204</v>
      </c>
      <c r="O306" s="43">
        <f t="shared" si="429"/>
        <v>428.4</v>
      </c>
      <c r="P306" s="43">
        <f t="shared" si="472"/>
        <v>411.16919175186206</v>
      </c>
      <c r="Q306" s="43">
        <f t="shared" si="473"/>
        <v>999.6</v>
      </c>
      <c r="R306" s="43">
        <f t="shared" si="474"/>
        <v>-588.43080824813796</v>
      </c>
      <c r="S306" s="43">
        <f t="shared" si="434"/>
        <v>3383.6275211749798</v>
      </c>
      <c r="T306" s="43">
        <f t="shared" si="475"/>
        <v>999.6</v>
      </c>
      <c r="U306" s="50">
        <f t="shared" si="476"/>
        <v>1194.8344439421737</v>
      </c>
      <c r="V306" s="20">
        <f t="shared" si="430"/>
        <v>1194.8344439421737</v>
      </c>
      <c r="W306" s="20">
        <f t="shared" si="431"/>
        <v>7294.4715747385444</v>
      </c>
      <c r="X306" s="19">
        <f t="shared" si="477"/>
        <v>6099.6371307963709</v>
      </c>
      <c r="Y306" s="38">
        <f t="shared" si="432"/>
        <v>0.83620000000000005</v>
      </c>
      <c r="Z306" s="37">
        <f t="shared" si="435"/>
        <v>694720.52553978469</v>
      </c>
      <c r="AA306" s="44">
        <f t="shared" si="436"/>
        <v>0</v>
      </c>
      <c r="AC306" s="48">
        <f t="shared" si="437"/>
        <v>6099.6371307963709</v>
      </c>
    </row>
    <row r="307" spans="1:29" x14ac:dyDescent="0.2">
      <c r="A307" s="14" t="str">
        <f t="shared" ref="A307:F307" si="486">A295</f>
        <v>Julho</v>
      </c>
      <c r="B307" s="14">
        <f t="shared" si="486"/>
        <v>31</v>
      </c>
      <c r="C307" s="15">
        <f t="shared" si="486"/>
        <v>2.91</v>
      </c>
      <c r="D307" s="15">
        <f t="shared" si="486"/>
        <v>3.4272282076395695</v>
      </c>
      <c r="E307" s="15">
        <f t="shared" si="486"/>
        <v>4.18</v>
      </c>
      <c r="F307" s="57">
        <f t="shared" si="486"/>
        <v>4.74</v>
      </c>
      <c r="G307" s="16">
        <f t="shared" si="469"/>
        <v>0.89759508305062141</v>
      </c>
      <c r="H307" s="15">
        <f t="shared" si="457"/>
        <v>5.8714636455926987</v>
      </c>
      <c r="I307" s="17">
        <f t="shared" si="396"/>
        <v>1.1953125689697617</v>
      </c>
      <c r="J307" s="14">
        <f t="shared" si="470"/>
        <v>283</v>
      </c>
      <c r="K307" s="25">
        <f t="shared" si="397"/>
        <v>24</v>
      </c>
      <c r="L307" s="18" t="str">
        <f t="shared" ref="L307" si="487">L295</f>
        <v>jul</v>
      </c>
      <c r="M307" s="43">
        <f t="shared" si="459"/>
        <v>1392</v>
      </c>
      <c r="N307" s="53">
        <f t="shared" si="428"/>
        <v>930.75419006133586</v>
      </c>
      <c r="O307" s="43">
        <f t="shared" si="429"/>
        <v>417.59999999999997</v>
      </c>
      <c r="P307" s="43">
        <f t="shared" si="472"/>
        <v>513.15419006133584</v>
      </c>
      <c r="Q307" s="43">
        <f t="shared" si="473"/>
        <v>974.40000000000009</v>
      </c>
      <c r="R307" s="43">
        <f t="shared" si="474"/>
        <v>-461.24580993866425</v>
      </c>
      <c r="S307" s="43">
        <f t="shared" si="434"/>
        <v>2922.3817112363158</v>
      </c>
      <c r="T307" s="43">
        <f t="shared" si="475"/>
        <v>974.40000000000009</v>
      </c>
      <c r="U307" s="50">
        <f t="shared" si="476"/>
        <v>1164.7125672041359</v>
      </c>
      <c r="V307" s="20">
        <f t="shared" si="430"/>
        <v>1164.7125672041359</v>
      </c>
      <c r="W307" s="20">
        <f t="shared" si="431"/>
        <v>7110.5773333585821</v>
      </c>
      <c r="X307" s="19">
        <f t="shared" si="477"/>
        <v>5945.8647661544464</v>
      </c>
      <c r="Y307" s="38">
        <f t="shared" si="432"/>
        <v>0.83620000000000005</v>
      </c>
      <c r="Z307" s="37">
        <f t="shared" si="435"/>
        <v>700666.39030593913</v>
      </c>
      <c r="AA307" s="44">
        <f t="shared" si="436"/>
        <v>0</v>
      </c>
      <c r="AC307" s="48">
        <f t="shared" si="437"/>
        <v>5945.8647661544464</v>
      </c>
    </row>
    <row r="308" spans="1:29" x14ac:dyDescent="0.2">
      <c r="A308" s="14" t="str">
        <f t="shared" ref="A308:F308" si="488">A296</f>
        <v>Agosto</v>
      </c>
      <c r="B308" s="14">
        <f t="shared" si="488"/>
        <v>31</v>
      </c>
      <c r="C308" s="15">
        <f t="shared" si="488"/>
        <v>3.45</v>
      </c>
      <c r="D308" s="15">
        <f t="shared" si="488"/>
        <v>4.1147894221351615</v>
      </c>
      <c r="E308" s="15">
        <f t="shared" si="488"/>
        <v>4.83</v>
      </c>
      <c r="F308" s="57">
        <f t="shared" si="488"/>
        <v>5.21</v>
      </c>
      <c r="G308" s="16">
        <f t="shared" si="469"/>
        <v>0.89759508305062141</v>
      </c>
      <c r="H308" s="15">
        <f t="shared" si="457"/>
        <v>5.8714636455926987</v>
      </c>
      <c r="I308" s="17">
        <f t="shared" si="396"/>
        <v>1.1953125689697617</v>
      </c>
      <c r="J308" s="14">
        <f t="shared" si="470"/>
        <v>284</v>
      </c>
      <c r="K308" s="25">
        <f t="shared" si="397"/>
        <v>24</v>
      </c>
      <c r="L308" s="18" t="str">
        <f t="shared" ref="L308" si="489">L296</f>
        <v>ago</v>
      </c>
      <c r="M308" s="43">
        <f t="shared" si="459"/>
        <v>1520</v>
      </c>
      <c r="N308" s="53">
        <f t="shared" si="428"/>
        <v>1117.4795676970978</v>
      </c>
      <c r="O308" s="43">
        <f t="shared" si="429"/>
        <v>456</v>
      </c>
      <c r="P308" s="43">
        <f t="shared" si="472"/>
        <v>661.47956769709776</v>
      </c>
      <c r="Q308" s="43">
        <f t="shared" si="473"/>
        <v>1064</v>
      </c>
      <c r="R308" s="43">
        <f t="shared" si="474"/>
        <v>-402.52043230290224</v>
      </c>
      <c r="S308" s="43">
        <f t="shared" si="434"/>
        <v>2519.8612789334138</v>
      </c>
      <c r="T308" s="43">
        <f t="shared" si="475"/>
        <v>1064</v>
      </c>
      <c r="U308" s="50">
        <f t="shared" si="476"/>
        <v>1271.8125733838265</v>
      </c>
      <c r="V308" s="20">
        <f t="shared" si="430"/>
        <v>1271.8125733838265</v>
      </c>
      <c r="W308" s="20">
        <f t="shared" si="431"/>
        <v>7764.4235249317853</v>
      </c>
      <c r="X308" s="19">
        <f t="shared" si="477"/>
        <v>6492.6109515479584</v>
      </c>
      <c r="Y308" s="38">
        <f t="shared" si="432"/>
        <v>0.83619999999999994</v>
      </c>
      <c r="Z308" s="37">
        <f t="shared" si="435"/>
        <v>707159.00125748711</v>
      </c>
      <c r="AA308" s="44">
        <f t="shared" si="436"/>
        <v>0</v>
      </c>
      <c r="AC308" s="48">
        <f t="shared" si="437"/>
        <v>6492.6109515479584</v>
      </c>
    </row>
    <row r="309" spans="1:29" x14ac:dyDescent="0.2">
      <c r="A309" s="14" t="str">
        <f t="shared" ref="A309:F309" si="490">A297</f>
        <v>Setembro</v>
      </c>
      <c r="B309" s="14">
        <f t="shared" si="490"/>
        <v>30</v>
      </c>
      <c r="C309" s="15">
        <f t="shared" si="490"/>
        <v>3.82</v>
      </c>
      <c r="D309" s="15">
        <f t="shared" si="490"/>
        <v>4.2417238001958868</v>
      </c>
      <c r="E309" s="15">
        <f t="shared" si="490"/>
        <v>5.12</v>
      </c>
      <c r="F309" s="57">
        <f t="shared" si="490"/>
        <v>5.1100000000000003</v>
      </c>
      <c r="G309" s="16">
        <f t="shared" si="469"/>
        <v>0.89759508305062141</v>
      </c>
      <c r="H309" s="15">
        <f t="shared" si="457"/>
        <v>5.8714636455926987</v>
      </c>
      <c r="I309" s="17">
        <f t="shared" si="396"/>
        <v>1.1953125689697617</v>
      </c>
      <c r="J309" s="14">
        <f t="shared" si="470"/>
        <v>285</v>
      </c>
      <c r="K309" s="25">
        <f t="shared" si="397"/>
        <v>24</v>
      </c>
      <c r="L309" s="18" t="str">
        <f t="shared" ref="L309" si="491">L297</f>
        <v>set</v>
      </c>
      <c r="M309" s="43">
        <f t="shared" si="459"/>
        <v>1400</v>
      </c>
      <c r="N309" s="53">
        <f t="shared" si="428"/>
        <v>1114.7922049420422</v>
      </c>
      <c r="O309" s="43">
        <f t="shared" si="429"/>
        <v>420</v>
      </c>
      <c r="P309" s="43">
        <f t="shared" si="472"/>
        <v>694.79220494204219</v>
      </c>
      <c r="Q309" s="43">
        <f t="shared" si="473"/>
        <v>980</v>
      </c>
      <c r="R309" s="43">
        <f t="shared" si="474"/>
        <v>-285.20779505795781</v>
      </c>
      <c r="S309" s="43">
        <f t="shared" si="434"/>
        <v>2234.653483875456</v>
      </c>
      <c r="T309" s="43">
        <f t="shared" si="475"/>
        <v>980</v>
      </c>
      <c r="U309" s="50">
        <f t="shared" si="476"/>
        <v>1171.4063175903664</v>
      </c>
      <c r="V309" s="20">
        <f t="shared" si="430"/>
        <v>1171.4063175903664</v>
      </c>
      <c r="W309" s="20">
        <f t="shared" si="431"/>
        <v>7151.4427203319074</v>
      </c>
      <c r="X309" s="19">
        <f t="shared" si="477"/>
        <v>5980.0364027415408</v>
      </c>
      <c r="Y309" s="38">
        <f t="shared" si="432"/>
        <v>0.83619999999999994</v>
      </c>
      <c r="Z309" s="37">
        <f t="shared" si="435"/>
        <v>713139.03766022867</v>
      </c>
      <c r="AA309" s="44">
        <f t="shared" si="436"/>
        <v>0</v>
      </c>
      <c r="AC309" s="48">
        <f t="shared" si="437"/>
        <v>5980.0364027415408</v>
      </c>
    </row>
    <row r="310" spans="1:29" x14ac:dyDescent="0.2">
      <c r="A310" s="14" t="str">
        <f t="shared" ref="A310:F310" si="492">A298</f>
        <v>Outubro</v>
      </c>
      <c r="B310" s="14">
        <f t="shared" si="492"/>
        <v>31</v>
      </c>
      <c r="C310" s="15">
        <f t="shared" si="492"/>
        <v>4.33</v>
      </c>
      <c r="D310" s="15">
        <f t="shared" si="492"/>
        <v>4.8763956904995114</v>
      </c>
      <c r="E310" s="15">
        <f t="shared" si="492"/>
        <v>5.57</v>
      </c>
      <c r="F310" s="57">
        <f t="shared" si="492"/>
        <v>5.17</v>
      </c>
      <c r="G310" s="16">
        <f t="shared" si="469"/>
        <v>0.89759508305062141</v>
      </c>
      <c r="H310" s="15">
        <f t="shared" si="457"/>
        <v>5.8714636455926987</v>
      </c>
      <c r="I310" s="17">
        <f t="shared" si="396"/>
        <v>1.1953125689697617</v>
      </c>
      <c r="J310" s="14">
        <f t="shared" si="470"/>
        <v>286</v>
      </c>
      <c r="K310" s="25">
        <f t="shared" si="397"/>
        <v>24</v>
      </c>
      <c r="L310" s="18" t="str">
        <f t="shared" ref="L310" si="493">L298</f>
        <v>out</v>
      </c>
      <c r="M310" s="43">
        <f t="shared" si="459"/>
        <v>1340</v>
      </c>
      <c r="N310" s="53">
        <f t="shared" si="428"/>
        <v>1324.3138321551723</v>
      </c>
      <c r="O310" s="43">
        <f t="shared" si="429"/>
        <v>402</v>
      </c>
      <c r="P310" s="43">
        <f t="shared" si="472"/>
        <v>922.31383215517235</v>
      </c>
      <c r="Q310" s="43">
        <f t="shared" si="473"/>
        <v>938</v>
      </c>
      <c r="R310" s="43">
        <f t="shared" si="474"/>
        <v>-15.686167844827651</v>
      </c>
      <c r="S310" s="43">
        <f t="shared" si="434"/>
        <v>2218.9673160306284</v>
      </c>
      <c r="T310" s="43">
        <f t="shared" si="475"/>
        <v>938</v>
      </c>
      <c r="U310" s="50">
        <f t="shared" si="476"/>
        <v>1121.2031896936364</v>
      </c>
      <c r="V310" s="20">
        <f t="shared" si="430"/>
        <v>1121.2031896936364</v>
      </c>
      <c r="W310" s="20">
        <f t="shared" si="431"/>
        <v>6844.9523180319675</v>
      </c>
      <c r="X310" s="19">
        <f t="shared" si="477"/>
        <v>5723.7491283383315</v>
      </c>
      <c r="Y310" s="38">
        <f t="shared" si="432"/>
        <v>0.83620000000000005</v>
      </c>
      <c r="Z310" s="37">
        <f t="shared" si="435"/>
        <v>718862.78678856697</v>
      </c>
      <c r="AA310" s="44">
        <f t="shared" si="436"/>
        <v>0</v>
      </c>
      <c r="AC310" s="48">
        <f t="shared" si="437"/>
        <v>5723.7491283383315</v>
      </c>
    </row>
    <row r="311" spans="1:29" x14ac:dyDescent="0.2">
      <c r="A311" s="14" t="str">
        <f t="shared" ref="A311:F311" si="494">A299</f>
        <v>Novembro</v>
      </c>
      <c r="B311" s="14">
        <f t="shared" si="494"/>
        <v>30</v>
      </c>
      <c r="C311" s="15">
        <f t="shared" si="494"/>
        <v>4.68</v>
      </c>
      <c r="D311" s="15">
        <f t="shared" si="494"/>
        <v>5.5745347698334964</v>
      </c>
      <c r="E311" s="15">
        <f t="shared" si="494"/>
        <v>5.89</v>
      </c>
      <c r="F311" s="57">
        <f t="shared" si="494"/>
        <v>5.23</v>
      </c>
      <c r="G311" s="16">
        <f t="shared" si="469"/>
        <v>0.89759508305062141</v>
      </c>
      <c r="H311" s="15">
        <f t="shared" si="457"/>
        <v>5.8714636455926987</v>
      </c>
      <c r="I311" s="17">
        <f t="shared" si="396"/>
        <v>1.1953125689697617</v>
      </c>
      <c r="J311" s="14">
        <f t="shared" si="470"/>
        <v>287</v>
      </c>
      <c r="K311" s="25">
        <f t="shared" si="397"/>
        <v>24</v>
      </c>
      <c r="L311" s="18" t="str">
        <f t="shared" ref="L311" si="495">L299</f>
        <v>nov</v>
      </c>
      <c r="M311" s="43">
        <f t="shared" si="459"/>
        <v>1288</v>
      </c>
      <c r="N311" s="53">
        <f t="shared" si="428"/>
        <v>1465.0760399113619</v>
      </c>
      <c r="O311" s="43">
        <f t="shared" si="429"/>
        <v>386.4</v>
      </c>
      <c r="P311" s="43">
        <f t="shared" si="472"/>
        <v>1078.6760399113618</v>
      </c>
      <c r="Q311" s="43">
        <f t="shared" si="473"/>
        <v>901.6</v>
      </c>
      <c r="R311" s="43">
        <f t="shared" si="474"/>
        <v>177.07603991136182</v>
      </c>
      <c r="S311" s="43">
        <f t="shared" si="434"/>
        <v>2396.0433559419903</v>
      </c>
      <c r="T311" s="43">
        <f t="shared" si="475"/>
        <v>901.6</v>
      </c>
      <c r="U311" s="50">
        <f t="shared" si="476"/>
        <v>1077.6938121831372</v>
      </c>
      <c r="V311" s="20">
        <f t="shared" si="430"/>
        <v>1077.6938121831372</v>
      </c>
      <c r="W311" s="20">
        <f t="shared" si="431"/>
        <v>6579.3273027053538</v>
      </c>
      <c r="X311" s="19">
        <f t="shared" si="477"/>
        <v>5501.6334905222166</v>
      </c>
      <c r="Y311" s="38">
        <f t="shared" si="432"/>
        <v>0.83619999999999994</v>
      </c>
      <c r="Z311" s="37">
        <f t="shared" si="435"/>
        <v>724364.42027908913</v>
      </c>
      <c r="AA311" s="44">
        <f t="shared" si="436"/>
        <v>0</v>
      </c>
      <c r="AC311" s="48">
        <f t="shared" si="437"/>
        <v>5501.6334905222166</v>
      </c>
    </row>
    <row r="312" spans="1:29" x14ac:dyDescent="0.2">
      <c r="A312" s="14" t="str">
        <f t="shared" ref="A312:F312" si="496">A300</f>
        <v>Dezembro</v>
      </c>
      <c r="B312" s="14">
        <f t="shared" si="496"/>
        <v>31</v>
      </c>
      <c r="C312" s="15">
        <f t="shared" si="496"/>
        <v>4.8499999999999996</v>
      </c>
      <c r="D312" s="15">
        <f t="shared" si="496"/>
        <v>5.6062683643486775</v>
      </c>
      <c r="E312" s="15">
        <f t="shared" si="496"/>
        <v>6.05</v>
      </c>
      <c r="F312" s="57">
        <f t="shared" si="496"/>
        <v>5.29</v>
      </c>
      <c r="G312" s="16">
        <f t="shared" si="469"/>
        <v>0.89759508305062141</v>
      </c>
      <c r="H312" s="15">
        <f t="shared" si="457"/>
        <v>5.8714636455926987</v>
      </c>
      <c r="I312" s="17">
        <f t="shared" si="396"/>
        <v>1.1953125689697617</v>
      </c>
      <c r="J312" s="14">
        <f t="shared" si="470"/>
        <v>288</v>
      </c>
      <c r="K312" s="25">
        <f t="shared" si="397"/>
        <v>24</v>
      </c>
      <c r="L312" s="18" t="str">
        <f t="shared" ref="L312" si="497">L300</f>
        <v>dez</v>
      </c>
      <c r="M312" s="43">
        <f t="shared" si="459"/>
        <v>1140</v>
      </c>
      <c r="N312" s="53">
        <f t="shared" si="428"/>
        <v>1522.5300022608269</v>
      </c>
      <c r="O312" s="43">
        <f t="shared" si="429"/>
        <v>342</v>
      </c>
      <c r="P312" s="43">
        <f t="shared" si="472"/>
        <v>1180.5300022608269</v>
      </c>
      <c r="Q312" s="43">
        <f t="shared" si="473"/>
        <v>798</v>
      </c>
      <c r="R312" s="43">
        <f t="shared" si="474"/>
        <v>382.5300022608269</v>
      </c>
      <c r="S312" s="43">
        <f t="shared" si="434"/>
        <v>2778.573358202817</v>
      </c>
      <c r="T312" s="43">
        <f t="shared" si="475"/>
        <v>798</v>
      </c>
      <c r="U312" s="50">
        <f t="shared" si="476"/>
        <v>953.85943003786986</v>
      </c>
      <c r="V312" s="20">
        <f t="shared" si="430"/>
        <v>953.85943003786986</v>
      </c>
      <c r="W312" s="20">
        <f t="shared" si="431"/>
        <v>5823.3176436988388</v>
      </c>
      <c r="X312" s="19">
        <f t="shared" si="477"/>
        <v>4869.4582136609688</v>
      </c>
      <c r="Y312" s="38">
        <f t="shared" si="432"/>
        <v>0.83619999999999994</v>
      </c>
      <c r="Z312" s="37">
        <f t="shared" si="435"/>
        <v>729233.87849275011</v>
      </c>
      <c r="AA312" s="44">
        <f t="shared" si="436"/>
        <v>0</v>
      </c>
      <c r="AC312" s="48">
        <f t="shared" si="437"/>
        <v>4869.4582136609688</v>
      </c>
    </row>
    <row r="313" spans="1:29" x14ac:dyDescent="0.2">
      <c r="A313" s="14" t="str">
        <f t="shared" ref="A313:F313" si="498">A301</f>
        <v>Janeiro</v>
      </c>
      <c r="B313" s="14">
        <f t="shared" si="498"/>
        <v>30</v>
      </c>
      <c r="C313" s="15">
        <f t="shared" si="498"/>
        <v>4.87</v>
      </c>
      <c r="D313" s="15">
        <f t="shared" si="498"/>
        <v>5.4581782566111663</v>
      </c>
      <c r="E313" s="15">
        <f t="shared" si="498"/>
        <v>6.01</v>
      </c>
      <c r="F313" s="57">
        <f t="shared" si="498"/>
        <v>5.31</v>
      </c>
      <c r="G313" s="16">
        <f t="shared" si="469"/>
        <v>0.89360617050154456</v>
      </c>
      <c r="H313" s="15">
        <f t="shared" si="457"/>
        <v>6.3411807372401148</v>
      </c>
      <c r="I313" s="17">
        <f t="shared" si="396"/>
        <v>1.2909375744873426</v>
      </c>
      <c r="J313" s="14">
        <f t="shared" si="470"/>
        <v>289</v>
      </c>
      <c r="K313" s="25">
        <f t="shared" si="397"/>
        <v>25</v>
      </c>
      <c r="L313" s="18" t="str">
        <f t="shared" ref="L313" si="499">L301</f>
        <v>jan</v>
      </c>
      <c r="M313" s="43">
        <f t="shared" si="459"/>
        <v>836</v>
      </c>
      <c r="N313" s="53">
        <f t="shared" si="428"/>
        <v>1428.1208061989335</v>
      </c>
      <c r="O313" s="43">
        <f t="shared" si="429"/>
        <v>250.79999999999998</v>
      </c>
      <c r="P313" s="43">
        <f t="shared" si="472"/>
        <v>1177.3208061989335</v>
      </c>
      <c r="Q313" s="43">
        <f t="shared" si="473"/>
        <v>585.20000000000005</v>
      </c>
      <c r="R313" s="43">
        <f t="shared" si="474"/>
        <v>592.12080619893345</v>
      </c>
      <c r="S313" s="43">
        <f t="shared" si="434"/>
        <v>3370.6941644017506</v>
      </c>
      <c r="T313" s="43">
        <f t="shared" si="475"/>
        <v>585.20000000000005</v>
      </c>
      <c r="U313" s="50">
        <f t="shared" si="476"/>
        <v>755.45666858999289</v>
      </c>
      <c r="V313" s="20">
        <f t="shared" si="430"/>
        <v>755.45666858999289</v>
      </c>
      <c r="W313" s="20">
        <f t="shared" si="431"/>
        <v>4612.0675738094806</v>
      </c>
      <c r="X313" s="19">
        <f t="shared" si="477"/>
        <v>3856.6109052194879</v>
      </c>
      <c r="Y313" s="38">
        <f t="shared" si="432"/>
        <v>0.83620000000000005</v>
      </c>
      <c r="Z313" s="37">
        <f t="shared" si="435"/>
        <v>733090.48939796956</v>
      </c>
      <c r="AA313" s="44">
        <f t="shared" si="436"/>
        <v>0</v>
      </c>
      <c r="AC313" s="48">
        <f t="shared" si="437"/>
        <v>3856.6109052194879</v>
      </c>
    </row>
    <row r="314" spans="1:29" x14ac:dyDescent="0.2">
      <c r="A314" s="14" t="str">
        <f t="shared" ref="A314:F314" si="500">A302</f>
        <v>Fevereiro</v>
      </c>
      <c r="B314" s="14">
        <f t="shared" si="500"/>
        <v>28</v>
      </c>
      <c r="C314" s="15">
        <f t="shared" si="500"/>
        <v>4.75</v>
      </c>
      <c r="D314" s="15">
        <f t="shared" si="500"/>
        <v>5.2254652301665043</v>
      </c>
      <c r="E314" s="15">
        <f t="shared" si="500"/>
        <v>5.82</v>
      </c>
      <c r="F314" s="57">
        <f t="shared" si="500"/>
        <v>5.28</v>
      </c>
      <c r="G314" s="16">
        <f t="shared" si="469"/>
        <v>0.89360617050154456</v>
      </c>
      <c r="H314" s="15">
        <f t="shared" si="457"/>
        <v>6.3411807372401148</v>
      </c>
      <c r="I314" s="17">
        <f t="shared" si="396"/>
        <v>1.2909375744873426</v>
      </c>
      <c r="J314" s="14">
        <f t="shared" si="470"/>
        <v>290</v>
      </c>
      <c r="K314" s="25">
        <f t="shared" si="397"/>
        <v>25</v>
      </c>
      <c r="L314" s="18" t="str">
        <f t="shared" ref="L314" si="501">L302</f>
        <v>fev</v>
      </c>
      <c r="M314" s="43">
        <f t="shared" si="459"/>
        <v>1088</v>
      </c>
      <c r="N314" s="53">
        <f t="shared" si="428"/>
        <v>1276.0831389756879</v>
      </c>
      <c r="O314" s="43">
        <f t="shared" si="429"/>
        <v>326.39999999999998</v>
      </c>
      <c r="P314" s="43">
        <f t="shared" si="472"/>
        <v>949.68313897568794</v>
      </c>
      <c r="Q314" s="43">
        <f t="shared" si="473"/>
        <v>761.6</v>
      </c>
      <c r="R314" s="43">
        <f t="shared" si="474"/>
        <v>188.08313897568792</v>
      </c>
      <c r="S314" s="43">
        <f t="shared" si="434"/>
        <v>3558.7773033774383</v>
      </c>
      <c r="T314" s="43">
        <f t="shared" si="475"/>
        <v>761.6</v>
      </c>
      <c r="U314" s="50">
        <f t="shared" si="476"/>
        <v>983.17805672956013</v>
      </c>
      <c r="V314" s="20">
        <f t="shared" si="430"/>
        <v>983.17805672956013</v>
      </c>
      <c r="W314" s="20">
        <f t="shared" si="431"/>
        <v>6002.3080386420024</v>
      </c>
      <c r="X314" s="19">
        <f t="shared" si="477"/>
        <v>5019.1299819124424</v>
      </c>
      <c r="Y314" s="38">
        <f t="shared" si="432"/>
        <v>0.83619999999999994</v>
      </c>
      <c r="Z314" s="37">
        <f t="shared" si="435"/>
        <v>738109.619379882</v>
      </c>
      <c r="AA314" s="44">
        <f t="shared" si="436"/>
        <v>0</v>
      </c>
      <c r="AC314" s="48">
        <f t="shared" si="437"/>
        <v>5019.1299819124424</v>
      </c>
    </row>
    <row r="315" spans="1:29" x14ac:dyDescent="0.2">
      <c r="A315" s="14" t="str">
        <f t="shared" ref="A315:F315" si="502">A303</f>
        <v>Março</v>
      </c>
      <c r="B315" s="14">
        <f t="shared" si="502"/>
        <v>31</v>
      </c>
      <c r="C315" s="15">
        <f t="shared" si="502"/>
        <v>4.21</v>
      </c>
      <c r="D315" s="15">
        <f t="shared" si="502"/>
        <v>4.7494613124387861</v>
      </c>
      <c r="E315" s="15">
        <f t="shared" si="502"/>
        <v>5.43</v>
      </c>
      <c r="F315" s="57">
        <f t="shared" si="502"/>
        <v>5.14</v>
      </c>
      <c r="G315" s="16">
        <f t="shared" si="469"/>
        <v>0.89360617050154456</v>
      </c>
      <c r="H315" s="15">
        <f t="shared" si="457"/>
        <v>6.3411807372401148</v>
      </c>
      <c r="I315" s="17">
        <f t="shared" si="396"/>
        <v>1.2909375744873426</v>
      </c>
      <c r="J315" s="14">
        <f t="shared" si="470"/>
        <v>291</v>
      </c>
      <c r="K315" s="25">
        <f t="shared" si="397"/>
        <v>25</v>
      </c>
      <c r="L315" s="18" t="str">
        <f t="shared" ref="L315" si="503">L303</f>
        <v>mar</v>
      </c>
      <c r="M315" s="43">
        <f t="shared" si="459"/>
        <v>1152</v>
      </c>
      <c r="N315" s="53">
        <f t="shared" si="428"/>
        <v>1284.1093993206043</v>
      </c>
      <c r="O315" s="43">
        <f t="shared" si="429"/>
        <v>345.59999999999997</v>
      </c>
      <c r="P315" s="43">
        <f t="shared" si="472"/>
        <v>938.50939932060442</v>
      </c>
      <c r="Q315" s="43">
        <f t="shared" si="473"/>
        <v>806.40000000000009</v>
      </c>
      <c r="R315" s="43">
        <f t="shared" si="474"/>
        <v>132.10939932060433</v>
      </c>
      <c r="S315" s="43">
        <f t="shared" si="434"/>
        <v>3690.8867026980424</v>
      </c>
      <c r="T315" s="43">
        <f t="shared" si="475"/>
        <v>806.40000000000009</v>
      </c>
      <c r="U315" s="50">
        <f t="shared" si="476"/>
        <v>1041.0120600665932</v>
      </c>
      <c r="V315" s="20">
        <f t="shared" si="430"/>
        <v>1041.0120600665932</v>
      </c>
      <c r="W315" s="20">
        <f t="shared" si="431"/>
        <v>6355.3849820915329</v>
      </c>
      <c r="X315" s="19">
        <f t="shared" si="477"/>
        <v>5314.3729220249397</v>
      </c>
      <c r="Y315" s="38">
        <f t="shared" si="432"/>
        <v>0.83619999999999994</v>
      </c>
      <c r="Z315" s="37">
        <f t="shared" si="435"/>
        <v>743423.99230190692</v>
      </c>
      <c r="AA315" s="44">
        <f t="shared" si="436"/>
        <v>0</v>
      </c>
      <c r="AC315" s="48">
        <f t="shared" si="437"/>
        <v>5314.3729220249397</v>
      </c>
    </row>
    <row r="316" spans="1:29" x14ac:dyDescent="0.2">
      <c r="A316" s="14" t="str">
        <f t="shared" ref="A316:F316" si="504">A304</f>
        <v>Abril</v>
      </c>
      <c r="B316" s="14">
        <f t="shared" si="504"/>
        <v>30</v>
      </c>
      <c r="C316" s="15">
        <f t="shared" si="504"/>
        <v>3.59</v>
      </c>
      <c r="D316" s="15">
        <f t="shared" si="504"/>
        <v>4.1465230166503426</v>
      </c>
      <c r="E316" s="15">
        <f t="shared" si="504"/>
        <v>4.91</v>
      </c>
      <c r="F316" s="57">
        <f t="shared" si="504"/>
        <v>4.97</v>
      </c>
      <c r="G316" s="16">
        <f t="shared" si="469"/>
        <v>0.89360617050154456</v>
      </c>
      <c r="H316" s="15">
        <f t="shared" si="457"/>
        <v>6.3411807372401148</v>
      </c>
      <c r="I316" s="17">
        <f t="shared" si="396"/>
        <v>1.2909375744873426</v>
      </c>
      <c r="J316" s="14">
        <f t="shared" si="470"/>
        <v>292</v>
      </c>
      <c r="K316" s="25">
        <f t="shared" si="397"/>
        <v>25</v>
      </c>
      <c r="L316" s="18" t="str">
        <f t="shared" ref="L316" si="505">L304</f>
        <v>abr</v>
      </c>
      <c r="M316" s="43">
        <f t="shared" si="459"/>
        <v>1000</v>
      </c>
      <c r="N316" s="53">
        <f t="shared" si="428"/>
        <v>1084.9289845542285</v>
      </c>
      <c r="O316" s="43">
        <f t="shared" si="429"/>
        <v>300</v>
      </c>
      <c r="P316" s="43">
        <f t="shared" si="472"/>
        <v>784.92898455422846</v>
      </c>
      <c r="Q316" s="43">
        <f t="shared" si="473"/>
        <v>700</v>
      </c>
      <c r="R316" s="43">
        <f t="shared" si="474"/>
        <v>84.928984554228464</v>
      </c>
      <c r="S316" s="43">
        <f t="shared" si="434"/>
        <v>3775.8156872522709</v>
      </c>
      <c r="T316" s="43">
        <f t="shared" si="475"/>
        <v>700</v>
      </c>
      <c r="U316" s="50">
        <f t="shared" si="476"/>
        <v>903.6563021411398</v>
      </c>
      <c r="V316" s="20">
        <f t="shared" si="430"/>
        <v>903.6563021411398</v>
      </c>
      <c r="W316" s="20">
        <f t="shared" si="431"/>
        <v>5516.8272413988998</v>
      </c>
      <c r="X316" s="19">
        <f t="shared" si="477"/>
        <v>4613.1709392577595</v>
      </c>
      <c r="Y316" s="38">
        <f t="shared" si="432"/>
        <v>0.83619999999999994</v>
      </c>
      <c r="Z316" s="37">
        <f t="shared" si="435"/>
        <v>748037.16324116464</v>
      </c>
      <c r="AA316" s="44">
        <f t="shared" si="436"/>
        <v>0</v>
      </c>
      <c r="AC316" s="48">
        <f t="shared" si="437"/>
        <v>4613.1709392577595</v>
      </c>
    </row>
    <row r="317" spans="1:29" x14ac:dyDescent="0.2">
      <c r="A317" s="14" t="str">
        <f t="shared" ref="A317:F317" si="506">A305</f>
        <v>Maio</v>
      </c>
      <c r="B317" s="14">
        <f t="shared" si="506"/>
        <v>31</v>
      </c>
      <c r="C317" s="15">
        <f t="shared" si="506"/>
        <v>2.98</v>
      </c>
      <c r="D317" s="15">
        <f t="shared" si="506"/>
        <v>3.3849167482859945</v>
      </c>
      <c r="E317" s="15">
        <f t="shared" si="506"/>
        <v>4.25</v>
      </c>
      <c r="F317" s="57">
        <f t="shared" si="506"/>
        <v>4.66</v>
      </c>
      <c r="G317" s="16">
        <f t="shared" si="469"/>
        <v>0.89360617050154456</v>
      </c>
      <c r="H317" s="15">
        <f t="shared" si="457"/>
        <v>6.3411807372401148</v>
      </c>
      <c r="I317" s="17">
        <f t="shared" si="396"/>
        <v>1.2909375744873426</v>
      </c>
      <c r="J317" s="14">
        <f t="shared" si="470"/>
        <v>293</v>
      </c>
      <c r="K317" s="25">
        <f t="shared" si="397"/>
        <v>25</v>
      </c>
      <c r="L317" s="18" t="str">
        <f t="shared" ref="L317" si="507">L305</f>
        <v>mai</v>
      </c>
      <c r="M317" s="43">
        <f t="shared" si="459"/>
        <v>1396</v>
      </c>
      <c r="N317" s="53">
        <f t="shared" si="428"/>
        <v>915.17819105254659</v>
      </c>
      <c r="O317" s="43">
        <f t="shared" si="429"/>
        <v>418.8</v>
      </c>
      <c r="P317" s="43">
        <f t="shared" si="472"/>
        <v>496.37819105254658</v>
      </c>
      <c r="Q317" s="43">
        <f t="shared" si="473"/>
        <v>977.2</v>
      </c>
      <c r="R317" s="43">
        <f t="shared" si="474"/>
        <v>-480.82180894745346</v>
      </c>
      <c r="S317" s="43">
        <f t="shared" si="434"/>
        <v>3294.9938783048174</v>
      </c>
      <c r="T317" s="43">
        <f t="shared" si="475"/>
        <v>977.2</v>
      </c>
      <c r="U317" s="50">
        <f t="shared" si="476"/>
        <v>1261.5041977890312</v>
      </c>
      <c r="V317" s="20">
        <f t="shared" si="430"/>
        <v>1261.5041977890312</v>
      </c>
      <c r="W317" s="20">
        <f t="shared" si="431"/>
        <v>7701.4908289928644</v>
      </c>
      <c r="X317" s="19">
        <f t="shared" si="477"/>
        <v>6439.986631203833</v>
      </c>
      <c r="Y317" s="38">
        <f t="shared" si="432"/>
        <v>0.83619999999999994</v>
      </c>
      <c r="Z317" s="37">
        <f t="shared" si="435"/>
        <v>754477.14987236843</v>
      </c>
      <c r="AA317" s="44">
        <f t="shared" si="436"/>
        <v>0</v>
      </c>
      <c r="AC317" s="48">
        <f t="shared" si="437"/>
        <v>6439.986631203833</v>
      </c>
    </row>
    <row r="318" spans="1:29" x14ac:dyDescent="0.2">
      <c r="A318" s="14" t="str">
        <f t="shared" ref="A318:F318" si="508">A306</f>
        <v>Junho</v>
      </c>
      <c r="B318" s="14">
        <f t="shared" si="508"/>
        <v>30</v>
      </c>
      <c r="C318" s="15">
        <f t="shared" si="508"/>
        <v>2.74</v>
      </c>
      <c r="D318" s="15">
        <f t="shared" si="508"/>
        <v>3.1945151811949071</v>
      </c>
      <c r="E318" s="15">
        <f t="shared" si="508"/>
        <v>3.92</v>
      </c>
      <c r="F318" s="57">
        <f t="shared" si="508"/>
        <v>4.47</v>
      </c>
      <c r="G318" s="16">
        <f t="shared" si="469"/>
        <v>0.89360617050154456</v>
      </c>
      <c r="H318" s="15">
        <f t="shared" si="457"/>
        <v>6.3411807372401148</v>
      </c>
      <c r="I318" s="17">
        <f t="shared" ref="I318:I381" si="509">$F$2*$B$2*H318*$G$6</f>
        <v>1.2909375744873426</v>
      </c>
      <c r="J318" s="14">
        <f t="shared" si="470"/>
        <v>294</v>
      </c>
      <c r="K318" s="25">
        <f t="shared" ref="K318:K381" si="510">K306+1</f>
        <v>25</v>
      </c>
      <c r="L318" s="18" t="str">
        <f t="shared" ref="L318" si="511">L306</f>
        <v>jun</v>
      </c>
      <c r="M318" s="43">
        <f t="shared" si="459"/>
        <v>1428</v>
      </c>
      <c r="N318" s="53">
        <f t="shared" si="428"/>
        <v>835.83814626371679</v>
      </c>
      <c r="O318" s="43">
        <f t="shared" si="429"/>
        <v>428.4</v>
      </c>
      <c r="P318" s="43">
        <f t="shared" si="472"/>
        <v>407.43814626371682</v>
      </c>
      <c r="Q318" s="43">
        <f t="shared" si="473"/>
        <v>999.6</v>
      </c>
      <c r="R318" s="43">
        <f t="shared" si="474"/>
        <v>-592.16185373628321</v>
      </c>
      <c r="S318" s="43">
        <f t="shared" si="434"/>
        <v>2702.8320245685341</v>
      </c>
      <c r="T318" s="43">
        <f t="shared" si="475"/>
        <v>999.6</v>
      </c>
      <c r="U318" s="50">
        <f t="shared" si="476"/>
        <v>1290.4211994575476</v>
      </c>
      <c r="V318" s="20">
        <f t="shared" si="430"/>
        <v>1290.4211994575476</v>
      </c>
      <c r="W318" s="20">
        <f t="shared" si="431"/>
        <v>7878.0293007176288</v>
      </c>
      <c r="X318" s="19">
        <f t="shared" si="477"/>
        <v>6587.6081012600807</v>
      </c>
      <c r="Y318" s="38">
        <f t="shared" si="432"/>
        <v>0.83619999999999994</v>
      </c>
      <c r="Z318" s="37">
        <f t="shared" si="435"/>
        <v>761064.75797362847</v>
      </c>
      <c r="AA318" s="44">
        <f t="shared" si="436"/>
        <v>0</v>
      </c>
      <c r="AC318" s="48">
        <f t="shared" si="437"/>
        <v>6587.6081012600807</v>
      </c>
    </row>
    <row r="319" spans="1:29" x14ac:dyDescent="0.2">
      <c r="A319" s="14" t="str">
        <f t="shared" ref="A319:F319" si="512">A307</f>
        <v>Julho</v>
      </c>
      <c r="B319" s="14">
        <f t="shared" si="512"/>
        <v>31</v>
      </c>
      <c r="C319" s="15">
        <f t="shared" si="512"/>
        <v>2.91</v>
      </c>
      <c r="D319" s="15">
        <f t="shared" si="512"/>
        <v>3.4272282076395695</v>
      </c>
      <c r="E319" s="15">
        <f t="shared" si="512"/>
        <v>4.18</v>
      </c>
      <c r="F319" s="57">
        <f t="shared" si="512"/>
        <v>4.74</v>
      </c>
      <c r="G319" s="16">
        <f t="shared" si="469"/>
        <v>0.89360617050154456</v>
      </c>
      <c r="H319" s="15">
        <f t="shared" si="457"/>
        <v>6.3411807372401148</v>
      </c>
      <c r="I319" s="17">
        <f t="shared" si="509"/>
        <v>1.2909375744873426</v>
      </c>
      <c r="J319" s="14">
        <f t="shared" si="470"/>
        <v>295</v>
      </c>
      <c r="K319" s="25">
        <f t="shared" si="510"/>
        <v>25</v>
      </c>
      <c r="L319" s="18" t="str">
        <f t="shared" ref="L319" si="513">L307</f>
        <v>jul</v>
      </c>
      <c r="M319" s="43">
        <f t="shared" si="459"/>
        <v>1392</v>
      </c>
      <c r="N319" s="53">
        <f t="shared" si="428"/>
        <v>926.61791844070342</v>
      </c>
      <c r="O319" s="43">
        <f t="shared" si="429"/>
        <v>417.59999999999997</v>
      </c>
      <c r="P319" s="43">
        <f t="shared" si="472"/>
        <v>509.01791844070345</v>
      </c>
      <c r="Q319" s="43">
        <f t="shared" si="473"/>
        <v>974.40000000000009</v>
      </c>
      <c r="R319" s="43">
        <f t="shared" si="474"/>
        <v>-465.38208155929664</v>
      </c>
      <c r="S319" s="43">
        <f t="shared" si="434"/>
        <v>2237.4499430092374</v>
      </c>
      <c r="T319" s="43">
        <f t="shared" si="475"/>
        <v>974.40000000000009</v>
      </c>
      <c r="U319" s="50">
        <f t="shared" si="476"/>
        <v>1257.8895725804668</v>
      </c>
      <c r="V319" s="20">
        <f t="shared" si="430"/>
        <v>1257.8895725804668</v>
      </c>
      <c r="W319" s="20">
        <f t="shared" si="431"/>
        <v>7679.4235200272688</v>
      </c>
      <c r="X319" s="19">
        <f t="shared" si="477"/>
        <v>6421.5339474468019</v>
      </c>
      <c r="Y319" s="38">
        <f t="shared" si="432"/>
        <v>0.83619999999999994</v>
      </c>
      <c r="Z319" s="37">
        <f t="shared" si="435"/>
        <v>767486.29192107532</v>
      </c>
      <c r="AA319" s="44">
        <f t="shared" si="436"/>
        <v>0</v>
      </c>
      <c r="AC319" s="48">
        <f t="shared" si="437"/>
        <v>6421.5339474468019</v>
      </c>
    </row>
    <row r="320" spans="1:29" x14ac:dyDescent="0.2">
      <c r="A320" s="14" t="str">
        <f t="shared" ref="A320:F320" si="514">A308</f>
        <v>Agosto</v>
      </c>
      <c r="B320" s="14">
        <f t="shared" si="514"/>
        <v>31</v>
      </c>
      <c r="C320" s="15">
        <f t="shared" si="514"/>
        <v>3.45</v>
      </c>
      <c r="D320" s="15">
        <f t="shared" si="514"/>
        <v>4.1147894221351615</v>
      </c>
      <c r="E320" s="15">
        <f t="shared" si="514"/>
        <v>4.83</v>
      </c>
      <c r="F320" s="57">
        <f t="shared" si="514"/>
        <v>5.21</v>
      </c>
      <c r="G320" s="16">
        <f t="shared" si="469"/>
        <v>0.89360617050154456</v>
      </c>
      <c r="H320" s="15">
        <f t="shared" si="457"/>
        <v>6.3411807372401148</v>
      </c>
      <c r="I320" s="17">
        <f t="shared" si="509"/>
        <v>1.2909375744873426</v>
      </c>
      <c r="J320" s="14">
        <f t="shared" si="470"/>
        <v>296</v>
      </c>
      <c r="K320" s="25">
        <f t="shared" si="510"/>
        <v>25</v>
      </c>
      <c r="L320" s="18" t="str">
        <f t="shared" ref="L320" si="515">L308</f>
        <v>ago</v>
      </c>
      <c r="M320" s="43">
        <f t="shared" si="459"/>
        <v>1520</v>
      </c>
      <c r="N320" s="53">
        <f t="shared" si="428"/>
        <v>1112.5134884982519</v>
      </c>
      <c r="O320" s="43">
        <f t="shared" si="429"/>
        <v>456</v>
      </c>
      <c r="P320" s="43">
        <f t="shared" si="472"/>
        <v>656.51348849825195</v>
      </c>
      <c r="Q320" s="43">
        <f t="shared" si="473"/>
        <v>1064</v>
      </c>
      <c r="R320" s="43">
        <f t="shared" si="474"/>
        <v>-407.48651150174805</v>
      </c>
      <c r="S320" s="43">
        <f t="shared" si="434"/>
        <v>1829.9634315074893</v>
      </c>
      <c r="T320" s="43">
        <f t="shared" si="475"/>
        <v>1064</v>
      </c>
      <c r="U320" s="50">
        <f t="shared" si="476"/>
        <v>1373.5575792545326</v>
      </c>
      <c r="V320" s="20">
        <f t="shared" si="430"/>
        <v>1373.5575792545326</v>
      </c>
      <c r="W320" s="20">
        <f t="shared" si="431"/>
        <v>8385.577406926328</v>
      </c>
      <c r="X320" s="19">
        <f t="shared" si="477"/>
        <v>7012.0198276717956</v>
      </c>
      <c r="Y320" s="38">
        <f t="shared" si="432"/>
        <v>0.83620000000000005</v>
      </c>
      <c r="Z320" s="37">
        <f t="shared" si="435"/>
        <v>774498.31174874713</v>
      </c>
      <c r="AA320" s="44">
        <f t="shared" si="436"/>
        <v>0</v>
      </c>
      <c r="AC320" s="48">
        <f t="shared" si="437"/>
        <v>7012.0198276717956</v>
      </c>
    </row>
    <row r="321" spans="1:29" x14ac:dyDescent="0.2">
      <c r="A321" s="14" t="str">
        <f t="shared" ref="A321:F321" si="516">A309</f>
        <v>Setembro</v>
      </c>
      <c r="B321" s="14">
        <f t="shared" si="516"/>
        <v>30</v>
      </c>
      <c r="C321" s="15">
        <f t="shared" si="516"/>
        <v>3.82</v>
      </c>
      <c r="D321" s="15">
        <f t="shared" si="516"/>
        <v>4.2417238001958868</v>
      </c>
      <c r="E321" s="15">
        <f t="shared" si="516"/>
        <v>5.12</v>
      </c>
      <c r="F321" s="57">
        <f t="shared" si="516"/>
        <v>5.1100000000000003</v>
      </c>
      <c r="G321" s="16">
        <f t="shared" si="469"/>
        <v>0.89360617050154456</v>
      </c>
      <c r="H321" s="15">
        <f t="shared" si="457"/>
        <v>6.3411807372401148</v>
      </c>
      <c r="I321" s="17">
        <f t="shared" si="509"/>
        <v>1.2909375744873426</v>
      </c>
      <c r="J321" s="14">
        <f t="shared" si="470"/>
        <v>297</v>
      </c>
      <c r="K321" s="25">
        <f t="shared" si="510"/>
        <v>25</v>
      </c>
      <c r="L321" s="18" t="str">
        <f t="shared" ref="L321" si="517">L309</f>
        <v>set</v>
      </c>
      <c r="M321" s="43">
        <f t="shared" si="459"/>
        <v>1400</v>
      </c>
      <c r="N321" s="53">
        <f t="shared" si="428"/>
        <v>1109.83806838328</v>
      </c>
      <c r="O321" s="43">
        <f t="shared" si="429"/>
        <v>420</v>
      </c>
      <c r="P321" s="43">
        <f t="shared" si="472"/>
        <v>689.83806838327996</v>
      </c>
      <c r="Q321" s="43">
        <f t="shared" si="473"/>
        <v>980</v>
      </c>
      <c r="R321" s="43">
        <f t="shared" si="474"/>
        <v>-290.16193161672004</v>
      </c>
      <c r="S321" s="43">
        <f t="shared" si="434"/>
        <v>1539.8014998907693</v>
      </c>
      <c r="T321" s="43">
        <f t="shared" si="475"/>
        <v>980</v>
      </c>
      <c r="U321" s="50">
        <f t="shared" si="476"/>
        <v>1265.1188229975958</v>
      </c>
      <c r="V321" s="20">
        <f t="shared" si="430"/>
        <v>1265.1188229975958</v>
      </c>
      <c r="W321" s="20">
        <f t="shared" si="431"/>
        <v>7723.5581379584601</v>
      </c>
      <c r="X321" s="19">
        <f t="shared" si="477"/>
        <v>6458.4393149608641</v>
      </c>
      <c r="Y321" s="38">
        <f t="shared" si="432"/>
        <v>0.83619999999999994</v>
      </c>
      <c r="Z321" s="37">
        <f t="shared" si="435"/>
        <v>780956.75106370798</v>
      </c>
      <c r="AA321" s="44">
        <f t="shared" si="436"/>
        <v>0</v>
      </c>
      <c r="AC321" s="48">
        <f t="shared" si="437"/>
        <v>6458.4393149608641</v>
      </c>
    </row>
    <row r="322" spans="1:29" x14ac:dyDescent="0.2">
      <c r="A322" s="14" t="str">
        <f t="shared" ref="A322:F322" si="518">A310</f>
        <v>Outubro</v>
      </c>
      <c r="B322" s="14">
        <f t="shared" si="518"/>
        <v>31</v>
      </c>
      <c r="C322" s="15">
        <f t="shared" si="518"/>
        <v>4.33</v>
      </c>
      <c r="D322" s="15">
        <f t="shared" si="518"/>
        <v>4.8763956904995114</v>
      </c>
      <c r="E322" s="15">
        <f t="shared" si="518"/>
        <v>5.57</v>
      </c>
      <c r="F322" s="57">
        <f t="shared" si="518"/>
        <v>5.17</v>
      </c>
      <c r="G322" s="16">
        <f t="shared" si="469"/>
        <v>0.89360617050154456</v>
      </c>
      <c r="H322" s="15">
        <f t="shared" si="457"/>
        <v>6.3411807372401148</v>
      </c>
      <c r="I322" s="17">
        <f t="shared" si="509"/>
        <v>1.2909375744873426</v>
      </c>
      <c r="J322" s="14">
        <f t="shared" si="470"/>
        <v>298</v>
      </c>
      <c r="K322" s="25">
        <f t="shared" si="510"/>
        <v>25</v>
      </c>
      <c r="L322" s="18" t="str">
        <f t="shared" ref="L322" si="519">L310</f>
        <v>out</v>
      </c>
      <c r="M322" s="43">
        <f t="shared" si="459"/>
        <v>1340</v>
      </c>
      <c r="N322" s="53">
        <f t="shared" si="428"/>
        <v>1318.4285814850748</v>
      </c>
      <c r="O322" s="43">
        <f t="shared" si="429"/>
        <v>402</v>
      </c>
      <c r="P322" s="43">
        <f t="shared" si="472"/>
        <v>916.4285814850748</v>
      </c>
      <c r="Q322" s="43">
        <f t="shared" si="473"/>
        <v>938</v>
      </c>
      <c r="R322" s="43">
        <f t="shared" si="474"/>
        <v>-21.571418514925199</v>
      </c>
      <c r="S322" s="43">
        <f t="shared" si="434"/>
        <v>1518.2300813758441</v>
      </c>
      <c r="T322" s="43">
        <f t="shared" si="475"/>
        <v>938</v>
      </c>
      <c r="U322" s="50">
        <f t="shared" si="476"/>
        <v>1210.8994448691274</v>
      </c>
      <c r="V322" s="20">
        <f t="shared" si="430"/>
        <v>1210.8994448691274</v>
      </c>
      <c r="W322" s="20">
        <f t="shared" si="431"/>
        <v>7392.5485034745252</v>
      </c>
      <c r="X322" s="19">
        <f t="shared" si="477"/>
        <v>6181.6490586053978</v>
      </c>
      <c r="Y322" s="38">
        <f t="shared" si="432"/>
        <v>0.83619999999999994</v>
      </c>
      <c r="Z322" s="37">
        <f t="shared" si="435"/>
        <v>787138.40012231341</v>
      </c>
      <c r="AA322" s="44">
        <f t="shared" si="436"/>
        <v>0</v>
      </c>
      <c r="AC322" s="48">
        <f t="shared" si="437"/>
        <v>6181.6490586053978</v>
      </c>
    </row>
    <row r="323" spans="1:29" x14ac:dyDescent="0.2">
      <c r="A323" s="14" t="str">
        <f t="shared" ref="A323:F323" si="520">A311</f>
        <v>Novembro</v>
      </c>
      <c r="B323" s="14">
        <f t="shared" si="520"/>
        <v>30</v>
      </c>
      <c r="C323" s="15">
        <f t="shared" si="520"/>
        <v>4.68</v>
      </c>
      <c r="D323" s="15">
        <f t="shared" si="520"/>
        <v>5.5745347698334964</v>
      </c>
      <c r="E323" s="15">
        <f t="shared" si="520"/>
        <v>5.89</v>
      </c>
      <c r="F323" s="57">
        <f t="shared" si="520"/>
        <v>5.23</v>
      </c>
      <c r="G323" s="16">
        <f t="shared" si="469"/>
        <v>0.89360617050154456</v>
      </c>
      <c r="H323" s="15">
        <f t="shared" si="457"/>
        <v>6.3411807372401148</v>
      </c>
      <c r="I323" s="17">
        <f t="shared" si="509"/>
        <v>1.2909375744873426</v>
      </c>
      <c r="J323" s="14">
        <f t="shared" si="470"/>
        <v>299</v>
      </c>
      <c r="K323" s="25">
        <f t="shared" si="510"/>
        <v>25</v>
      </c>
      <c r="L323" s="18" t="str">
        <f t="shared" ref="L323" si="521">L311</f>
        <v>nov</v>
      </c>
      <c r="M323" s="43">
        <f t="shared" si="459"/>
        <v>1288</v>
      </c>
      <c r="N323" s="53">
        <f t="shared" si="428"/>
        <v>1458.5652419899959</v>
      </c>
      <c r="O323" s="43">
        <f t="shared" si="429"/>
        <v>386.4</v>
      </c>
      <c r="P323" s="43">
        <f t="shared" si="472"/>
        <v>1072.165241989996</v>
      </c>
      <c r="Q323" s="43">
        <f t="shared" si="473"/>
        <v>901.6</v>
      </c>
      <c r="R323" s="43">
        <f t="shared" si="474"/>
        <v>170.56524198999603</v>
      </c>
      <c r="S323" s="43">
        <f t="shared" si="434"/>
        <v>1688.79532336584</v>
      </c>
      <c r="T323" s="43">
        <f t="shared" si="475"/>
        <v>901.6</v>
      </c>
      <c r="U323" s="50">
        <f t="shared" si="476"/>
        <v>1163.9093171577881</v>
      </c>
      <c r="V323" s="20">
        <f t="shared" si="430"/>
        <v>1163.9093171577881</v>
      </c>
      <c r="W323" s="20">
        <f t="shared" si="431"/>
        <v>7105.6734869217826</v>
      </c>
      <c r="X323" s="19">
        <f t="shared" si="477"/>
        <v>5941.7641697639947</v>
      </c>
      <c r="Y323" s="38">
        <f t="shared" si="432"/>
        <v>0.83620000000000005</v>
      </c>
      <c r="Z323" s="37">
        <f t="shared" si="435"/>
        <v>793080.16429207742</v>
      </c>
      <c r="AA323" s="44">
        <f t="shared" si="436"/>
        <v>0</v>
      </c>
      <c r="AC323" s="48">
        <f t="shared" si="437"/>
        <v>5941.7641697639947</v>
      </c>
    </row>
    <row r="324" spans="1:29" x14ac:dyDescent="0.2">
      <c r="A324" s="14" t="str">
        <f t="shared" ref="A324:F324" si="522">A312</f>
        <v>Dezembro</v>
      </c>
      <c r="B324" s="14">
        <f t="shared" si="522"/>
        <v>31</v>
      </c>
      <c r="C324" s="15">
        <f t="shared" si="522"/>
        <v>4.8499999999999996</v>
      </c>
      <c r="D324" s="15">
        <f t="shared" si="522"/>
        <v>5.6062683643486775</v>
      </c>
      <c r="E324" s="15">
        <f t="shared" si="522"/>
        <v>6.05</v>
      </c>
      <c r="F324" s="57">
        <f t="shared" si="522"/>
        <v>5.29</v>
      </c>
      <c r="G324" s="16">
        <f t="shared" si="469"/>
        <v>0.89360617050154456</v>
      </c>
      <c r="H324" s="15">
        <f t="shared" si="457"/>
        <v>6.3411807372401148</v>
      </c>
      <c r="I324" s="17">
        <f t="shared" si="509"/>
        <v>1.2909375744873426</v>
      </c>
      <c r="J324" s="14">
        <f t="shared" si="470"/>
        <v>300</v>
      </c>
      <c r="K324" s="25">
        <f t="shared" si="510"/>
        <v>25</v>
      </c>
      <c r="L324" s="18" t="str">
        <f t="shared" ref="L324" si="523">L312</f>
        <v>dez</v>
      </c>
      <c r="M324" s="43">
        <f t="shared" si="459"/>
        <v>1140</v>
      </c>
      <c r="N324" s="53">
        <f t="shared" si="428"/>
        <v>1515.76387893078</v>
      </c>
      <c r="O324" s="43">
        <f t="shared" si="429"/>
        <v>342</v>
      </c>
      <c r="P324" s="43">
        <f t="shared" si="472"/>
        <v>1173.76387893078</v>
      </c>
      <c r="Q324" s="43">
        <f t="shared" si="473"/>
        <v>798</v>
      </c>
      <c r="R324" s="43">
        <f t="shared" si="474"/>
        <v>375.76387893078004</v>
      </c>
      <c r="S324" s="43">
        <f t="shared" si="434"/>
        <v>2064.5592022966202</v>
      </c>
      <c r="T324" s="43">
        <f t="shared" si="475"/>
        <v>798</v>
      </c>
      <c r="U324" s="50">
        <f t="shared" si="476"/>
        <v>1030.1681844408995</v>
      </c>
      <c r="V324" s="20">
        <f t="shared" si="430"/>
        <v>1030.1681844408995</v>
      </c>
      <c r="W324" s="20">
        <f t="shared" si="431"/>
        <v>6289.183055194746</v>
      </c>
      <c r="X324" s="19">
        <f t="shared" si="477"/>
        <v>5259.0148707538465</v>
      </c>
      <c r="Y324" s="38">
        <f t="shared" si="432"/>
        <v>0.83619999999999994</v>
      </c>
      <c r="Z324" s="37">
        <f t="shared" si="435"/>
        <v>798339.17916283128</v>
      </c>
      <c r="AA324" s="44">
        <f t="shared" si="436"/>
        <v>0</v>
      </c>
      <c r="AC324" s="48">
        <f t="shared" si="437"/>
        <v>5259.0148707538465</v>
      </c>
    </row>
    <row r="325" spans="1:29" x14ac:dyDescent="0.2">
      <c r="A325" s="14" t="str">
        <f t="shared" ref="A325:F325" si="524">A313</f>
        <v>Janeiro</v>
      </c>
      <c r="B325" s="14">
        <f t="shared" si="524"/>
        <v>30</v>
      </c>
      <c r="C325" s="15">
        <f t="shared" si="524"/>
        <v>4.87</v>
      </c>
      <c r="D325" s="15">
        <f t="shared" si="524"/>
        <v>5.4581782566111663</v>
      </c>
      <c r="E325" s="15">
        <f t="shared" si="524"/>
        <v>6.01</v>
      </c>
      <c r="F325" s="57">
        <f t="shared" si="524"/>
        <v>5.31</v>
      </c>
      <c r="G325" s="16">
        <f t="shared" si="469"/>
        <v>0.88963498467983559</v>
      </c>
      <c r="H325" s="15">
        <f t="shared" si="457"/>
        <v>6.8484751962193249</v>
      </c>
      <c r="I325" s="17">
        <f t="shared" si="509"/>
        <v>1.3942125804463303</v>
      </c>
      <c r="J325" s="14">
        <f t="shared" si="470"/>
        <v>301</v>
      </c>
      <c r="K325" s="25">
        <f t="shared" si="510"/>
        <v>26</v>
      </c>
      <c r="L325" s="18" t="str">
        <f t="shared" ref="L325" si="525">L313</f>
        <v>jan</v>
      </c>
      <c r="M325" s="43">
        <f t="shared" si="459"/>
        <v>836</v>
      </c>
      <c r="N325" s="53">
        <f t="shared" si="428"/>
        <v>1421.7742373361853</v>
      </c>
      <c r="O325" s="43">
        <f t="shared" si="429"/>
        <v>250.79999999999998</v>
      </c>
      <c r="P325" s="43">
        <f t="shared" si="472"/>
        <v>1170.9742373361853</v>
      </c>
      <c r="Q325" s="43">
        <f t="shared" si="473"/>
        <v>585.20000000000005</v>
      </c>
      <c r="R325" s="43">
        <f t="shared" si="474"/>
        <v>585.77423733618525</v>
      </c>
      <c r="S325" s="43">
        <f t="shared" si="434"/>
        <v>2650.3334396328055</v>
      </c>
      <c r="T325" s="43">
        <f t="shared" si="475"/>
        <v>585.20000000000005</v>
      </c>
      <c r="U325" s="50">
        <f t="shared" si="476"/>
        <v>815.89320207719254</v>
      </c>
      <c r="V325" s="20">
        <f t="shared" si="430"/>
        <v>815.89320207719254</v>
      </c>
      <c r="W325" s="20">
        <f t="shared" si="431"/>
        <v>4981.0329797142394</v>
      </c>
      <c r="X325" s="19">
        <f t="shared" si="477"/>
        <v>4165.1397776370468</v>
      </c>
      <c r="Y325" s="38">
        <f t="shared" si="432"/>
        <v>0.83619999999999994</v>
      </c>
      <c r="Z325" s="37">
        <f t="shared" si="435"/>
        <v>802504.31894046837</v>
      </c>
      <c r="AA325" s="44">
        <f t="shared" si="436"/>
        <v>0</v>
      </c>
      <c r="AC325" s="48">
        <f t="shared" si="437"/>
        <v>4165.1397776370468</v>
      </c>
    </row>
    <row r="326" spans="1:29" x14ac:dyDescent="0.2">
      <c r="A326" s="14" t="str">
        <f t="shared" ref="A326:F326" si="526">A314</f>
        <v>Fevereiro</v>
      </c>
      <c r="B326" s="14">
        <f t="shared" si="526"/>
        <v>28</v>
      </c>
      <c r="C326" s="15">
        <f t="shared" si="526"/>
        <v>4.75</v>
      </c>
      <c r="D326" s="15">
        <f t="shared" si="526"/>
        <v>5.2254652301665043</v>
      </c>
      <c r="E326" s="15">
        <f t="shared" si="526"/>
        <v>5.82</v>
      </c>
      <c r="F326" s="57">
        <f t="shared" si="526"/>
        <v>5.28</v>
      </c>
      <c r="G326" s="16">
        <f t="shared" si="469"/>
        <v>0.88963498467983559</v>
      </c>
      <c r="H326" s="15">
        <f t="shared" si="457"/>
        <v>6.8484751962193249</v>
      </c>
      <c r="I326" s="17">
        <f t="shared" si="509"/>
        <v>1.3942125804463303</v>
      </c>
      <c r="J326" s="14">
        <f t="shared" si="470"/>
        <v>302</v>
      </c>
      <c r="K326" s="25">
        <f t="shared" si="510"/>
        <v>26</v>
      </c>
      <c r="L326" s="18" t="str">
        <f t="shared" ref="L326" si="527">L314</f>
        <v>fev</v>
      </c>
      <c r="M326" s="43">
        <f t="shared" si="459"/>
        <v>1088</v>
      </c>
      <c r="N326" s="53">
        <f t="shared" si="428"/>
        <v>1270.4122255060799</v>
      </c>
      <c r="O326" s="43">
        <f t="shared" si="429"/>
        <v>326.39999999999998</v>
      </c>
      <c r="P326" s="43">
        <f t="shared" si="472"/>
        <v>944.01222550607997</v>
      </c>
      <c r="Q326" s="43">
        <f t="shared" si="473"/>
        <v>761.6</v>
      </c>
      <c r="R326" s="43">
        <f t="shared" si="474"/>
        <v>182.41222550607995</v>
      </c>
      <c r="S326" s="43">
        <f t="shared" si="434"/>
        <v>2832.7456651388857</v>
      </c>
      <c r="T326" s="43">
        <f t="shared" si="475"/>
        <v>761.6</v>
      </c>
      <c r="U326" s="50">
        <f t="shared" si="476"/>
        <v>1061.8323012679252</v>
      </c>
      <c r="V326" s="20">
        <f t="shared" si="430"/>
        <v>1061.8323012679252</v>
      </c>
      <c r="W326" s="20">
        <f t="shared" si="431"/>
        <v>6482.4926817333635</v>
      </c>
      <c r="X326" s="19">
        <f t="shared" si="477"/>
        <v>5420.6603804654387</v>
      </c>
      <c r="Y326" s="38">
        <f t="shared" si="432"/>
        <v>0.83620000000000005</v>
      </c>
      <c r="Z326" s="37">
        <f t="shared" si="435"/>
        <v>807924.97932093381</v>
      </c>
      <c r="AA326" s="44">
        <f t="shared" si="436"/>
        <v>0</v>
      </c>
      <c r="AC326" s="48">
        <f t="shared" si="437"/>
        <v>5420.6603804654387</v>
      </c>
    </row>
    <row r="327" spans="1:29" x14ac:dyDescent="0.2">
      <c r="A327" s="14" t="str">
        <f t="shared" ref="A327:F327" si="528">A315</f>
        <v>Março</v>
      </c>
      <c r="B327" s="14">
        <f t="shared" si="528"/>
        <v>31</v>
      </c>
      <c r="C327" s="15">
        <f t="shared" si="528"/>
        <v>4.21</v>
      </c>
      <c r="D327" s="15">
        <f t="shared" si="528"/>
        <v>4.7494613124387861</v>
      </c>
      <c r="E327" s="15">
        <f t="shared" si="528"/>
        <v>5.43</v>
      </c>
      <c r="F327" s="57">
        <f t="shared" si="528"/>
        <v>5.14</v>
      </c>
      <c r="G327" s="16">
        <f t="shared" si="469"/>
        <v>0.88963498467983559</v>
      </c>
      <c r="H327" s="15">
        <f t="shared" si="457"/>
        <v>6.8484751962193249</v>
      </c>
      <c r="I327" s="17">
        <f t="shared" si="509"/>
        <v>1.3942125804463303</v>
      </c>
      <c r="J327" s="14">
        <f t="shared" si="470"/>
        <v>303</v>
      </c>
      <c r="K327" s="25">
        <f t="shared" si="510"/>
        <v>26</v>
      </c>
      <c r="L327" s="18" t="str">
        <f t="shared" ref="L327" si="529">L315</f>
        <v>mar</v>
      </c>
      <c r="M327" s="43">
        <f t="shared" si="459"/>
        <v>1152</v>
      </c>
      <c r="N327" s="53">
        <f t="shared" si="428"/>
        <v>1278.4028171500236</v>
      </c>
      <c r="O327" s="43">
        <f t="shared" si="429"/>
        <v>345.59999999999997</v>
      </c>
      <c r="P327" s="43">
        <f t="shared" si="472"/>
        <v>932.80281715002366</v>
      </c>
      <c r="Q327" s="43">
        <f t="shared" si="473"/>
        <v>806.40000000000009</v>
      </c>
      <c r="R327" s="43">
        <f t="shared" si="474"/>
        <v>126.40281715002357</v>
      </c>
      <c r="S327" s="43">
        <f t="shared" si="434"/>
        <v>2959.1484822889092</v>
      </c>
      <c r="T327" s="43">
        <f t="shared" si="475"/>
        <v>806.40000000000009</v>
      </c>
      <c r="U327" s="50">
        <f t="shared" si="476"/>
        <v>1124.2930248719208</v>
      </c>
      <c r="V327" s="20">
        <f t="shared" si="430"/>
        <v>1124.2930248719208</v>
      </c>
      <c r="W327" s="20">
        <f t="shared" si="431"/>
        <v>6863.8157806588561</v>
      </c>
      <c r="X327" s="19">
        <f t="shared" si="477"/>
        <v>5739.5227557869348</v>
      </c>
      <c r="Y327" s="38">
        <f t="shared" si="432"/>
        <v>0.83619999999999994</v>
      </c>
      <c r="Z327" s="37">
        <f t="shared" si="435"/>
        <v>813664.5020767207</v>
      </c>
      <c r="AA327" s="44">
        <f t="shared" si="436"/>
        <v>0</v>
      </c>
      <c r="AC327" s="48">
        <f t="shared" si="437"/>
        <v>5739.5227557869348</v>
      </c>
    </row>
    <row r="328" spans="1:29" x14ac:dyDescent="0.2">
      <c r="A328" s="14" t="str">
        <f t="shared" ref="A328:F328" si="530">A316</f>
        <v>Abril</v>
      </c>
      <c r="B328" s="14">
        <f t="shared" si="530"/>
        <v>30</v>
      </c>
      <c r="C328" s="15">
        <f t="shared" si="530"/>
        <v>3.59</v>
      </c>
      <c r="D328" s="15">
        <f t="shared" si="530"/>
        <v>4.1465230166503426</v>
      </c>
      <c r="E328" s="15">
        <f t="shared" si="530"/>
        <v>4.91</v>
      </c>
      <c r="F328" s="57">
        <f t="shared" si="530"/>
        <v>4.97</v>
      </c>
      <c r="G328" s="16">
        <f t="shared" si="469"/>
        <v>0.88963498467983559</v>
      </c>
      <c r="H328" s="15">
        <f t="shared" si="457"/>
        <v>6.8484751962193249</v>
      </c>
      <c r="I328" s="17">
        <f t="shared" si="509"/>
        <v>1.3942125804463303</v>
      </c>
      <c r="J328" s="14">
        <f t="shared" si="470"/>
        <v>304</v>
      </c>
      <c r="K328" s="25">
        <f t="shared" si="510"/>
        <v>26</v>
      </c>
      <c r="L328" s="18" t="str">
        <f t="shared" ref="L328" si="531">L316</f>
        <v>abr</v>
      </c>
      <c r="M328" s="43">
        <f t="shared" si="459"/>
        <v>1000</v>
      </c>
      <c r="N328" s="53">
        <f t="shared" si="428"/>
        <v>1080.1075601468692</v>
      </c>
      <c r="O328" s="43">
        <f t="shared" si="429"/>
        <v>300</v>
      </c>
      <c r="P328" s="43">
        <f t="shared" si="472"/>
        <v>780.10756014686922</v>
      </c>
      <c r="Q328" s="43">
        <f t="shared" si="473"/>
        <v>700</v>
      </c>
      <c r="R328" s="43">
        <f t="shared" si="474"/>
        <v>80.107560146869218</v>
      </c>
      <c r="S328" s="43">
        <f t="shared" si="434"/>
        <v>3039.2560424357785</v>
      </c>
      <c r="T328" s="43">
        <f t="shared" si="475"/>
        <v>700</v>
      </c>
      <c r="U328" s="50">
        <f t="shared" si="476"/>
        <v>975.9488063124312</v>
      </c>
      <c r="V328" s="20">
        <f t="shared" si="430"/>
        <v>975.9488063124312</v>
      </c>
      <c r="W328" s="20">
        <f t="shared" si="431"/>
        <v>5958.1734207108129</v>
      </c>
      <c r="X328" s="19">
        <f t="shared" si="477"/>
        <v>4982.2246143983821</v>
      </c>
      <c r="Y328" s="38">
        <f t="shared" si="432"/>
        <v>0.83620000000000005</v>
      </c>
      <c r="Z328" s="37">
        <f t="shared" si="435"/>
        <v>818646.72669111914</v>
      </c>
      <c r="AA328" s="44">
        <f t="shared" si="436"/>
        <v>0</v>
      </c>
      <c r="AC328" s="48">
        <f t="shared" si="437"/>
        <v>4982.2246143983821</v>
      </c>
    </row>
    <row r="329" spans="1:29" x14ac:dyDescent="0.2">
      <c r="A329" s="14" t="str">
        <f t="shared" ref="A329:F329" si="532">A317</f>
        <v>Maio</v>
      </c>
      <c r="B329" s="14">
        <f t="shared" si="532"/>
        <v>31</v>
      </c>
      <c r="C329" s="15">
        <f t="shared" si="532"/>
        <v>2.98</v>
      </c>
      <c r="D329" s="15">
        <f t="shared" si="532"/>
        <v>3.3849167482859945</v>
      </c>
      <c r="E329" s="15">
        <f t="shared" si="532"/>
        <v>4.25</v>
      </c>
      <c r="F329" s="57">
        <f t="shared" si="532"/>
        <v>4.66</v>
      </c>
      <c r="G329" s="16">
        <f t="shared" si="469"/>
        <v>0.88963498467983559</v>
      </c>
      <c r="H329" s="15">
        <f t="shared" si="457"/>
        <v>6.8484751962193249</v>
      </c>
      <c r="I329" s="17">
        <f t="shared" si="509"/>
        <v>1.3942125804463303</v>
      </c>
      <c r="J329" s="14">
        <f t="shared" si="470"/>
        <v>305</v>
      </c>
      <c r="K329" s="25">
        <f t="shared" si="510"/>
        <v>26</v>
      </c>
      <c r="L329" s="18" t="str">
        <f t="shared" ref="L329" si="533">L317</f>
        <v>mai</v>
      </c>
      <c r="M329" s="43">
        <f t="shared" si="459"/>
        <v>1396</v>
      </c>
      <c r="N329" s="53">
        <f t="shared" si="428"/>
        <v>911.11113917150897</v>
      </c>
      <c r="O329" s="43">
        <f t="shared" si="429"/>
        <v>418.8</v>
      </c>
      <c r="P329" s="43">
        <f t="shared" si="472"/>
        <v>492.31113917150896</v>
      </c>
      <c r="Q329" s="43">
        <f t="shared" si="473"/>
        <v>977.2</v>
      </c>
      <c r="R329" s="43">
        <f t="shared" si="474"/>
        <v>-484.88886082849109</v>
      </c>
      <c r="S329" s="43">
        <f t="shared" si="434"/>
        <v>2554.3671816072874</v>
      </c>
      <c r="T329" s="43">
        <f t="shared" si="475"/>
        <v>977.2</v>
      </c>
      <c r="U329" s="50">
        <f t="shared" si="476"/>
        <v>1362.4245336121542</v>
      </c>
      <c r="V329" s="20">
        <f t="shared" si="430"/>
        <v>1362.4245336121542</v>
      </c>
      <c r="W329" s="20">
        <f t="shared" si="431"/>
        <v>8317.610095312295</v>
      </c>
      <c r="X329" s="19">
        <f t="shared" si="477"/>
        <v>6955.1855617001411</v>
      </c>
      <c r="Y329" s="38">
        <f t="shared" si="432"/>
        <v>0.83619999999999994</v>
      </c>
      <c r="Z329" s="37">
        <f t="shared" si="435"/>
        <v>825601.91225281928</v>
      </c>
      <c r="AA329" s="44">
        <f t="shared" si="436"/>
        <v>0</v>
      </c>
      <c r="AC329" s="48">
        <f t="shared" si="437"/>
        <v>6955.1855617001411</v>
      </c>
    </row>
    <row r="330" spans="1:29" x14ac:dyDescent="0.2">
      <c r="A330" s="14" t="str">
        <f t="shared" ref="A330:F330" si="534">A318</f>
        <v>Junho</v>
      </c>
      <c r="B330" s="14">
        <f t="shared" si="534"/>
        <v>30</v>
      </c>
      <c r="C330" s="15">
        <f t="shared" si="534"/>
        <v>2.74</v>
      </c>
      <c r="D330" s="15">
        <f t="shared" si="534"/>
        <v>3.1945151811949071</v>
      </c>
      <c r="E330" s="15">
        <f t="shared" si="534"/>
        <v>3.92</v>
      </c>
      <c r="F330" s="57">
        <f t="shared" si="534"/>
        <v>4.47</v>
      </c>
      <c r="G330" s="16">
        <f t="shared" si="469"/>
        <v>0.88963498467983559</v>
      </c>
      <c r="H330" s="15">
        <f t="shared" si="457"/>
        <v>6.8484751962193249</v>
      </c>
      <c r="I330" s="17">
        <f t="shared" si="509"/>
        <v>1.3942125804463303</v>
      </c>
      <c r="J330" s="14">
        <f t="shared" si="470"/>
        <v>306</v>
      </c>
      <c r="K330" s="25">
        <f t="shared" si="510"/>
        <v>26</v>
      </c>
      <c r="L330" s="18" t="str">
        <f t="shared" ref="L330" si="535">L318</f>
        <v>jun</v>
      </c>
      <c r="M330" s="43">
        <f t="shared" si="459"/>
        <v>1428</v>
      </c>
      <c r="N330" s="53">
        <f t="shared" si="428"/>
        <v>832.12368154172077</v>
      </c>
      <c r="O330" s="43">
        <f t="shared" si="429"/>
        <v>428.4</v>
      </c>
      <c r="P330" s="43">
        <f t="shared" si="472"/>
        <v>403.72368154172079</v>
      </c>
      <c r="Q330" s="43">
        <f t="shared" si="473"/>
        <v>999.6</v>
      </c>
      <c r="R330" s="43">
        <f t="shared" si="474"/>
        <v>-595.87631845827923</v>
      </c>
      <c r="S330" s="43">
        <f t="shared" si="434"/>
        <v>1958.4908631490082</v>
      </c>
      <c r="T330" s="43">
        <f t="shared" si="475"/>
        <v>999.6</v>
      </c>
      <c r="U330" s="50">
        <f t="shared" si="476"/>
        <v>1393.654895414152</v>
      </c>
      <c r="V330" s="20">
        <f t="shared" si="430"/>
        <v>1393.654895414152</v>
      </c>
      <c r="W330" s="20">
        <f t="shared" si="431"/>
        <v>8508.271644775039</v>
      </c>
      <c r="X330" s="19">
        <f t="shared" si="477"/>
        <v>7114.6167493608873</v>
      </c>
      <c r="Y330" s="38">
        <f t="shared" si="432"/>
        <v>0.83619999999999994</v>
      </c>
      <c r="Z330" s="37">
        <f t="shared" si="435"/>
        <v>832716.52900218021</v>
      </c>
      <c r="AA330" s="44">
        <f t="shared" si="436"/>
        <v>0</v>
      </c>
      <c r="AC330" s="48">
        <f t="shared" si="437"/>
        <v>7114.6167493608873</v>
      </c>
    </row>
    <row r="331" spans="1:29" x14ac:dyDescent="0.2">
      <c r="A331" s="14" t="str">
        <f t="shared" ref="A331:F331" si="536">A319</f>
        <v>Julho</v>
      </c>
      <c r="B331" s="14">
        <f t="shared" si="536"/>
        <v>31</v>
      </c>
      <c r="C331" s="15">
        <f t="shared" si="536"/>
        <v>2.91</v>
      </c>
      <c r="D331" s="15">
        <f t="shared" si="536"/>
        <v>3.4272282076395695</v>
      </c>
      <c r="E331" s="15">
        <f t="shared" si="536"/>
        <v>4.18</v>
      </c>
      <c r="F331" s="57">
        <f t="shared" si="536"/>
        <v>4.74</v>
      </c>
      <c r="G331" s="16">
        <f t="shared" si="469"/>
        <v>0.88963498467983559</v>
      </c>
      <c r="H331" s="15">
        <f t="shared" si="457"/>
        <v>6.8484751962193249</v>
      </c>
      <c r="I331" s="17">
        <f t="shared" si="509"/>
        <v>1.3942125804463303</v>
      </c>
      <c r="J331" s="14">
        <f t="shared" si="470"/>
        <v>307</v>
      </c>
      <c r="K331" s="25">
        <f t="shared" si="510"/>
        <v>26</v>
      </c>
      <c r="L331" s="18" t="str">
        <f t="shared" ref="L331" si="537">L319</f>
        <v>jul</v>
      </c>
      <c r="M331" s="43">
        <f t="shared" si="459"/>
        <v>1392</v>
      </c>
      <c r="N331" s="53">
        <f t="shared" si="428"/>
        <v>922.50002841115281</v>
      </c>
      <c r="O331" s="43">
        <f t="shared" si="429"/>
        <v>417.59999999999997</v>
      </c>
      <c r="P331" s="43">
        <f t="shared" si="472"/>
        <v>504.90002841115285</v>
      </c>
      <c r="Q331" s="43">
        <f t="shared" si="473"/>
        <v>974.40000000000009</v>
      </c>
      <c r="R331" s="43">
        <f t="shared" si="474"/>
        <v>-469.49997158884725</v>
      </c>
      <c r="S331" s="43">
        <f t="shared" si="434"/>
        <v>1488.9908915601609</v>
      </c>
      <c r="T331" s="43">
        <f t="shared" si="475"/>
        <v>974.40000000000009</v>
      </c>
      <c r="U331" s="50">
        <f t="shared" si="476"/>
        <v>1358.5207383869044</v>
      </c>
      <c r="V331" s="20">
        <f t="shared" si="430"/>
        <v>1358.5207383869044</v>
      </c>
      <c r="W331" s="20">
        <f t="shared" si="431"/>
        <v>8293.7774016294516</v>
      </c>
      <c r="X331" s="19">
        <f t="shared" si="477"/>
        <v>6935.2566632425469</v>
      </c>
      <c r="Y331" s="38">
        <f t="shared" si="432"/>
        <v>0.83619999999999994</v>
      </c>
      <c r="Z331" s="37">
        <f t="shared" si="435"/>
        <v>839651.78566542279</v>
      </c>
      <c r="AA331" s="44">
        <f t="shared" si="436"/>
        <v>0</v>
      </c>
      <c r="AC331" s="48">
        <f t="shared" si="437"/>
        <v>6935.2566632425469</v>
      </c>
    </row>
    <row r="332" spans="1:29" x14ac:dyDescent="0.2">
      <c r="A332" s="14" t="str">
        <f t="shared" ref="A332:F332" si="538">A320</f>
        <v>Agosto</v>
      </c>
      <c r="B332" s="14">
        <f t="shared" si="538"/>
        <v>31</v>
      </c>
      <c r="C332" s="15">
        <f t="shared" si="538"/>
        <v>3.45</v>
      </c>
      <c r="D332" s="15">
        <f t="shared" si="538"/>
        <v>4.1147894221351615</v>
      </c>
      <c r="E332" s="15">
        <f t="shared" si="538"/>
        <v>4.83</v>
      </c>
      <c r="F332" s="57">
        <f t="shared" si="538"/>
        <v>5.21</v>
      </c>
      <c r="G332" s="16">
        <f t="shared" si="469"/>
        <v>0.88963498467983559</v>
      </c>
      <c r="H332" s="15">
        <f t="shared" si="457"/>
        <v>6.8484751962193249</v>
      </c>
      <c r="I332" s="17">
        <f t="shared" si="509"/>
        <v>1.3942125804463303</v>
      </c>
      <c r="J332" s="14">
        <f t="shared" si="470"/>
        <v>308</v>
      </c>
      <c r="K332" s="25">
        <f t="shared" si="510"/>
        <v>26</v>
      </c>
      <c r="L332" s="18" t="str">
        <f t="shared" ref="L332" si="539">L320</f>
        <v>ago</v>
      </c>
      <c r="M332" s="43">
        <f t="shared" si="459"/>
        <v>1520</v>
      </c>
      <c r="N332" s="53">
        <f t="shared" si="428"/>
        <v>1107.5694785553655</v>
      </c>
      <c r="O332" s="43">
        <f t="shared" si="429"/>
        <v>456</v>
      </c>
      <c r="P332" s="43">
        <f t="shared" si="472"/>
        <v>651.56947855536555</v>
      </c>
      <c r="Q332" s="43">
        <f t="shared" si="473"/>
        <v>1064</v>
      </c>
      <c r="R332" s="43">
        <f t="shared" si="474"/>
        <v>-412.43052144463445</v>
      </c>
      <c r="S332" s="43">
        <f t="shared" si="434"/>
        <v>1076.5603701155264</v>
      </c>
      <c r="T332" s="43">
        <f t="shared" si="475"/>
        <v>1064</v>
      </c>
      <c r="U332" s="50">
        <f t="shared" si="476"/>
        <v>1483.4421855948956</v>
      </c>
      <c r="V332" s="20">
        <f t="shared" si="430"/>
        <v>1483.4421855948956</v>
      </c>
      <c r="W332" s="20">
        <f t="shared" si="431"/>
        <v>9056.4235994804367</v>
      </c>
      <c r="X332" s="19">
        <f t="shared" si="477"/>
        <v>7572.9814138855409</v>
      </c>
      <c r="Y332" s="38">
        <f t="shared" si="432"/>
        <v>0.83619999999999994</v>
      </c>
      <c r="Z332" s="37">
        <f t="shared" si="435"/>
        <v>847224.76707930828</v>
      </c>
      <c r="AA332" s="44">
        <f t="shared" si="436"/>
        <v>0</v>
      </c>
      <c r="AC332" s="48">
        <f t="shared" si="437"/>
        <v>7572.9814138855409</v>
      </c>
    </row>
    <row r="333" spans="1:29" x14ac:dyDescent="0.2">
      <c r="A333" s="14" t="str">
        <f t="shared" ref="A333:F333" si="540">A321</f>
        <v>Setembro</v>
      </c>
      <c r="B333" s="14">
        <f t="shared" si="540"/>
        <v>30</v>
      </c>
      <c r="C333" s="15">
        <f t="shared" si="540"/>
        <v>3.82</v>
      </c>
      <c r="D333" s="15">
        <f t="shared" si="540"/>
        <v>4.2417238001958868</v>
      </c>
      <c r="E333" s="15">
        <f t="shared" si="540"/>
        <v>5.12</v>
      </c>
      <c r="F333" s="57">
        <f t="shared" si="540"/>
        <v>5.1100000000000003</v>
      </c>
      <c r="G333" s="16">
        <f t="shared" si="469"/>
        <v>0.88963498467983559</v>
      </c>
      <c r="H333" s="15">
        <f t="shared" si="457"/>
        <v>6.8484751962193249</v>
      </c>
      <c r="I333" s="17">
        <f t="shared" si="509"/>
        <v>1.3942125804463303</v>
      </c>
      <c r="J333" s="14">
        <f t="shared" si="470"/>
        <v>309</v>
      </c>
      <c r="K333" s="25">
        <f t="shared" si="510"/>
        <v>26</v>
      </c>
      <c r="L333" s="18" t="str">
        <f t="shared" ref="L333" si="541">L321</f>
        <v>set</v>
      </c>
      <c r="M333" s="43">
        <f t="shared" si="459"/>
        <v>1400</v>
      </c>
      <c r="N333" s="53">
        <f t="shared" si="428"/>
        <v>1104.9059480073845</v>
      </c>
      <c r="O333" s="43">
        <f t="shared" si="429"/>
        <v>420</v>
      </c>
      <c r="P333" s="43">
        <f t="shared" si="472"/>
        <v>684.9059480073845</v>
      </c>
      <c r="Q333" s="43">
        <f t="shared" si="473"/>
        <v>980</v>
      </c>
      <c r="R333" s="43">
        <f t="shared" si="474"/>
        <v>-295.0940519926155</v>
      </c>
      <c r="S333" s="43">
        <f t="shared" si="434"/>
        <v>781.46631812291093</v>
      </c>
      <c r="T333" s="43">
        <f t="shared" si="475"/>
        <v>980</v>
      </c>
      <c r="U333" s="50">
        <f t="shared" si="476"/>
        <v>1366.3283288374037</v>
      </c>
      <c r="V333" s="20">
        <f t="shared" si="430"/>
        <v>1366.3283288374037</v>
      </c>
      <c r="W333" s="20">
        <f t="shared" si="431"/>
        <v>8341.4427889951385</v>
      </c>
      <c r="X333" s="19">
        <f t="shared" si="477"/>
        <v>6975.1144601577344</v>
      </c>
      <c r="Y333" s="38">
        <f t="shared" si="432"/>
        <v>0.83619999999999994</v>
      </c>
      <c r="Z333" s="37">
        <f t="shared" si="435"/>
        <v>854199.88153946598</v>
      </c>
      <c r="AA333" s="44">
        <f t="shared" si="436"/>
        <v>0</v>
      </c>
      <c r="AC333" s="48">
        <f t="shared" si="437"/>
        <v>6975.1144601577344</v>
      </c>
    </row>
    <row r="334" spans="1:29" x14ac:dyDescent="0.2">
      <c r="A334" s="14" t="str">
        <f t="shared" ref="A334:F334" si="542">A322</f>
        <v>Outubro</v>
      </c>
      <c r="B334" s="14">
        <f t="shared" si="542"/>
        <v>31</v>
      </c>
      <c r="C334" s="15">
        <f t="shared" si="542"/>
        <v>4.33</v>
      </c>
      <c r="D334" s="15">
        <f t="shared" si="542"/>
        <v>4.8763956904995114</v>
      </c>
      <c r="E334" s="15">
        <f t="shared" si="542"/>
        <v>5.57</v>
      </c>
      <c r="F334" s="57">
        <f t="shared" si="542"/>
        <v>5.17</v>
      </c>
      <c r="G334" s="16">
        <f t="shared" si="469"/>
        <v>0.88963498467983559</v>
      </c>
      <c r="H334" s="15">
        <f t="shared" si="457"/>
        <v>6.8484751962193249</v>
      </c>
      <c r="I334" s="17">
        <f t="shared" si="509"/>
        <v>1.3942125804463303</v>
      </c>
      <c r="J334" s="14">
        <f t="shared" si="470"/>
        <v>310</v>
      </c>
      <c r="K334" s="25">
        <f t="shared" si="510"/>
        <v>26</v>
      </c>
      <c r="L334" s="18" t="str">
        <f t="shared" ref="L334" si="543">L322</f>
        <v>out</v>
      </c>
      <c r="M334" s="43">
        <f t="shared" si="459"/>
        <v>1340</v>
      </c>
      <c r="N334" s="53">
        <f t="shared" si="428"/>
        <v>1312.569484868955</v>
      </c>
      <c r="O334" s="43">
        <f t="shared" si="429"/>
        <v>402</v>
      </c>
      <c r="P334" s="43">
        <f t="shared" si="472"/>
        <v>910.56948486895499</v>
      </c>
      <c r="Q334" s="43">
        <f t="shared" si="473"/>
        <v>938</v>
      </c>
      <c r="R334" s="43">
        <f t="shared" si="474"/>
        <v>-27.430515131045013</v>
      </c>
      <c r="S334" s="43">
        <f t="shared" si="434"/>
        <v>754.03580299186592</v>
      </c>
      <c r="T334" s="43">
        <f t="shared" si="475"/>
        <v>938</v>
      </c>
      <c r="U334" s="50">
        <f t="shared" si="476"/>
        <v>1307.7714004586578</v>
      </c>
      <c r="V334" s="20">
        <f t="shared" si="430"/>
        <v>1307.7714004586578</v>
      </c>
      <c r="W334" s="20">
        <f t="shared" si="431"/>
        <v>7983.9523837524885</v>
      </c>
      <c r="X334" s="19">
        <f t="shared" si="477"/>
        <v>6676.1809832938306</v>
      </c>
      <c r="Y334" s="38">
        <f t="shared" si="432"/>
        <v>0.83619999999999994</v>
      </c>
      <c r="Z334" s="37">
        <f t="shared" si="435"/>
        <v>860876.06252275978</v>
      </c>
      <c r="AA334" s="44">
        <f t="shared" si="436"/>
        <v>0</v>
      </c>
      <c r="AC334" s="48">
        <f t="shared" si="437"/>
        <v>6676.1809832938306</v>
      </c>
    </row>
    <row r="335" spans="1:29" x14ac:dyDescent="0.2">
      <c r="A335" s="14" t="str">
        <f t="shared" ref="A335:F335" si="544">A323</f>
        <v>Novembro</v>
      </c>
      <c r="B335" s="14">
        <f t="shared" si="544"/>
        <v>30</v>
      </c>
      <c r="C335" s="15">
        <f t="shared" si="544"/>
        <v>4.68</v>
      </c>
      <c r="D335" s="15">
        <f t="shared" si="544"/>
        <v>5.5745347698334964</v>
      </c>
      <c r="E335" s="15">
        <f t="shared" si="544"/>
        <v>5.89</v>
      </c>
      <c r="F335" s="57">
        <f t="shared" si="544"/>
        <v>5.23</v>
      </c>
      <c r="G335" s="16">
        <f t="shared" si="469"/>
        <v>0.88963498467983559</v>
      </c>
      <c r="H335" s="15">
        <f t="shared" si="457"/>
        <v>6.8484751962193249</v>
      </c>
      <c r="I335" s="17">
        <f t="shared" si="509"/>
        <v>1.3942125804463303</v>
      </c>
      <c r="J335" s="14">
        <f t="shared" si="470"/>
        <v>311</v>
      </c>
      <c r="K335" s="25">
        <f t="shared" si="510"/>
        <v>26</v>
      </c>
      <c r="L335" s="18" t="str">
        <f t="shared" ref="L335" si="545">L323</f>
        <v>nov</v>
      </c>
      <c r="M335" s="43">
        <f t="shared" si="459"/>
        <v>1288</v>
      </c>
      <c r="N335" s="53">
        <f t="shared" si="428"/>
        <v>1452.0833780545922</v>
      </c>
      <c r="O335" s="43">
        <f t="shared" si="429"/>
        <v>386.4</v>
      </c>
      <c r="P335" s="43">
        <f t="shared" si="472"/>
        <v>1065.6833780545921</v>
      </c>
      <c r="Q335" s="43">
        <f t="shared" si="473"/>
        <v>901.6</v>
      </c>
      <c r="R335" s="43">
        <f t="shared" si="474"/>
        <v>164.08337805459212</v>
      </c>
      <c r="S335" s="43">
        <f t="shared" si="434"/>
        <v>918.11918104645804</v>
      </c>
      <c r="T335" s="43">
        <f t="shared" si="475"/>
        <v>901.6</v>
      </c>
      <c r="U335" s="50">
        <f t="shared" si="476"/>
        <v>1257.0220625304114</v>
      </c>
      <c r="V335" s="20">
        <f t="shared" si="430"/>
        <v>1257.0220625304114</v>
      </c>
      <c r="W335" s="20">
        <f t="shared" si="431"/>
        <v>7674.1273658755263</v>
      </c>
      <c r="X335" s="19">
        <f t="shared" si="477"/>
        <v>6417.1053033451153</v>
      </c>
      <c r="Y335" s="38">
        <f t="shared" si="432"/>
        <v>0.83620000000000005</v>
      </c>
      <c r="Z335" s="37">
        <f t="shared" si="435"/>
        <v>867293.16782610491</v>
      </c>
      <c r="AA335" s="44">
        <f t="shared" si="436"/>
        <v>0</v>
      </c>
      <c r="AC335" s="48">
        <f t="shared" si="437"/>
        <v>6417.1053033451153</v>
      </c>
    </row>
    <row r="336" spans="1:29" x14ac:dyDescent="0.2">
      <c r="A336" s="14" t="str">
        <f t="shared" ref="A336:F336" si="546">A324</f>
        <v>Dezembro</v>
      </c>
      <c r="B336" s="14">
        <f t="shared" si="546"/>
        <v>31</v>
      </c>
      <c r="C336" s="15">
        <f t="shared" si="546"/>
        <v>4.8499999999999996</v>
      </c>
      <c r="D336" s="15">
        <f t="shared" si="546"/>
        <v>5.6062683643486775</v>
      </c>
      <c r="E336" s="15">
        <f t="shared" si="546"/>
        <v>6.05</v>
      </c>
      <c r="F336" s="57">
        <f t="shared" si="546"/>
        <v>5.29</v>
      </c>
      <c r="G336" s="16">
        <f t="shared" si="469"/>
        <v>0.88963498467983559</v>
      </c>
      <c r="H336" s="15">
        <f t="shared" si="457"/>
        <v>6.8484751962193249</v>
      </c>
      <c r="I336" s="17">
        <f t="shared" si="509"/>
        <v>1.3942125804463303</v>
      </c>
      <c r="J336" s="14">
        <f t="shared" si="470"/>
        <v>312</v>
      </c>
      <c r="K336" s="25">
        <f t="shared" si="510"/>
        <v>26</v>
      </c>
      <c r="L336" s="18" t="str">
        <f t="shared" ref="L336" si="547">L324</f>
        <v>dez</v>
      </c>
      <c r="M336" s="43">
        <f t="shared" si="459"/>
        <v>1140</v>
      </c>
      <c r="N336" s="53">
        <f t="shared" si="428"/>
        <v>1509.0278242528113</v>
      </c>
      <c r="O336" s="43">
        <f t="shared" si="429"/>
        <v>342</v>
      </c>
      <c r="P336" s="43">
        <f t="shared" si="472"/>
        <v>1167.0278242528113</v>
      </c>
      <c r="Q336" s="43">
        <f t="shared" si="473"/>
        <v>798</v>
      </c>
      <c r="R336" s="43">
        <f t="shared" si="474"/>
        <v>369.02782425281134</v>
      </c>
      <c r="S336" s="43">
        <f t="shared" si="434"/>
        <v>1287.1470052992695</v>
      </c>
      <c r="T336" s="43">
        <f t="shared" si="475"/>
        <v>798</v>
      </c>
      <c r="U336" s="50">
        <f t="shared" si="476"/>
        <v>1112.5816391961716</v>
      </c>
      <c r="V336" s="20">
        <f t="shared" si="430"/>
        <v>1112.5816391961716</v>
      </c>
      <c r="W336" s="20">
        <f t="shared" si="431"/>
        <v>6792.3176996103257</v>
      </c>
      <c r="X336" s="19">
        <f t="shared" si="477"/>
        <v>5679.7360604141541</v>
      </c>
      <c r="Y336" s="38">
        <f t="shared" si="432"/>
        <v>0.83619999999999994</v>
      </c>
      <c r="Z336" s="37">
        <f t="shared" si="435"/>
        <v>872972.90388651902</v>
      </c>
      <c r="AA336" s="44">
        <f t="shared" si="436"/>
        <v>0</v>
      </c>
      <c r="AC336" s="48">
        <f t="shared" si="437"/>
        <v>5679.7360604141541</v>
      </c>
    </row>
    <row r="337" spans="1:29" x14ac:dyDescent="0.2">
      <c r="A337" s="14" t="str">
        <f t="shared" ref="A337:F337" si="548">A325</f>
        <v>Janeiro</v>
      </c>
      <c r="B337" s="14">
        <f t="shared" si="548"/>
        <v>30</v>
      </c>
      <c r="C337" s="15">
        <f t="shared" si="548"/>
        <v>4.87</v>
      </c>
      <c r="D337" s="15">
        <f t="shared" si="548"/>
        <v>5.4581782566111663</v>
      </c>
      <c r="E337" s="15">
        <f t="shared" si="548"/>
        <v>6.01</v>
      </c>
      <c r="F337" s="57">
        <f t="shared" si="548"/>
        <v>5.31</v>
      </c>
      <c r="G337" s="16">
        <f t="shared" si="469"/>
        <v>0.88568144680791838</v>
      </c>
      <c r="H337" s="15">
        <f t="shared" si="457"/>
        <v>7.3963532119168702</v>
      </c>
      <c r="I337" s="17">
        <f t="shared" si="509"/>
        <v>1.5057495868820365</v>
      </c>
      <c r="J337" s="14">
        <f t="shared" si="470"/>
        <v>313</v>
      </c>
      <c r="K337" s="25">
        <f t="shared" si="510"/>
        <v>27</v>
      </c>
      <c r="L337" s="18" t="str">
        <f t="shared" ref="L337" si="549">L325</f>
        <v>jan</v>
      </c>
      <c r="M337" s="43">
        <f t="shared" si="459"/>
        <v>836</v>
      </c>
      <c r="N337" s="53">
        <f t="shared" si="428"/>
        <v>1415.4558726254634</v>
      </c>
      <c r="O337" s="43">
        <f t="shared" si="429"/>
        <v>250.79999999999998</v>
      </c>
      <c r="P337" s="43">
        <f t="shared" si="472"/>
        <v>1164.6558726254634</v>
      </c>
      <c r="Q337" s="43">
        <f t="shared" si="473"/>
        <v>585.20000000000005</v>
      </c>
      <c r="R337" s="43">
        <f t="shared" si="474"/>
        <v>579.45587262546337</v>
      </c>
      <c r="S337" s="43">
        <f t="shared" si="434"/>
        <v>1866.6028779247329</v>
      </c>
      <c r="T337" s="43">
        <f t="shared" si="475"/>
        <v>585.20000000000005</v>
      </c>
      <c r="U337" s="50">
        <f t="shared" si="476"/>
        <v>881.16465824336785</v>
      </c>
      <c r="V337" s="20">
        <f t="shared" si="430"/>
        <v>881.16465824336785</v>
      </c>
      <c r="W337" s="20">
        <f t="shared" si="431"/>
        <v>5379.5156180913782</v>
      </c>
      <c r="X337" s="19">
        <f t="shared" si="477"/>
        <v>4498.3509598480105</v>
      </c>
      <c r="Y337" s="38">
        <f t="shared" si="432"/>
        <v>0.83620000000000005</v>
      </c>
      <c r="Z337" s="37">
        <f t="shared" si="435"/>
        <v>877471.25484636705</v>
      </c>
      <c r="AA337" s="44">
        <f t="shared" si="436"/>
        <v>0</v>
      </c>
      <c r="AC337" s="48">
        <f t="shared" si="437"/>
        <v>4498.3509598480105</v>
      </c>
    </row>
    <row r="338" spans="1:29" x14ac:dyDescent="0.2">
      <c r="A338" s="14" t="str">
        <f t="shared" ref="A338:F338" si="550">A326</f>
        <v>Fevereiro</v>
      </c>
      <c r="B338" s="14">
        <f t="shared" si="550"/>
        <v>28</v>
      </c>
      <c r="C338" s="15">
        <f t="shared" si="550"/>
        <v>4.75</v>
      </c>
      <c r="D338" s="15">
        <f t="shared" si="550"/>
        <v>5.2254652301665043</v>
      </c>
      <c r="E338" s="15">
        <f t="shared" si="550"/>
        <v>5.82</v>
      </c>
      <c r="F338" s="57">
        <f t="shared" si="550"/>
        <v>5.28</v>
      </c>
      <c r="G338" s="16">
        <f t="shared" si="469"/>
        <v>0.88568144680791838</v>
      </c>
      <c r="H338" s="15">
        <f t="shared" si="457"/>
        <v>7.3963532119168702</v>
      </c>
      <c r="I338" s="17">
        <f t="shared" si="509"/>
        <v>1.5057495868820365</v>
      </c>
      <c r="J338" s="14">
        <f t="shared" si="470"/>
        <v>314</v>
      </c>
      <c r="K338" s="25">
        <f t="shared" si="510"/>
        <v>27</v>
      </c>
      <c r="L338" s="18" t="str">
        <f t="shared" ref="L338" si="551">L326</f>
        <v>fev</v>
      </c>
      <c r="M338" s="43">
        <f t="shared" si="459"/>
        <v>1088</v>
      </c>
      <c r="N338" s="53">
        <f t="shared" si="428"/>
        <v>1264.7665135759307</v>
      </c>
      <c r="O338" s="43">
        <f t="shared" si="429"/>
        <v>326.39999999999998</v>
      </c>
      <c r="P338" s="43">
        <f t="shared" si="472"/>
        <v>938.36651357593075</v>
      </c>
      <c r="Q338" s="43">
        <f t="shared" si="473"/>
        <v>761.6</v>
      </c>
      <c r="R338" s="43">
        <f t="shared" si="474"/>
        <v>176.76651357593073</v>
      </c>
      <c r="S338" s="43">
        <f t="shared" si="434"/>
        <v>2043.3693915006636</v>
      </c>
      <c r="T338" s="43">
        <f t="shared" si="475"/>
        <v>761.6</v>
      </c>
      <c r="U338" s="50">
        <f t="shared" si="476"/>
        <v>1146.7788853693592</v>
      </c>
      <c r="V338" s="20">
        <f t="shared" si="430"/>
        <v>1146.7788853693592</v>
      </c>
      <c r="W338" s="20">
        <f t="shared" si="431"/>
        <v>7001.092096272032</v>
      </c>
      <c r="X338" s="19">
        <f t="shared" si="477"/>
        <v>5854.3132109026728</v>
      </c>
      <c r="Y338" s="38">
        <f t="shared" si="432"/>
        <v>0.83619999999999994</v>
      </c>
      <c r="Z338" s="37">
        <f t="shared" si="435"/>
        <v>883325.56805726967</v>
      </c>
      <c r="AA338" s="44">
        <f t="shared" si="436"/>
        <v>0</v>
      </c>
      <c r="AC338" s="48">
        <f t="shared" si="437"/>
        <v>5854.3132109026728</v>
      </c>
    </row>
    <row r="339" spans="1:29" x14ac:dyDescent="0.2">
      <c r="A339" s="14" t="str">
        <f t="shared" ref="A339:F339" si="552">A327</f>
        <v>Março</v>
      </c>
      <c r="B339" s="14">
        <f t="shared" si="552"/>
        <v>31</v>
      </c>
      <c r="C339" s="15">
        <f t="shared" si="552"/>
        <v>4.21</v>
      </c>
      <c r="D339" s="15">
        <f t="shared" si="552"/>
        <v>4.7494613124387861</v>
      </c>
      <c r="E339" s="15">
        <f t="shared" si="552"/>
        <v>5.43</v>
      </c>
      <c r="F339" s="57">
        <f t="shared" si="552"/>
        <v>5.14</v>
      </c>
      <c r="G339" s="16">
        <f t="shared" si="469"/>
        <v>0.88568144680791838</v>
      </c>
      <c r="H339" s="15">
        <f t="shared" si="457"/>
        <v>7.3963532119168702</v>
      </c>
      <c r="I339" s="17">
        <f t="shared" si="509"/>
        <v>1.5057495868820365</v>
      </c>
      <c r="J339" s="14">
        <f t="shared" si="470"/>
        <v>315</v>
      </c>
      <c r="K339" s="25">
        <f t="shared" si="510"/>
        <v>27</v>
      </c>
      <c r="L339" s="18" t="str">
        <f t="shared" ref="L339" si="553">L327</f>
        <v>mar</v>
      </c>
      <c r="M339" s="43">
        <f t="shared" si="459"/>
        <v>1152</v>
      </c>
      <c r="N339" s="53">
        <f t="shared" si="428"/>
        <v>1272.7215950306088</v>
      </c>
      <c r="O339" s="43">
        <f t="shared" si="429"/>
        <v>345.59999999999997</v>
      </c>
      <c r="P339" s="43">
        <f t="shared" si="472"/>
        <v>927.12159503060889</v>
      </c>
      <c r="Q339" s="43">
        <f t="shared" si="473"/>
        <v>806.40000000000009</v>
      </c>
      <c r="R339" s="43">
        <f t="shared" si="474"/>
        <v>120.7215950306088</v>
      </c>
      <c r="S339" s="43">
        <f t="shared" si="434"/>
        <v>2164.0909865312724</v>
      </c>
      <c r="T339" s="43">
        <f t="shared" si="475"/>
        <v>806.40000000000009</v>
      </c>
      <c r="U339" s="50">
        <f t="shared" si="476"/>
        <v>1214.2364668616744</v>
      </c>
      <c r="V339" s="20">
        <f t="shared" si="430"/>
        <v>1214.2364668616744</v>
      </c>
      <c r="W339" s="20">
        <f t="shared" si="431"/>
        <v>7412.9210431115644</v>
      </c>
      <c r="X339" s="19">
        <f t="shared" si="477"/>
        <v>6198.6845762498897</v>
      </c>
      <c r="Y339" s="38">
        <f t="shared" si="432"/>
        <v>0.83619999999999994</v>
      </c>
      <c r="Z339" s="37">
        <f t="shared" si="435"/>
        <v>889524.25263351959</v>
      </c>
      <c r="AA339" s="44">
        <f t="shared" si="436"/>
        <v>0</v>
      </c>
      <c r="AC339" s="48">
        <f t="shared" si="437"/>
        <v>6198.6845762498897</v>
      </c>
    </row>
    <row r="340" spans="1:29" x14ac:dyDescent="0.2">
      <c r="A340" s="14" t="str">
        <f t="shared" ref="A340:F340" si="554">A328</f>
        <v>Abril</v>
      </c>
      <c r="B340" s="14">
        <f t="shared" si="554"/>
        <v>30</v>
      </c>
      <c r="C340" s="15">
        <f t="shared" si="554"/>
        <v>3.59</v>
      </c>
      <c r="D340" s="15">
        <f t="shared" si="554"/>
        <v>4.1465230166503426</v>
      </c>
      <c r="E340" s="15">
        <f t="shared" si="554"/>
        <v>4.91</v>
      </c>
      <c r="F340" s="57">
        <f t="shared" si="554"/>
        <v>4.97</v>
      </c>
      <c r="G340" s="16">
        <f t="shared" si="469"/>
        <v>0.88568144680791838</v>
      </c>
      <c r="H340" s="15">
        <f t="shared" si="457"/>
        <v>7.3963532119168702</v>
      </c>
      <c r="I340" s="17">
        <f t="shared" si="509"/>
        <v>1.5057495868820365</v>
      </c>
      <c r="J340" s="14">
        <f t="shared" si="470"/>
        <v>316</v>
      </c>
      <c r="K340" s="25">
        <f t="shared" si="510"/>
        <v>27</v>
      </c>
      <c r="L340" s="18" t="str">
        <f t="shared" ref="L340" si="555">L328</f>
        <v>abr</v>
      </c>
      <c r="M340" s="43">
        <f t="shared" si="459"/>
        <v>1000</v>
      </c>
      <c r="N340" s="53">
        <f t="shared" si="428"/>
        <v>1075.3075621495766</v>
      </c>
      <c r="O340" s="43">
        <f t="shared" si="429"/>
        <v>300</v>
      </c>
      <c r="P340" s="43">
        <f t="shared" si="472"/>
        <v>775.3075621495766</v>
      </c>
      <c r="Q340" s="43">
        <f t="shared" si="473"/>
        <v>700</v>
      </c>
      <c r="R340" s="43">
        <f t="shared" si="474"/>
        <v>75.307562149576597</v>
      </c>
      <c r="S340" s="43">
        <f t="shared" si="434"/>
        <v>2239.3985486808488</v>
      </c>
      <c r="T340" s="43">
        <f t="shared" si="475"/>
        <v>700</v>
      </c>
      <c r="U340" s="50">
        <f t="shared" si="476"/>
        <v>1054.0247108174256</v>
      </c>
      <c r="V340" s="20">
        <f t="shared" si="430"/>
        <v>1054.0247108174256</v>
      </c>
      <c r="W340" s="20">
        <f t="shared" si="431"/>
        <v>6434.8272943676775</v>
      </c>
      <c r="X340" s="19">
        <f t="shared" si="477"/>
        <v>5380.8025835502522</v>
      </c>
      <c r="Y340" s="38">
        <f t="shared" si="432"/>
        <v>0.83620000000000005</v>
      </c>
      <c r="Z340" s="37">
        <f t="shared" si="435"/>
        <v>894905.05521706981</v>
      </c>
      <c r="AA340" s="44">
        <f t="shared" si="436"/>
        <v>0</v>
      </c>
      <c r="AC340" s="48">
        <f t="shared" si="437"/>
        <v>5380.8025835502522</v>
      </c>
    </row>
    <row r="341" spans="1:29" x14ac:dyDescent="0.2">
      <c r="A341" s="14" t="str">
        <f t="shared" ref="A341:F341" si="556">A329</f>
        <v>Maio</v>
      </c>
      <c r="B341" s="14">
        <f t="shared" si="556"/>
        <v>31</v>
      </c>
      <c r="C341" s="15">
        <f t="shared" si="556"/>
        <v>2.98</v>
      </c>
      <c r="D341" s="15">
        <f t="shared" si="556"/>
        <v>3.3849167482859945</v>
      </c>
      <c r="E341" s="15">
        <f t="shared" si="556"/>
        <v>4.25</v>
      </c>
      <c r="F341" s="57">
        <f t="shared" si="556"/>
        <v>4.66</v>
      </c>
      <c r="G341" s="16">
        <f t="shared" si="469"/>
        <v>0.88568144680791838</v>
      </c>
      <c r="H341" s="15">
        <f t="shared" si="457"/>
        <v>7.3963532119168702</v>
      </c>
      <c r="I341" s="17">
        <f t="shared" si="509"/>
        <v>1.5057495868820365</v>
      </c>
      <c r="J341" s="14">
        <f t="shared" si="470"/>
        <v>317</v>
      </c>
      <c r="K341" s="25">
        <f t="shared" si="510"/>
        <v>27</v>
      </c>
      <c r="L341" s="18" t="str">
        <f t="shared" ref="L341" si="557">L329</f>
        <v>mai</v>
      </c>
      <c r="M341" s="43">
        <f t="shared" si="459"/>
        <v>1396</v>
      </c>
      <c r="N341" s="53">
        <f t="shared" si="428"/>
        <v>907.06216126903075</v>
      </c>
      <c r="O341" s="43">
        <f t="shared" si="429"/>
        <v>418.8</v>
      </c>
      <c r="P341" s="43">
        <f t="shared" si="472"/>
        <v>488.26216126903074</v>
      </c>
      <c r="Q341" s="43">
        <f t="shared" si="473"/>
        <v>977.2</v>
      </c>
      <c r="R341" s="43">
        <f t="shared" si="474"/>
        <v>-488.9378387309693</v>
      </c>
      <c r="S341" s="43">
        <f t="shared" si="434"/>
        <v>1750.4607099498794</v>
      </c>
      <c r="T341" s="43">
        <f t="shared" si="475"/>
        <v>977.2</v>
      </c>
      <c r="U341" s="50">
        <f t="shared" si="476"/>
        <v>1471.4184963011262</v>
      </c>
      <c r="V341" s="20">
        <f t="shared" si="430"/>
        <v>1471.4184963011262</v>
      </c>
      <c r="W341" s="20">
        <f t="shared" si="431"/>
        <v>8983.0189029372777</v>
      </c>
      <c r="X341" s="19">
        <f t="shared" si="477"/>
        <v>7511.6004066361511</v>
      </c>
      <c r="Y341" s="38">
        <f t="shared" si="432"/>
        <v>0.83619999999999994</v>
      </c>
      <c r="Z341" s="37">
        <f t="shared" si="435"/>
        <v>902416.65562370594</v>
      </c>
      <c r="AA341" s="44">
        <f t="shared" si="436"/>
        <v>0</v>
      </c>
      <c r="AC341" s="48">
        <f t="shared" si="437"/>
        <v>7511.6004066361511</v>
      </c>
    </row>
    <row r="342" spans="1:29" x14ac:dyDescent="0.2">
      <c r="A342" s="14" t="str">
        <f t="shared" ref="A342:F342" si="558">A330</f>
        <v>Junho</v>
      </c>
      <c r="B342" s="14">
        <f t="shared" si="558"/>
        <v>30</v>
      </c>
      <c r="C342" s="15">
        <f t="shared" si="558"/>
        <v>2.74</v>
      </c>
      <c r="D342" s="15">
        <f t="shared" si="558"/>
        <v>3.1945151811949071</v>
      </c>
      <c r="E342" s="15">
        <f t="shared" si="558"/>
        <v>3.92</v>
      </c>
      <c r="F342" s="57">
        <f t="shared" si="558"/>
        <v>4.47</v>
      </c>
      <c r="G342" s="16">
        <f t="shared" si="469"/>
        <v>0.88568144680791838</v>
      </c>
      <c r="H342" s="15">
        <f t="shared" si="457"/>
        <v>7.3963532119168702</v>
      </c>
      <c r="I342" s="17">
        <f t="shared" si="509"/>
        <v>1.5057495868820365</v>
      </c>
      <c r="J342" s="14">
        <f t="shared" si="470"/>
        <v>318</v>
      </c>
      <c r="K342" s="25">
        <f t="shared" si="510"/>
        <v>27</v>
      </c>
      <c r="L342" s="18" t="str">
        <f t="shared" ref="L342" si="559">L330</f>
        <v>jun</v>
      </c>
      <c r="M342" s="43">
        <f t="shared" si="459"/>
        <v>1428</v>
      </c>
      <c r="N342" s="53">
        <f t="shared" si="428"/>
        <v>828.42572390094938</v>
      </c>
      <c r="O342" s="43">
        <f t="shared" si="429"/>
        <v>428.4</v>
      </c>
      <c r="P342" s="43">
        <f t="shared" si="472"/>
        <v>400.0257239009494</v>
      </c>
      <c r="Q342" s="43">
        <f t="shared" si="473"/>
        <v>999.6</v>
      </c>
      <c r="R342" s="43">
        <f t="shared" si="474"/>
        <v>-599.57427609905062</v>
      </c>
      <c r="S342" s="43">
        <f t="shared" si="434"/>
        <v>1150.8864338508288</v>
      </c>
      <c r="T342" s="43">
        <f t="shared" si="475"/>
        <v>999.6</v>
      </c>
      <c r="U342" s="50">
        <f t="shared" si="476"/>
        <v>1505.1472870472837</v>
      </c>
      <c r="V342" s="20">
        <f t="shared" si="430"/>
        <v>1505.1472870472837</v>
      </c>
      <c r="W342" s="20">
        <f t="shared" si="431"/>
        <v>9188.933376357043</v>
      </c>
      <c r="X342" s="19">
        <f t="shared" si="477"/>
        <v>7683.7860893097595</v>
      </c>
      <c r="Y342" s="38">
        <f t="shared" si="432"/>
        <v>0.83620000000000005</v>
      </c>
      <c r="Z342" s="37">
        <f t="shared" si="435"/>
        <v>910100.44171301567</v>
      </c>
      <c r="AA342" s="44">
        <f t="shared" si="436"/>
        <v>0</v>
      </c>
      <c r="AC342" s="48">
        <f t="shared" si="437"/>
        <v>7683.7860893097595</v>
      </c>
    </row>
    <row r="343" spans="1:29" x14ac:dyDescent="0.2">
      <c r="A343" s="14" t="str">
        <f t="shared" ref="A343:F343" si="560">A331</f>
        <v>Julho</v>
      </c>
      <c r="B343" s="14">
        <f t="shared" si="560"/>
        <v>31</v>
      </c>
      <c r="C343" s="15">
        <f t="shared" si="560"/>
        <v>2.91</v>
      </c>
      <c r="D343" s="15">
        <f t="shared" si="560"/>
        <v>3.4272282076395695</v>
      </c>
      <c r="E343" s="15">
        <f t="shared" si="560"/>
        <v>4.18</v>
      </c>
      <c r="F343" s="57">
        <f t="shared" si="560"/>
        <v>4.74</v>
      </c>
      <c r="G343" s="16">
        <f t="shared" si="469"/>
        <v>0.88568144680791838</v>
      </c>
      <c r="H343" s="15">
        <f t="shared" si="457"/>
        <v>7.3963532119168702</v>
      </c>
      <c r="I343" s="17">
        <f t="shared" si="509"/>
        <v>1.5057495868820365</v>
      </c>
      <c r="J343" s="14">
        <f t="shared" si="470"/>
        <v>319</v>
      </c>
      <c r="K343" s="25">
        <f t="shared" si="510"/>
        <v>27</v>
      </c>
      <c r="L343" s="18" t="str">
        <f t="shared" ref="L343" si="561">L331</f>
        <v>jul</v>
      </c>
      <c r="M343" s="43">
        <f t="shared" si="459"/>
        <v>1392</v>
      </c>
      <c r="N343" s="53">
        <f t="shared" si="428"/>
        <v>918.40043828489365</v>
      </c>
      <c r="O343" s="43">
        <f t="shared" si="429"/>
        <v>417.59999999999997</v>
      </c>
      <c r="P343" s="43">
        <f t="shared" si="472"/>
        <v>500.80043828489369</v>
      </c>
      <c r="Q343" s="43">
        <f t="shared" si="473"/>
        <v>974.40000000000009</v>
      </c>
      <c r="R343" s="43">
        <f t="shared" si="474"/>
        <v>-473.5995617151064</v>
      </c>
      <c r="S343" s="43">
        <f t="shared" si="434"/>
        <v>677.28687213572243</v>
      </c>
      <c r="T343" s="43">
        <f t="shared" si="475"/>
        <v>974.40000000000009</v>
      </c>
      <c r="U343" s="50">
        <f t="shared" si="476"/>
        <v>1467.2023974578565</v>
      </c>
      <c r="V343" s="20">
        <f t="shared" si="430"/>
        <v>1467.2023974578565</v>
      </c>
      <c r="W343" s="20">
        <f t="shared" si="431"/>
        <v>8957.2795937598057</v>
      </c>
      <c r="X343" s="19">
        <f t="shared" si="477"/>
        <v>7490.0771963019488</v>
      </c>
      <c r="Y343" s="38">
        <f t="shared" si="432"/>
        <v>0.83619999999999994</v>
      </c>
      <c r="Z343" s="37">
        <f t="shared" si="435"/>
        <v>917590.51890931756</v>
      </c>
      <c r="AA343" s="44">
        <f t="shared" si="436"/>
        <v>0</v>
      </c>
      <c r="AC343" s="48">
        <f t="shared" si="437"/>
        <v>7490.0771963019488</v>
      </c>
    </row>
    <row r="344" spans="1:29" x14ac:dyDescent="0.2">
      <c r="A344" s="14" t="str">
        <f t="shared" ref="A344:F344" si="562">A332</f>
        <v>Agosto</v>
      </c>
      <c r="B344" s="14">
        <f t="shared" si="562"/>
        <v>31</v>
      </c>
      <c r="C344" s="15">
        <f t="shared" si="562"/>
        <v>3.45</v>
      </c>
      <c r="D344" s="15">
        <f t="shared" si="562"/>
        <v>4.1147894221351615</v>
      </c>
      <c r="E344" s="15">
        <f t="shared" si="562"/>
        <v>4.83</v>
      </c>
      <c r="F344" s="57">
        <f t="shared" si="562"/>
        <v>5.21</v>
      </c>
      <c r="G344" s="16">
        <f t="shared" si="469"/>
        <v>0.88568144680791838</v>
      </c>
      <c r="H344" s="15">
        <f t="shared" si="457"/>
        <v>7.3963532119168702</v>
      </c>
      <c r="I344" s="17">
        <f t="shared" si="509"/>
        <v>1.5057495868820365</v>
      </c>
      <c r="J344" s="14">
        <f t="shared" si="470"/>
        <v>320</v>
      </c>
      <c r="K344" s="25">
        <f t="shared" si="510"/>
        <v>27</v>
      </c>
      <c r="L344" s="18" t="str">
        <f t="shared" ref="L344" si="563">L332</f>
        <v>ago</v>
      </c>
      <c r="M344" s="43">
        <f t="shared" si="459"/>
        <v>1520</v>
      </c>
      <c r="N344" s="53">
        <f t="shared" si="428"/>
        <v>1102.6474397926654</v>
      </c>
      <c r="O344" s="43">
        <f t="shared" si="429"/>
        <v>456</v>
      </c>
      <c r="P344" s="43">
        <f t="shared" si="472"/>
        <v>646.64743979266541</v>
      </c>
      <c r="Q344" s="43">
        <f t="shared" si="473"/>
        <v>1064</v>
      </c>
      <c r="R344" s="43">
        <f t="shared" si="474"/>
        <v>-417.35256020733459</v>
      </c>
      <c r="S344" s="43">
        <f t="shared" si="434"/>
        <v>259.93431192838784</v>
      </c>
      <c r="T344" s="43">
        <f t="shared" si="475"/>
        <v>1064</v>
      </c>
      <c r="U344" s="50">
        <f t="shared" si="476"/>
        <v>1602.1175604424868</v>
      </c>
      <c r="V344" s="20">
        <f t="shared" si="430"/>
        <v>1602.1175604424868</v>
      </c>
      <c r="W344" s="20">
        <f t="shared" si="431"/>
        <v>9780.9374874388704</v>
      </c>
      <c r="X344" s="19">
        <f t="shared" si="477"/>
        <v>8178.8199269963834</v>
      </c>
      <c r="Y344" s="38">
        <f t="shared" si="432"/>
        <v>0.83619999999999994</v>
      </c>
      <c r="Z344" s="37">
        <f t="shared" si="435"/>
        <v>925769.33883631392</v>
      </c>
      <c r="AA344" s="44">
        <f t="shared" si="436"/>
        <v>0</v>
      </c>
      <c r="AC344" s="48">
        <f t="shared" si="437"/>
        <v>8178.8199269963834</v>
      </c>
    </row>
    <row r="345" spans="1:29" x14ac:dyDescent="0.2">
      <c r="A345" s="14" t="str">
        <f t="shared" ref="A345:F345" si="564">A333</f>
        <v>Setembro</v>
      </c>
      <c r="B345" s="14">
        <f t="shared" si="564"/>
        <v>30</v>
      </c>
      <c r="C345" s="15">
        <f t="shared" si="564"/>
        <v>3.82</v>
      </c>
      <c r="D345" s="15">
        <f t="shared" si="564"/>
        <v>4.2417238001958868</v>
      </c>
      <c r="E345" s="15">
        <f t="shared" si="564"/>
        <v>5.12</v>
      </c>
      <c r="F345" s="57">
        <f t="shared" si="564"/>
        <v>5.1100000000000003</v>
      </c>
      <c r="G345" s="16">
        <f t="shared" si="469"/>
        <v>0.88568144680791838</v>
      </c>
      <c r="H345" s="15">
        <f t="shared" si="457"/>
        <v>7.3963532119168702</v>
      </c>
      <c r="I345" s="17">
        <f t="shared" si="509"/>
        <v>1.5057495868820365</v>
      </c>
      <c r="J345" s="14">
        <f t="shared" si="470"/>
        <v>321</v>
      </c>
      <c r="K345" s="25">
        <f t="shared" si="510"/>
        <v>27</v>
      </c>
      <c r="L345" s="18" t="str">
        <f t="shared" ref="L345" si="565">L333</f>
        <v>set</v>
      </c>
      <c r="M345" s="43">
        <f t="shared" si="459"/>
        <v>1400</v>
      </c>
      <c r="N345" s="53">
        <f t="shared" ref="N345:N384" si="566">B345*IF($A$6="Curitiba",D345,F345)*0.8*$B$9*G345</f>
        <v>1099.9957459744396</v>
      </c>
      <c r="O345" s="43">
        <f t="shared" ref="O345:O384" si="567">MIN($B$11*M345,N345)</f>
        <v>420</v>
      </c>
      <c r="P345" s="43">
        <f t="shared" si="472"/>
        <v>679.99574597443961</v>
      </c>
      <c r="Q345" s="43">
        <f t="shared" si="473"/>
        <v>980</v>
      </c>
      <c r="R345" s="43">
        <f t="shared" si="474"/>
        <v>-300.00425402556039</v>
      </c>
      <c r="S345" s="43">
        <f t="shared" si="434"/>
        <v>0</v>
      </c>
      <c r="T345" s="43">
        <f t="shared" si="475"/>
        <v>939.93005790282746</v>
      </c>
      <c r="U345" s="50">
        <f t="shared" si="476"/>
        <v>1415.2992963851912</v>
      </c>
      <c r="V345" s="20">
        <f t="shared" ref="V345:V384" si="568">IF(U345+((Q345-T345)*$B$2*H345)&lt;$B$5*$B$2*H345,$B$5*$B$2*H345,U345+((Q345-T345)*$B$2*H345))</f>
        <v>1673.1424534758094</v>
      </c>
      <c r="W345" s="20">
        <f t="shared" ref="W345:W384" si="569">M345*$B$2*H345</f>
        <v>9008.7582121147479</v>
      </c>
      <c r="X345" s="19">
        <f t="shared" si="477"/>
        <v>7335.6157586389381</v>
      </c>
      <c r="Y345" s="38">
        <f t="shared" ref="Y345:Y384" si="570">X345/W345</f>
        <v>0.81427601739540412</v>
      </c>
      <c r="Z345" s="37">
        <f t="shared" si="435"/>
        <v>933104.95459495287</v>
      </c>
      <c r="AA345" s="44">
        <f t="shared" si="436"/>
        <v>0</v>
      </c>
      <c r="AC345" s="48">
        <f t="shared" si="437"/>
        <v>7335.6157586389381</v>
      </c>
    </row>
    <row r="346" spans="1:29" x14ac:dyDescent="0.2">
      <c r="A346" s="14" t="str">
        <f t="shared" ref="A346:F346" si="571">A334</f>
        <v>Outubro</v>
      </c>
      <c r="B346" s="14">
        <f t="shared" si="571"/>
        <v>31</v>
      </c>
      <c r="C346" s="15">
        <f t="shared" si="571"/>
        <v>4.33</v>
      </c>
      <c r="D346" s="15">
        <f t="shared" si="571"/>
        <v>4.8763956904995114</v>
      </c>
      <c r="E346" s="15">
        <f t="shared" si="571"/>
        <v>5.57</v>
      </c>
      <c r="F346" s="57">
        <f t="shared" si="571"/>
        <v>5.17</v>
      </c>
      <c r="G346" s="16">
        <f t="shared" si="469"/>
        <v>0.88568144680791838</v>
      </c>
      <c r="H346" s="15">
        <f t="shared" si="457"/>
        <v>7.3963532119168702</v>
      </c>
      <c r="I346" s="17">
        <f t="shared" si="509"/>
        <v>1.5057495868820365</v>
      </c>
      <c r="J346" s="14">
        <f t="shared" si="470"/>
        <v>322</v>
      </c>
      <c r="K346" s="25">
        <f t="shared" si="510"/>
        <v>27</v>
      </c>
      <c r="L346" s="18" t="str">
        <f t="shared" ref="L346" si="572">L334</f>
        <v>out</v>
      </c>
      <c r="M346" s="43">
        <f t="shared" si="459"/>
        <v>1340</v>
      </c>
      <c r="N346" s="53">
        <f t="shared" si="566"/>
        <v>1306.7364260781974</v>
      </c>
      <c r="O346" s="43">
        <f t="shared" si="567"/>
        <v>402</v>
      </c>
      <c r="P346" s="43">
        <f t="shared" si="472"/>
        <v>904.73642607819738</v>
      </c>
      <c r="Q346" s="43">
        <f t="shared" si="473"/>
        <v>938</v>
      </c>
      <c r="R346" s="43">
        <f t="shared" si="474"/>
        <v>-33.263573921802617</v>
      </c>
      <c r="S346" s="43">
        <f t="shared" ref="S346:S384" si="573">MAX(0,S345+R346)</f>
        <v>0</v>
      </c>
      <c r="T346" s="43">
        <f t="shared" si="475"/>
        <v>904.73642607819738</v>
      </c>
      <c r="U346" s="50">
        <f t="shared" si="476"/>
        <v>1362.3064998043758</v>
      </c>
      <c r="V346" s="20">
        <f t="shared" si="568"/>
        <v>1576.3518531846082</v>
      </c>
      <c r="W346" s="20">
        <f t="shared" si="569"/>
        <v>8622.6685744526876</v>
      </c>
      <c r="X346" s="19">
        <f t="shared" si="477"/>
        <v>7046.3167212680792</v>
      </c>
      <c r="Y346" s="38">
        <f t="shared" si="570"/>
        <v>0.81718515102679046</v>
      </c>
      <c r="Z346" s="37">
        <f t="shared" ref="Z346:Z384" si="574">Z345+X346</f>
        <v>940151.27131622098</v>
      </c>
      <c r="AA346" s="44">
        <f t="shared" ref="AA346:AA384" si="575">IF(AND(Z346&gt;0,Z345&lt;0),J346,0)</f>
        <v>0</v>
      </c>
      <c r="AC346" s="48">
        <f t="shared" ref="AC346:AC384" si="576">X346</f>
        <v>7046.3167212680792</v>
      </c>
    </row>
    <row r="347" spans="1:29" x14ac:dyDescent="0.2">
      <c r="A347" s="14" t="str">
        <f t="shared" ref="A347:F347" si="577">A335</f>
        <v>Novembro</v>
      </c>
      <c r="B347" s="14">
        <f t="shared" si="577"/>
        <v>30</v>
      </c>
      <c r="C347" s="15">
        <f t="shared" si="577"/>
        <v>4.68</v>
      </c>
      <c r="D347" s="15">
        <f t="shared" si="577"/>
        <v>5.5745347698334964</v>
      </c>
      <c r="E347" s="15">
        <f t="shared" si="577"/>
        <v>5.89</v>
      </c>
      <c r="F347" s="57">
        <f t="shared" si="577"/>
        <v>5.23</v>
      </c>
      <c r="G347" s="16">
        <f t="shared" si="469"/>
        <v>0.88568144680791838</v>
      </c>
      <c r="H347" s="15">
        <f t="shared" si="457"/>
        <v>7.3963532119168702</v>
      </c>
      <c r="I347" s="17">
        <f t="shared" si="509"/>
        <v>1.5057495868820365</v>
      </c>
      <c r="J347" s="14">
        <f t="shared" si="470"/>
        <v>323</v>
      </c>
      <c r="K347" s="25">
        <f t="shared" si="510"/>
        <v>27</v>
      </c>
      <c r="L347" s="18" t="str">
        <f t="shared" ref="L347" si="578">L335</f>
        <v>nov</v>
      </c>
      <c r="M347" s="43">
        <f t="shared" si="459"/>
        <v>1288</v>
      </c>
      <c r="N347" s="53">
        <f t="shared" si="566"/>
        <v>1445.6303195225175</v>
      </c>
      <c r="O347" s="43">
        <f t="shared" si="567"/>
        <v>386.4</v>
      </c>
      <c r="P347" s="43">
        <f t="shared" si="472"/>
        <v>1059.2303195225177</v>
      </c>
      <c r="Q347" s="43">
        <f t="shared" si="473"/>
        <v>901.6</v>
      </c>
      <c r="R347" s="43">
        <f t="shared" si="474"/>
        <v>157.63031952251765</v>
      </c>
      <c r="S347" s="43">
        <f t="shared" si="573"/>
        <v>157.63031952251765</v>
      </c>
      <c r="T347" s="43">
        <f t="shared" si="475"/>
        <v>901.6</v>
      </c>
      <c r="U347" s="50">
        <f t="shared" si="476"/>
        <v>1357.5838275328442</v>
      </c>
      <c r="V347" s="20">
        <f t="shared" si="568"/>
        <v>1357.5838275328442</v>
      </c>
      <c r="W347" s="20">
        <f t="shared" si="569"/>
        <v>8288.0575551455677</v>
      </c>
      <c r="X347" s="19">
        <f t="shared" si="477"/>
        <v>6930.4737276127235</v>
      </c>
      <c r="Y347" s="38">
        <f t="shared" si="570"/>
        <v>0.83619999999999994</v>
      </c>
      <c r="Z347" s="37">
        <f t="shared" si="574"/>
        <v>947081.74504383374</v>
      </c>
      <c r="AA347" s="44">
        <f t="shared" si="575"/>
        <v>0</v>
      </c>
      <c r="AC347" s="48">
        <f t="shared" si="576"/>
        <v>6930.4737276127235</v>
      </c>
    </row>
    <row r="348" spans="1:29" x14ac:dyDescent="0.2">
      <c r="A348" s="14" t="str">
        <f t="shared" ref="A348:F348" si="579">A336</f>
        <v>Dezembro</v>
      </c>
      <c r="B348" s="14">
        <f t="shared" si="579"/>
        <v>31</v>
      </c>
      <c r="C348" s="15">
        <f t="shared" si="579"/>
        <v>4.8499999999999996</v>
      </c>
      <c r="D348" s="15">
        <f t="shared" si="579"/>
        <v>5.6062683643486775</v>
      </c>
      <c r="E348" s="15">
        <f t="shared" si="579"/>
        <v>6.05</v>
      </c>
      <c r="F348" s="57">
        <f t="shared" si="579"/>
        <v>5.29</v>
      </c>
      <c r="G348" s="16">
        <f t="shared" si="469"/>
        <v>0.88568144680791838</v>
      </c>
      <c r="H348" s="15">
        <f t="shared" si="457"/>
        <v>7.3963532119168702</v>
      </c>
      <c r="I348" s="17">
        <f t="shared" si="509"/>
        <v>1.5057495868820365</v>
      </c>
      <c r="J348" s="14">
        <f t="shared" si="470"/>
        <v>324</v>
      </c>
      <c r="K348" s="25">
        <f t="shared" si="510"/>
        <v>27</v>
      </c>
      <c r="L348" s="18" t="str">
        <f t="shared" ref="L348" si="580">L336</f>
        <v>dez</v>
      </c>
      <c r="M348" s="43">
        <f t="shared" si="459"/>
        <v>1140</v>
      </c>
      <c r="N348" s="53">
        <f t="shared" si="566"/>
        <v>1502.3217046018319</v>
      </c>
      <c r="O348" s="43">
        <f t="shared" si="567"/>
        <v>342</v>
      </c>
      <c r="P348" s="43">
        <f t="shared" si="472"/>
        <v>1160.3217046018319</v>
      </c>
      <c r="Q348" s="43">
        <f t="shared" si="473"/>
        <v>798</v>
      </c>
      <c r="R348" s="43">
        <f t="shared" si="474"/>
        <v>362.32170460183193</v>
      </c>
      <c r="S348" s="43">
        <f t="shared" si="573"/>
        <v>519.95202412434958</v>
      </c>
      <c r="T348" s="43">
        <f t="shared" si="475"/>
        <v>798</v>
      </c>
      <c r="U348" s="50">
        <f t="shared" si="476"/>
        <v>1201.5881703318651</v>
      </c>
      <c r="V348" s="20">
        <f t="shared" si="568"/>
        <v>1201.5881703318651</v>
      </c>
      <c r="W348" s="20">
        <f t="shared" si="569"/>
        <v>7335.7031155791519</v>
      </c>
      <c r="X348" s="19">
        <f t="shared" si="477"/>
        <v>6134.1149452472873</v>
      </c>
      <c r="Y348" s="38">
        <f t="shared" si="570"/>
        <v>0.83620000000000005</v>
      </c>
      <c r="Z348" s="37">
        <f t="shared" si="574"/>
        <v>953215.85998908104</v>
      </c>
      <c r="AA348" s="44">
        <f t="shared" si="575"/>
        <v>0</v>
      </c>
      <c r="AC348" s="48">
        <f t="shared" si="576"/>
        <v>6134.1149452472873</v>
      </c>
    </row>
    <row r="349" spans="1:29" x14ac:dyDescent="0.2">
      <c r="A349" s="14" t="str">
        <f t="shared" ref="A349:F349" si="581">A337</f>
        <v>Janeiro</v>
      </c>
      <c r="B349" s="14">
        <f t="shared" si="581"/>
        <v>30</v>
      </c>
      <c r="C349" s="15">
        <f t="shared" si="581"/>
        <v>4.87</v>
      </c>
      <c r="D349" s="15">
        <f t="shared" si="581"/>
        <v>5.4581782566111663</v>
      </c>
      <c r="E349" s="15">
        <f t="shared" si="581"/>
        <v>6.01</v>
      </c>
      <c r="F349" s="57">
        <f t="shared" si="581"/>
        <v>5.31</v>
      </c>
      <c r="G349" s="16">
        <f t="shared" si="469"/>
        <v>0.88174547845830398</v>
      </c>
      <c r="H349" s="15">
        <f t="shared" si="457"/>
        <v>7.9880614688702201</v>
      </c>
      <c r="I349" s="17">
        <f t="shared" si="509"/>
        <v>1.6262095538325996</v>
      </c>
      <c r="J349" s="14">
        <f t="shared" si="470"/>
        <v>325</v>
      </c>
      <c r="K349" s="25">
        <f t="shared" si="510"/>
        <v>28</v>
      </c>
      <c r="L349" s="18" t="str">
        <f t="shared" ref="L349" si="582">L337</f>
        <v>jan</v>
      </c>
      <c r="M349" s="43">
        <f t="shared" si="459"/>
        <v>836</v>
      </c>
      <c r="N349" s="53">
        <f t="shared" si="566"/>
        <v>1409.1655867275158</v>
      </c>
      <c r="O349" s="43">
        <f t="shared" si="567"/>
        <v>250.79999999999998</v>
      </c>
      <c r="P349" s="43">
        <f t="shared" si="472"/>
        <v>1158.3655867275158</v>
      </c>
      <c r="Q349" s="43">
        <f t="shared" si="473"/>
        <v>585.20000000000005</v>
      </c>
      <c r="R349" s="43">
        <f t="shared" si="474"/>
        <v>573.1655867275158</v>
      </c>
      <c r="S349" s="43">
        <f t="shared" si="573"/>
        <v>1093.1176108518653</v>
      </c>
      <c r="T349" s="43">
        <f t="shared" si="475"/>
        <v>585.20000000000005</v>
      </c>
      <c r="U349" s="50">
        <f t="shared" si="476"/>
        <v>951.6578309028373</v>
      </c>
      <c r="V349" s="20">
        <f t="shared" si="568"/>
        <v>951.6578309028373</v>
      </c>
      <c r="W349" s="20">
        <f t="shared" si="569"/>
        <v>5809.8768675386891</v>
      </c>
      <c r="X349" s="19">
        <f t="shared" si="477"/>
        <v>4858.2190366358518</v>
      </c>
      <c r="Y349" s="38">
        <f t="shared" si="570"/>
        <v>0.83619999999999994</v>
      </c>
      <c r="Z349" s="37">
        <f t="shared" si="574"/>
        <v>958074.07902571687</v>
      </c>
      <c r="AA349" s="44">
        <f t="shared" si="575"/>
        <v>0</v>
      </c>
      <c r="AC349" s="48">
        <f t="shared" si="576"/>
        <v>4858.2190366358518</v>
      </c>
    </row>
    <row r="350" spans="1:29" x14ac:dyDescent="0.2">
      <c r="A350" s="14" t="str">
        <f t="shared" ref="A350:F350" si="583">A338</f>
        <v>Fevereiro</v>
      </c>
      <c r="B350" s="14">
        <f t="shared" si="583"/>
        <v>28</v>
      </c>
      <c r="C350" s="15">
        <f t="shared" si="583"/>
        <v>4.75</v>
      </c>
      <c r="D350" s="15">
        <f t="shared" si="583"/>
        <v>5.2254652301665043</v>
      </c>
      <c r="E350" s="15">
        <f t="shared" si="583"/>
        <v>5.82</v>
      </c>
      <c r="F350" s="57">
        <f t="shared" si="583"/>
        <v>5.28</v>
      </c>
      <c r="G350" s="16">
        <f t="shared" si="469"/>
        <v>0.88174547845830398</v>
      </c>
      <c r="H350" s="15">
        <f t="shared" si="457"/>
        <v>7.9880614688702201</v>
      </c>
      <c r="I350" s="17">
        <f t="shared" si="509"/>
        <v>1.6262095538325996</v>
      </c>
      <c r="J350" s="14">
        <f t="shared" si="470"/>
        <v>326</v>
      </c>
      <c r="K350" s="25">
        <f t="shared" si="510"/>
        <v>28</v>
      </c>
      <c r="L350" s="18" t="str">
        <f t="shared" ref="L350" si="584">L338</f>
        <v>fev</v>
      </c>
      <c r="M350" s="43">
        <f t="shared" si="459"/>
        <v>1088</v>
      </c>
      <c r="N350" s="53">
        <f t="shared" si="566"/>
        <v>1259.1458911895993</v>
      </c>
      <c r="O350" s="43">
        <f t="shared" si="567"/>
        <v>326.39999999999998</v>
      </c>
      <c r="P350" s="43">
        <f t="shared" si="472"/>
        <v>932.74589118959932</v>
      </c>
      <c r="Q350" s="43">
        <f t="shared" si="473"/>
        <v>761.6</v>
      </c>
      <c r="R350" s="43">
        <f t="shared" si="474"/>
        <v>171.1458911895993</v>
      </c>
      <c r="S350" s="43">
        <f t="shared" si="573"/>
        <v>1264.2635020414646</v>
      </c>
      <c r="T350" s="43">
        <f t="shared" si="475"/>
        <v>761.6</v>
      </c>
      <c r="U350" s="50">
        <f t="shared" si="476"/>
        <v>1238.5211961989078</v>
      </c>
      <c r="V350" s="20">
        <f t="shared" si="568"/>
        <v>1238.5211961989078</v>
      </c>
      <c r="W350" s="20">
        <f t="shared" si="569"/>
        <v>7561.1794639737955</v>
      </c>
      <c r="X350" s="19">
        <f t="shared" si="477"/>
        <v>6322.6582677748875</v>
      </c>
      <c r="Y350" s="38">
        <f t="shared" si="570"/>
        <v>0.83619999999999994</v>
      </c>
      <c r="Z350" s="37">
        <f t="shared" si="574"/>
        <v>964396.73729349172</v>
      </c>
      <c r="AA350" s="44">
        <f t="shared" si="575"/>
        <v>0</v>
      </c>
      <c r="AC350" s="48">
        <f t="shared" si="576"/>
        <v>6322.6582677748875</v>
      </c>
    </row>
    <row r="351" spans="1:29" x14ac:dyDescent="0.2">
      <c r="A351" s="14" t="str">
        <f t="shared" ref="A351:F351" si="585">A339</f>
        <v>Março</v>
      </c>
      <c r="B351" s="14">
        <f t="shared" si="585"/>
        <v>31</v>
      </c>
      <c r="C351" s="15">
        <f t="shared" si="585"/>
        <v>4.21</v>
      </c>
      <c r="D351" s="15">
        <f t="shared" si="585"/>
        <v>4.7494613124387861</v>
      </c>
      <c r="E351" s="15">
        <f t="shared" si="585"/>
        <v>5.43</v>
      </c>
      <c r="F351" s="57">
        <f t="shared" si="585"/>
        <v>5.14</v>
      </c>
      <c r="G351" s="16">
        <f t="shared" si="469"/>
        <v>0.88174547845830398</v>
      </c>
      <c r="H351" s="15">
        <f t="shared" si="457"/>
        <v>7.9880614688702201</v>
      </c>
      <c r="I351" s="17">
        <f t="shared" si="509"/>
        <v>1.6262095538325996</v>
      </c>
      <c r="J351" s="14">
        <f t="shared" si="470"/>
        <v>327</v>
      </c>
      <c r="K351" s="25">
        <f t="shared" si="510"/>
        <v>28</v>
      </c>
      <c r="L351" s="18" t="str">
        <f t="shared" ref="L351" si="586">L339</f>
        <v>mar</v>
      </c>
      <c r="M351" s="43">
        <f t="shared" si="459"/>
        <v>1152</v>
      </c>
      <c r="N351" s="53">
        <f t="shared" si="566"/>
        <v>1267.0656202622927</v>
      </c>
      <c r="O351" s="43">
        <f t="shared" si="567"/>
        <v>345.59999999999997</v>
      </c>
      <c r="P351" s="43">
        <f t="shared" si="472"/>
        <v>921.46562026229276</v>
      </c>
      <c r="Q351" s="43">
        <f t="shared" si="473"/>
        <v>806.40000000000009</v>
      </c>
      <c r="R351" s="43">
        <f t="shared" si="474"/>
        <v>115.06562026229267</v>
      </c>
      <c r="S351" s="43">
        <f t="shared" si="573"/>
        <v>1379.3291223037572</v>
      </c>
      <c r="T351" s="43">
        <f t="shared" si="475"/>
        <v>806.40000000000009</v>
      </c>
      <c r="U351" s="50">
        <f t="shared" si="476"/>
        <v>1311.3753842106084</v>
      </c>
      <c r="V351" s="20">
        <f t="shared" si="568"/>
        <v>1311.3753842106084</v>
      </c>
      <c r="W351" s="20">
        <f t="shared" si="569"/>
        <v>8005.9547265604897</v>
      </c>
      <c r="X351" s="19">
        <f t="shared" si="477"/>
        <v>6694.5793423498817</v>
      </c>
      <c r="Y351" s="38">
        <f t="shared" si="570"/>
        <v>0.83620000000000005</v>
      </c>
      <c r="Z351" s="37">
        <f t="shared" si="574"/>
        <v>971091.31663584162</v>
      </c>
      <c r="AA351" s="44">
        <f t="shared" si="575"/>
        <v>0</v>
      </c>
      <c r="AC351" s="48">
        <f t="shared" si="576"/>
        <v>6694.5793423498817</v>
      </c>
    </row>
    <row r="352" spans="1:29" x14ac:dyDescent="0.2">
      <c r="A352" s="14" t="str">
        <f t="shared" ref="A352:F352" si="587">A340</f>
        <v>Abril</v>
      </c>
      <c r="B352" s="14">
        <f t="shared" si="587"/>
        <v>30</v>
      </c>
      <c r="C352" s="15">
        <f t="shared" si="587"/>
        <v>3.59</v>
      </c>
      <c r="D352" s="15">
        <f t="shared" si="587"/>
        <v>4.1465230166503426</v>
      </c>
      <c r="E352" s="15">
        <f t="shared" si="587"/>
        <v>4.91</v>
      </c>
      <c r="F352" s="57">
        <f t="shared" si="587"/>
        <v>4.97</v>
      </c>
      <c r="G352" s="16">
        <f t="shared" si="469"/>
        <v>0.88174547845830398</v>
      </c>
      <c r="H352" s="15">
        <f t="shared" si="457"/>
        <v>7.9880614688702201</v>
      </c>
      <c r="I352" s="17">
        <f t="shared" si="509"/>
        <v>1.6262095538325996</v>
      </c>
      <c r="J352" s="14">
        <f t="shared" si="470"/>
        <v>328</v>
      </c>
      <c r="K352" s="25">
        <f t="shared" si="510"/>
        <v>28</v>
      </c>
      <c r="L352" s="18" t="str">
        <f t="shared" ref="L352" si="588">L340</f>
        <v>abr</v>
      </c>
      <c r="M352" s="43">
        <f t="shared" si="459"/>
        <v>1000</v>
      </c>
      <c r="N352" s="53">
        <f t="shared" si="566"/>
        <v>1070.5288953433837</v>
      </c>
      <c r="O352" s="43">
        <f t="shared" si="567"/>
        <v>300</v>
      </c>
      <c r="P352" s="43">
        <f t="shared" si="472"/>
        <v>770.52889534338374</v>
      </c>
      <c r="Q352" s="43">
        <f t="shared" si="473"/>
        <v>700</v>
      </c>
      <c r="R352" s="43">
        <f t="shared" si="474"/>
        <v>70.528895343383738</v>
      </c>
      <c r="S352" s="43">
        <f t="shared" si="573"/>
        <v>1449.858017647141</v>
      </c>
      <c r="T352" s="43">
        <f t="shared" si="475"/>
        <v>700</v>
      </c>
      <c r="U352" s="50">
        <f t="shared" si="476"/>
        <v>1138.3466876828197</v>
      </c>
      <c r="V352" s="20">
        <f t="shared" si="568"/>
        <v>1138.3466876828197</v>
      </c>
      <c r="W352" s="20">
        <f t="shared" si="569"/>
        <v>6949.6134779170916</v>
      </c>
      <c r="X352" s="19">
        <f t="shared" si="477"/>
        <v>5811.2667902342719</v>
      </c>
      <c r="Y352" s="38">
        <f t="shared" si="570"/>
        <v>0.83619999999999994</v>
      </c>
      <c r="Z352" s="37">
        <f t="shared" si="574"/>
        <v>976902.58342607587</v>
      </c>
      <c r="AA352" s="44">
        <f t="shared" si="575"/>
        <v>0</v>
      </c>
      <c r="AC352" s="48">
        <f t="shared" si="576"/>
        <v>5811.2667902342719</v>
      </c>
    </row>
    <row r="353" spans="1:29" x14ac:dyDescent="0.2">
      <c r="A353" s="14" t="str">
        <f t="shared" ref="A353:F353" si="589">A341</f>
        <v>Maio</v>
      </c>
      <c r="B353" s="14">
        <f t="shared" si="589"/>
        <v>31</v>
      </c>
      <c r="C353" s="15">
        <f t="shared" si="589"/>
        <v>2.98</v>
      </c>
      <c r="D353" s="15">
        <f t="shared" si="589"/>
        <v>3.3849167482859945</v>
      </c>
      <c r="E353" s="15">
        <f t="shared" si="589"/>
        <v>4.25</v>
      </c>
      <c r="F353" s="57">
        <f t="shared" si="589"/>
        <v>4.66</v>
      </c>
      <c r="G353" s="16">
        <f t="shared" si="469"/>
        <v>0.88174547845830398</v>
      </c>
      <c r="H353" s="15">
        <f t="shared" si="457"/>
        <v>7.9880614688702201</v>
      </c>
      <c r="I353" s="17">
        <f t="shared" si="509"/>
        <v>1.6262095538325996</v>
      </c>
      <c r="J353" s="14">
        <f t="shared" si="470"/>
        <v>329</v>
      </c>
      <c r="K353" s="25">
        <f t="shared" si="510"/>
        <v>28</v>
      </c>
      <c r="L353" s="18" t="str">
        <f t="shared" ref="L353" si="590">L341</f>
        <v>mai</v>
      </c>
      <c r="M353" s="43">
        <f t="shared" si="459"/>
        <v>1396</v>
      </c>
      <c r="N353" s="53">
        <f t="shared" si="566"/>
        <v>903.03117702435122</v>
      </c>
      <c r="O353" s="43">
        <f t="shared" si="567"/>
        <v>418.8</v>
      </c>
      <c r="P353" s="43">
        <f t="shared" si="472"/>
        <v>484.23117702435121</v>
      </c>
      <c r="Q353" s="43">
        <f t="shared" si="473"/>
        <v>977.2</v>
      </c>
      <c r="R353" s="43">
        <f t="shared" si="474"/>
        <v>-492.96882297564883</v>
      </c>
      <c r="S353" s="43">
        <f t="shared" si="573"/>
        <v>956.88919467149208</v>
      </c>
      <c r="T353" s="43">
        <f t="shared" si="475"/>
        <v>977.2</v>
      </c>
      <c r="U353" s="50">
        <f t="shared" si="476"/>
        <v>1589.1319760052163</v>
      </c>
      <c r="V353" s="20">
        <f t="shared" si="568"/>
        <v>1589.1319760052163</v>
      </c>
      <c r="W353" s="20">
        <f t="shared" si="569"/>
        <v>9701.6604151722604</v>
      </c>
      <c r="X353" s="19">
        <f t="shared" si="477"/>
        <v>8112.5284391670439</v>
      </c>
      <c r="Y353" s="38">
        <f t="shared" si="570"/>
        <v>0.83619999999999994</v>
      </c>
      <c r="Z353" s="37">
        <f t="shared" si="574"/>
        <v>985015.11186524294</v>
      </c>
      <c r="AA353" s="44">
        <f t="shared" si="575"/>
        <v>0</v>
      </c>
      <c r="AC353" s="48">
        <f t="shared" si="576"/>
        <v>8112.5284391670439</v>
      </c>
    </row>
    <row r="354" spans="1:29" x14ac:dyDescent="0.2">
      <c r="A354" s="14" t="str">
        <f t="shared" ref="A354:F354" si="591">A342</f>
        <v>Junho</v>
      </c>
      <c r="B354" s="14">
        <f t="shared" si="591"/>
        <v>30</v>
      </c>
      <c r="C354" s="15">
        <f t="shared" si="591"/>
        <v>2.74</v>
      </c>
      <c r="D354" s="15">
        <f t="shared" si="591"/>
        <v>3.1945151811949071</v>
      </c>
      <c r="E354" s="15">
        <f t="shared" si="591"/>
        <v>3.92</v>
      </c>
      <c r="F354" s="57">
        <f t="shared" si="591"/>
        <v>4.47</v>
      </c>
      <c r="G354" s="16">
        <f t="shared" si="469"/>
        <v>0.88174547845830398</v>
      </c>
      <c r="H354" s="15">
        <f t="shared" si="457"/>
        <v>7.9880614688702201</v>
      </c>
      <c r="I354" s="17">
        <f t="shared" si="509"/>
        <v>1.6262095538325996</v>
      </c>
      <c r="J354" s="14">
        <f t="shared" si="470"/>
        <v>330</v>
      </c>
      <c r="K354" s="25">
        <f t="shared" si="510"/>
        <v>28</v>
      </c>
      <c r="L354" s="18" t="str">
        <f t="shared" ref="L354" si="592">L342</f>
        <v>jun</v>
      </c>
      <c r="M354" s="43">
        <f t="shared" si="459"/>
        <v>1428</v>
      </c>
      <c r="N354" s="53">
        <f t="shared" si="566"/>
        <v>824.74419998393353</v>
      </c>
      <c r="O354" s="43">
        <f t="shared" si="567"/>
        <v>428.4</v>
      </c>
      <c r="P354" s="43">
        <f t="shared" si="472"/>
        <v>396.34419998393355</v>
      </c>
      <c r="Q354" s="43">
        <f t="shared" si="473"/>
        <v>999.6</v>
      </c>
      <c r="R354" s="43">
        <f t="shared" si="474"/>
        <v>-603.25580001606647</v>
      </c>
      <c r="S354" s="43">
        <f t="shared" si="573"/>
        <v>353.6333946554256</v>
      </c>
      <c r="T354" s="43">
        <f t="shared" si="475"/>
        <v>999.6</v>
      </c>
      <c r="U354" s="50">
        <f t="shared" si="476"/>
        <v>1625.5590700110665</v>
      </c>
      <c r="V354" s="20">
        <f t="shared" si="568"/>
        <v>1625.5590700110665</v>
      </c>
      <c r="W354" s="20">
        <f t="shared" si="569"/>
        <v>9924.0480464656066</v>
      </c>
      <c r="X354" s="19">
        <f t="shared" si="477"/>
        <v>8298.4889764545405</v>
      </c>
      <c r="Y354" s="38">
        <f t="shared" si="570"/>
        <v>0.83620000000000005</v>
      </c>
      <c r="Z354" s="37">
        <f t="shared" si="574"/>
        <v>993313.60084169754</v>
      </c>
      <c r="AA354" s="44">
        <f t="shared" si="575"/>
        <v>0</v>
      </c>
      <c r="AC354" s="48">
        <f t="shared" si="576"/>
        <v>8298.4889764545405</v>
      </c>
    </row>
    <row r="355" spans="1:29" x14ac:dyDescent="0.2">
      <c r="A355" s="14" t="str">
        <f t="shared" ref="A355:F355" si="593">A343</f>
        <v>Julho</v>
      </c>
      <c r="B355" s="14">
        <f t="shared" si="593"/>
        <v>31</v>
      </c>
      <c r="C355" s="15">
        <f t="shared" si="593"/>
        <v>2.91</v>
      </c>
      <c r="D355" s="15">
        <f t="shared" si="593"/>
        <v>3.4272282076395695</v>
      </c>
      <c r="E355" s="15">
        <f t="shared" si="593"/>
        <v>4.18</v>
      </c>
      <c r="F355" s="57">
        <f t="shared" si="593"/>
        <v>4.74</v>
      </c>
      <c r="G355" s="16">
        <f t="shared" si="469"/>
        <v>0.88174547845830398</v>
      </c>
      <c r="H355" s="15">
        <f t="shared" si="457"/>
        <v>7.9880614688702201</v>
      </c>
      <c r="I355" s="17">
        <f t="shared" si="509"/>
        <v>1.6262095538325996</v>
      </c>
      <c r="J355" s="14">
        <f t="shared" si="470"/>
        <v>331</v>
      </c>
      <c r="K355" s="25">
        <f t="shared" si="510"/>
        <v>28</v>
      </c>
      <c r="L355" s="18" t="str">
        <f t="shared" ref="L355" si="594">L343</f>
        <v>jul</v>
      </c>
      <c r="M355" s="43">
        <f t="shared" si="459"/>
        <v>1392</v>
      </c>
      <c r="N355" s="53">
        <f t="shared" si="566"/>
        <v>914.31906673715548</v>
      </c>
      <c r="O355" s="43">
        <f t="shared" si="567"/>
        <v>417.59999999999997</v>
      </c>
      <c r="P355" s="43">
        <f t="shared" si="472"/>
        <v>496.71906673715552</v>
      </c>
      <c r="Q355" s="43">
        <f t="shared" si="473"/>
        <v>974.40000000000009</v>
      </c>
      <c r="R355" s="43">
        <f t="shared" si="474"/>
        <v>-477.68093326284458</v>
      </c>
      <c r="S355" s="43">
        <f t="shared" si="573"/>
        <v>0</v>
      </c>
      <c r="T355" s="43">
        <f t="shared" si="475"/>
        <v>850.35246139258106</v>
      </c>
      <c r="U355" s="50">
        <f t="shared" si="476"/>
        <v>1382.8512968416821</v>
      </c>
      <c r="V355" s="20">
        <f t="shared" si="568"/>
        <v>2244.9337430502419</v>
      </c>
      <c r="W355" s="20">
        <f t="shared" si="569"/>
        <v>9673.8619612605908</v>
      </c>
      <c r="X355" s="19">
        <f t="shared" si="477"/>
        <v>7428.9282182103489</v>
      </c>
      <c r="Y355" s="38">
        <f t="shared" si="570"/>
        <v>0.76793820792149214</v>
      </c>
      <c r="Z355" s="37">
        <f t="shared" si="574"/>
        <v>1000742.5290599079</v>
      </c>
      <c r="AA355" s="44">
        <f t="shared" si="575"/>
        <v>0</v>
      </c>
      <c r="AC355" s="48">
        <f t="shared" si="576"/>
        <v>7428.9282182103489</v>
      </c>
    </row>
    <row r="356" spans="1:29" x14ac:dyDescent="0.2">
      <c r="A356" s="14" t="str">
        <f t="shared" ref="A356:F356" si="595">A344</f>
        <v>Agosto</v>
      </c>
      <c r="B356" s="14">
        <f t="shared" si="595"/>
        <v>31</v>
      </c>
      <c r="C356" s="15">
        <f t="shared" si="595"/>
        <v>3.45</v>
      </c>
      <c r="D356" s="15">
        <f t="shared" si="595"/>
        <v>4.1147894221351615</v>
      </c>
      <c r="E356" s="15">
        <f t="shared" si="595"/>
        <v>4.83</v>
      </c>
      <c r="F356" s="57">
        <f t="shared" si="595"/>
        <v>5.21</v>
      </c>
      <c r="G356" s="16">
        <f t="shared" si="469"/>
        <v>0.88174547845830398</v>
      </c>
      <c r="H356" s="15">
        <f t="shared" si="457"/>
        <v>7.9880614688702201</v>
      </c>
      <c r="I356" s="17">
        <f t="shared" si="509"/>
        <v>1.6262095538325996</v>
      </c>
      <c r="J356" s="14">
        <f t="shared" si="470"/>
        <v>332</v>
      </c>
      <c r="K356" s="25">
        <f t="shared" si="510"/>
        <v>28</v>
      </c>
      <c r="L356" s="18" t="str">
        <f t="shared" ref="L356" si="596">L344</f>
        <v>ago</v>
      </c>
      <c r="M356" s="43">
        <f t="shared" si="459"/>
        <v>1520</v>
      </c>
      <c r="N356" s="53">
        <f t="shared" si="566"/>
        <v>1097.7472745702269</v>
      </c>
      <c r="O356" s="43">
        <f t="shared" si="567"/>
        <v>456</v>
      </c>
      <c r="P356" s="43">
        <f t="shared" si="472"/>
        <v>641.74727457022686</v>
      </c>
      <c r="Q356" s="43">
        <f t="shared" si="473"/>
        <v>1064</v>
      </c>
      <c r="R356" s="43">
        <f t="shared" si="474"/>
        <v>-422.25272542977314</v>
      </c>
      <c r="S356" s="43">
        <f t="shared" si="573"/>
        <v>0</v>
      </c>
      <c r="T356" s="43">
        <f t="shared" si="475"/>
        <v>641.74727457022686</v>
      </c>
      <c r="U356" s="50">
        <f t="shared" si="476"/>
        <v>1043.6155490521353</v>
      </c>
      <c r="V356" s="20">
        <f t="shared" si="568"/>
        <v>3978.1087807861113</v>
      </c>
      <c r="W356" s="20">
        <f t="shared" si="569"/>
        <v>10563.412486433979</v>
      </c>
      <c r="X356" s="19">
        <f t="shared" si="477"/>
        <v>6585.3037056478679</v>
      </c>
      <c r="Y356" s="38">
        <f t="shared" si="570"/>
        <v>0.62340685021104858</v>
      </c>
      <c r="Z356" s="37">
        <f t="shared" si="574"/>
        <v>1007327.8327655557</v>
      </c>
      <c r="AA356" s="44">
        <f t="shared" si="575"/>
        <v>0</v>
      </c>
      <c r="AC356" s="48">
        <f t="shared" si="576"/>
        <v>6585.3037056478679</v>
      </c>
    </row>
    <row r="357" spans="1:29" x14ac:dyDescent="0.2">
      <c r="A357" s="14" t="str">
        <f t="shared" ref="A357:F357" si="597">A345</f>
        <v>Setembro</v>
      </c>
      <c r="B357" s="14">
        <f t="shared" si="597"/>
        <v>30</v>
      </c>
      <c r="C357" s="15">
        <f t="shared" si="597"/>
        <v>3.82</v>
      </c>
      <c r="D357" s="15">
        <f t="shared" si="597"/>
        <v>4.2417238001958868</v>
      </c>
      <c r="E357" s="15">
        <f t="shared" si="597"/>
        <v>5.12</v>
      </c>
      <c r="F357" s="57">
        <f t="shared" si="597"/>
        <v>5.1100000000000003</v>
      </c>
      <c r="G357" s="16">
        <f t="shared" si="469"/>
        <v>0.88174547845830398</v>
      </c>
      <c r="H357" s="15">
        <f t="shared" ref="H357:H384" si="598">(1+$B$13)^K345</f>
        <v>7.9880614688702201</v>
      </c>
      <c r="I357" s="17">
        <f t="shared" si="509"/>
        <v>1.6262095538325996</v>
      </c>
      <c r="J357" s="14">
        <f t="shared" si="470"/>
        <v>333</v>
      </c>
      <c r="K357" s="25">
        <f t="shared" si="510"/>
        <v>28</v>
      </c>
      <c r="L357" s="18" t="str">
        <f t="shared" ref="L357" si="599">L345</f>
        <v>set</v>
      </c>
      <c r="M357" s="43">
        <f t="shared" ref="M357:M384" si="600">M345*(1+$B$14)</f>
        <v>1400</v>
      </c>
      <c r="N357" s="53">
        <f t="shared" si="566"/>
        <v>1095.1073648793292</v>
      </c>
      <c r="O357" s="43">
        <f t="shared" si="567"/>
        <v>420</v>
      </c>
      <c r="P357" s="43">
        <f t="shared" si="472"/>
        <v>675.10736487932923</v>
      </c>
      <c r="Q357" s="43">
        <f t="shared" si="473"/>
        <v>980</v>
      </c>
      <c r="R357" s="43">
        <f t="shared" si="474"/>
        <v>-304.89263512067077</v>
      </c>
      <c r="S357" s="43">
        <f t="shared" si="573"/>
        <v>0</v>
      </c>
      <c r="T357" s="43">
        <f t="shared" si="475"/>
        <v>675.10736487932923</v>
      </c>
      <c r="U357" s="50">
        <f t="shared" si="476"/>
        <v>1097.8660466295159</v>
      </c>
      <c r="V357" s="20">
        <f t="shared" si="568"/>
        <v>3216.7520129817876</v>
      </c>
      <c r="W357" s="20">
        <f t="shared" si="569"/>
        <v>9729.4588690839282</v>
      </c>
      <c r="X357" s="19">
        <f t="shared" si="477"/>
        <v>6512.7068561021406</v>
      </c>
      <c r="Y357" s="38">
        <f t="shared" si="570"/>
        <v>0.66938017249826154</v>
      </c>
      <c r="Z357" s="37">
        <f t="shared" si="574"/>
        <v>1013840.5396216578</v>
      </c>
      <c r="AA357" s="44">
        <f t="shared" si="575"/>
        <v>0</v>
      </c>
      <c r="AC357" s="48">
        <f t="shared" si="576"/>
        <v>6512.7068561021406</v>
      </c>
    </row>
    <row r="358" spans="1:29" x14ac:dyDescent="0.2">
      <c r="A358" s="14" t="str">
        <f t="shared" ref="A358:F358" si="601">A346</f>
        <v>Outubro</v>
      </c>
      <c r="B358" s="14">
        <f t="shared" si="601"/>
        <v>31</v>
      </c>
      <c r="C358" s="15">
        <f t="shared" si="601"/>
        <v>4.33</v>
      </c>
      <c r="D358" s="15">
        <f t="shared" si="601"/>
        <v>4.8763956904995114</v>
      </c>
      <c r="E358" s="15">
        <f t="shared" si="601"/>
        <v>5.57</v>
      </c>
      <c r="F358" s="57">
        <f t="shared" si="601"/>
        <v>5.17</v>
      </c>
      <c r="G358" s="16">
        <f t="shared" si="469"/>
        <v>0.88174547845830398</v>
      </c>
      <c r="H358" s="15">
        <f t="shared" si="598"/>
        <v>7.9880614688702201</v>
      </c>
      <c r="I358" s="17">
        <f t="shared" si="509"/>
        <v>1.6262095538325996</v>
      </c>
      <c r="J358" s="14">
        <f t="shared" si="470"/>
        <v>334</v>
      </c>
      <c r="K358" s="25">
        <f t="shared" si="510"/>
        <v>28</v>
      </c>
      <c r="L358" s="18" t="str">
        <f t="shared" ref="L358" si="602">L346</f>
        <v>out</v>
      </c>
      <c r="M358" s="43">
        <f t="shared" si="600"/>
        <v>1340</v>
      </c>
      <c r="N358" s="53">
        <f t="shared" si="566"/>
        <v>1300.9292894007058</v>
      </c>
      <c r="O358" s="43">
        <f t="shared" si="567"/>
        <v>402</v>
      </c>
      <c r="P358" s="43">
        <f t="shared" si="472"/>
        <v>898.92928940070578</v>
      </c>
      <c r="Q358" s="43">
        <f t="shared" si="473"/>
        <v>938</v>
      </c>
      <c r="R358" s="43">
        <f t="shared" si="474"/>
        <v>-39.070710599294216</v>
      </c>
      <c r="S358" s="43">
        <f t="shared" si="573"/>
        <v>0</v>
      </c>
      <c r="T358" s="43">
        <f t="shared" si="475"/>
        <v>898.92928940070578</v>
      </c>
      <c r="U358" s="50">
        <f t="shared" si="476"/>
        <v>1461.8473986433776</v>
      </c>
      <c r="V358" s="20">
        <f t="shared" si="568"/>
        <v>1733.3737356160309</v>
      </c>
      <c r="W358" s="20">
        <f t="shared" si="569"/>
        <v>9312.4820604089018</v>
      </c>
      <c r="X358" s="19">
        <f t="shared" si="477"/>
        <v>7579.1083247928709</v>
      </c>
      <c r="Y358" s="38">
        <f t="shared" si="570"/>
        <v>0.81386554901562724</v>
      </c>
      <c r="Z358" s="37">
        <f t="shared" si="574"/>
        <v>1021419.6479464506</v>
      </c>
      <c r="AA358" s="44">
        <f t="shared" si="575"/>
        <v>0</v>
      </c>
      <c r="AC358" s="48">
        <f t="shared" si="576"/>
        <v>7579.1083247928709</v>
      </c>
    </row>
    <row r="359" spans="1:29" x14ac:dyDescent="0.2">
      <c r="A359" s="14" t="str">
        <f t="shared" ref="A359:F359" si="603">A347</f>
        <v>Novembro</v>
      </c>
      <c r="B359" s="14">
        <f t="shared" si="603"/>
        <v>30</v>
      </c>
      <c r="C359" s="15">
        <f t="shared" si="603"/>
        <v>4.68</v>
      </c>
      <c r="D359" s="15">
        <f t="shared" si="603"/>
        <v>5.5745347698334964</v>
      </c>
      <c r="E359" s="15">
        <f t="shared" si="603"/>
        <v>5.89</v>
      </c>
      <c r="F359" s="57">
        <f t="shared" si="603"/>
        <v>5.23</v>
      </c>
      <c r="G359" s="16">
        <f t="shared" si="469"/>
        <v>0.88174547845830398</v>
      </c>
      <c r="H359" s="15">
        <f t="shared" si="598"/>
        <v>7.9880614688702201</v>
      </c>
      <c r="I359" s="17">
        <f t="shared" si="509"/>
        <v>1.6262095538325996</v>
      </c>
      <c r="J359" s="14">
        <f t="shared" si="470"/>
        <v>335</v>
      </c>
      <c r="K359" s="25">
        <f t="shared" si="510"/>
        <v>28</v>
      </c>
      <c r="L359" s="18" t="str">
        <f t="shared" ref="L359" si="604">L347</f>
        <v>nov</v>
      </c>
      <c r="M359" s="43">
        <f t="shared" si="600"/>
        <v>1288</v>
      </c>
      <c r="N359" s="53">
        <f t="shared" si="566"/>
        <v>1439.2059383825595</v>
      </c>
      <c r="O359" s="43">
        <f t="shared" si="567"/>
        <v>386.4</v>
      </c>
      <c r="P359" s="43">
        <f t="shared" si="472"/>
        <v>1052.8059383825594</v>
      </c>
      <c r="Q359" s="43">
        <f t="shared" si="473"/>
        <v>901.6</v>
      </c>
      <c r="R359" s="43">
        <f t="shared" si="474"/>
        <v>151.20593838255934</v>
      </c>
      <c r="S359" s="43">
        <f t="shared" si="573"/>
        <v>151.20593838255934</v>
      </c>
      <c r="T359" s="43">
        <f t="shared" si="475"/>
        <v>901.6</v>
      </c>
      <c r="U359" s="50">
        <f t="shared" si="476"/>
        <v>1466.1905337354717</v>
      </c>
      <c r="V359" s="20">
        <f t="shared" si="568"/>
        <v>1466.1905337354717</v>
      </c>
      <c r="W359" s="20">
        <f t="shared" si="569"/>
        <v>8951.1021595572129</v>
      </c>
      <c r="X359" s="19">
        <f t="shared" si="477"/>
        <v>7484.9116258217409</v>
      </c>
      <c r="Y359" s="38">
        <f t="shared" si="570"/>
        <v>0.83619999999999994</v>
      </c>
      <c r="Z359" s="37">
        <f t="shared" si="574"/>
        <v>1028904.5595722724</v>
      </c>
      <c r="AA359" s="44">
        <f t="shared" si="575"/>
        <v>0</v>
      </c>
      <c r="AC359" s="48">
        <f t="shared" si="576"/>
        <v>7484.9116258217409</v>
      </c>
    </row>
    <row r="360" spans="1:29" x14ac:dyDescent="0.2">
      <c r="A360" s="14" t="str">
        <f t="shared" ref="A360:F360" si="605">A348</f>
        <v>Dezembro</v>
      </c>
      <c r="B360" s="14">
        <f t="shared" si="605"/>
        <v>31</v>
      </c>
      <c r="C360" s="15">
        <f t="shared" si="605"/>
        <v>4.8499999999999996</v>
      </c>
      <c r="D360" s="15">
        <f t="shared" si="605"/>
        <v>5.6062683643486775</v>
      </c>
      <c r="E360" s="15">
        <f t="shared" si="605"/>
        <v>6.05</v>
      </c>
      <c r="F360" s="57">
        <f t="shared" si="605"/>
        <v>5.29</v>
      </c>
      <c r="G360" s="16">
        <f t="shared" si="469"/>
        <v>0.88174547845830398</v>
      </c>
      <c r="H360" s="15">
        <f t="shared" si="598"/>
        <v>7.9880614688702201</v>
      </c>
      <c r="I360" s="17">
        <f t="shared" si="509"/>
        <v>1.6262095538325996</v>
      </c>
      <c r="J360" s="14">
        <f t="shared" si="470"/>
        <v>336</v>
      </c>
      <c r="K360" s="25">
        <f t="shared" si="510"/>
        <v>28</v>
      </c>
      <c r="L360" s="18" t="str">
        <f t="shared" ref="L360" si="606">L348</f>
        <v>dez</v>
      </c>
      <c r="M360" s="43">
        <f t="shared" si="600"/>
        <v>1140</v>
      </c>
      <c r="N360" s="53">
        <f t="shared" si="566"/>
        <v>1495.6453869465813</v>
      </c>
      <c r="O360" s="43">
        <f t="shared" si="567"/>
        <v>342</v>
      </c>
      <c r="P360" s="43">
        <f t="shared" si="472"/>
        <v>1153.6453869465813</v>
      </c>
      <c r="Q360" s="43">
        <f t="shared" si="473"/>
        <v>798</v>
      </c>
      <c r="R360" s="43">
        <f t="shared" si="474"/>
        <v>355.64538694658131</v>
      </c>
      <c r="S360" s="43">
        <f t="shared" si="573"/>
        <v>506.85132532914065</v>
      </c>
      <c r="T360" s="43">
        <f t="shared" si="475"/>
        <v>798</v>
      </c>
      <c r="U360" s="50">
        <f t="shared" si="476"/>
        <v>1297.7152239584145</v>
      </c>
      <c r="V360" s="20">
        <f t="shared" si="568"/>
        <v>1297.7152239584145</v>
      </c>
      <c r="W360" s="20">
        <f t="shared" si="569"/>
        <v>7922.5593648254835</v>
      </c>
      <c r="X360" s="19">
        <f t="shared" si="477"/>
        <v>6624.8441408670687</v>
      </c>
      <c r="Y360" s="38">
        <f t="shared" si="570"/>
        <v>0.83619999999999994</v>
      </c>
      <c r="Z360" s="37">
        <f t="shared" si="574"/>
        <v>1035529.4037131395</v>
      </c>
      <c r="AA360" s="44">
        <f t="shared" si="575"/>
        <v>0</v>
      </c>
      <c r="AC360" s="48">
        <f t="shared" si="576"/>
        <v>6624.8441408670687</v>
      </c>
    </row>
    <row r="361" spans="1:29" x14ac:dyDescent="0.2">
      <c r="A361" s="14" t="str">
        <f t="shared" ref="A361:F361" si="607">A349</f>
        <v>Janeiro</v>
      </c>
      <c r="B361" s="14">
        <f t="shared" si="607"/>
        <v>30</v>
      </c>
      <c r="C361" s="15">
        <f t="shared" si="607"/>
        <v>4.87</v>
      </c>
      <c r="D361" s="15">
        <f t="shared" si="607"/>
        <v>5.4581782566111663</v>
      </c>
      <c r="E361" s="15">
        <f t="shared" si="607"/>
        <v>6.01</v>
      </c>
      <c r="F361" s="57">
        <f t="shared" si="607"/>
        <v>5.31</v>
      </c>
      <c r="G361" s="16">
        <f t="shared" ref="G361:G384" si="608">(1-1%)*(1-0.4444%)^K337</f>
        <v>0.8778270015520353</v>
      </c>
      <c r="H361" s="15">
        <f t="shared" si="598"/>
        <v>8.6271063863798378</v>
      </c>
      <c r="I361" s="17">
        <f t="shared" si="509"/>
        <v>1.7563063181392076</v>
      </c>
      <c r="J361" s="14">
        <f t="shared" ref="J361:J384" si="609">J360+1</f>
        <v>337</v>
      </c>
      <c r="K361" s="25">
        <f t="shared" si="510"/>
        <v>29</v>
      </c>
      <c r="L361" s="18" t="str">
        <f t="shared" ref="L361" si="610">L349</f>
        <v>jan</v>
      </c>
      <c r="M361" s="43">
        <f t="shared" si="600"/>
        <v>836</v>
      </c>
      <c r="N361" s="53">
        <f t="shared" si="566"/>
        <v>1402.9032548600987</v>
      </c>
      <c r="O361" s="43">
        <f t="shared" si="567"/>
        <v>250.79999999999998</v>
      </c>
      <c r="P361" s="43">
        <f t="shared" ref="P361:P384" si="611">N361-O361</f>
        <v>1152.1032548600988</v>
      </c>
      <c r="Q361" s="43">
        <f t="shared" ref="Q361:Q384" si="612">M361-O361</f>
        <v>585.20000000000005</v>
      </c>
      <c r="R361" s="43">
        <f t="shared" ref="R361:R384" si="613">P361-Q361</f>
        <v>566.90325486009874</v>
      </c>
      <c r="S361" s="43">
        <f t="shared" si="573"/>
        <v>1073.7545801892393</v>
      </c>
      <c r="T361" s="43">
        <f t="shared" ref="T361:T384" si="614">MIN(Q361,P361+S360)</f>
        <v>585.20000000000005</v>
      </c>
      <c r="U361" s="50">
        <f t="shared" ref="U361:U384" si="615">T361*I361</f>
        <v>1027.7904573750643</v>
      </c>
      <c r="V361" s="20">
        <f t="shared" si="568"/>
        <v>1027.7904573750643</v>
      </c>
      <c r="W361" s="20">
        <f t="shared" si="569"/>
        <v>6274.6670169417839</v>
      </c>
      <c r="X361" s="19">
        <f t="shared" ref="X361:X384" si="616">W361-V361</f>
        <v>5246.8765595667192</v>
      </c>
      <c r="Y361" s="46">
        <f t="shared" si="570"/>
        <v>0.83619999999999994</v>
      </c>
      <c r="Z361" s="19">
        <f t="shared" si="574"/>
        <v>1040776.2802727062</v>
      </c>
      <c r="AA361" s="18">
        <f t="shared" si="575"/>
        <v>0</v>
      </c>
      <c r="AC361" s="48">
        <f t="shared" si="576"/>
        <v>5246.8765595667192</v>
      </c>
    </row>
    <row r="362" spans="1:29" x14ac:dyDescent="0.2">
      <c r="A362" s="14" t="str">
        <f t="shared" ref="A362:F362" si="617">A350</f>
        <v>Fevereiro</v>
      </c>
      <c r="B362" s="14">
        <f t="shared" si="617"/>
        <v>28</v>
      </c>
      <c r="C362" s="15">
        <f t="shared" si="617"/>
        <v>4.75</v>
      </c>
      <c r="D362" s="15">
        <f t="shared" si="617"/>
        <v>5.2254652301665043</v>
      </c>
      <c r="E362" s="15">
        <f t="shared" si="617"/>
        <v>5.82</v>
      </c>
      <c r="F362" s="57">
        <f t="shared" si="617"/>
        <v>5.28</v>
      </c>
      <c r="G362" s="16">
        <f t="shared" si="608"/>
        <v>0.8778270015520353</v>
      </c>
      <c r="H362" s="15">
        <f t="shared" si="598"/>
        <v>8.6271063863798378</v>
      </c>
      <c r="I362" s="17">
        <f t="shared" si="509"/>
        <v>1.7563063181392076</v>
      </c>
      <c r="J362" s="14">
        <f t="shared" si="609"/>
        <v>338</v>
      </c>
      <c r="K362" s="25">
        <f t="shared" si="510"/>
        <v>29</v>
      </c>
      <c r="L362" s="18" t="str">
        <f t="shared" ref="L362" si="618">L350</f>
        <v>fev</v>
      </c>
      <c r="M362" s="43">
        <f t="shared" si="600"/>
        <v>1088</v>
      </c>
      <c r="N362" s="53">
        <f t="shared" si="566"/>
        <v>1253.5502468491529</v>
      </c>
      <c r="O362" s="43">
        <f t="shared" si="567"/>
        <v>326.39999999999998</v>
      </c>
      <c r="P362" s="43">
        <f t="shared" si="611"/>
        <v>927.15024684915295</v>
      </c>
      <c r="Q362" s="43">
        <f t="shared" si="612"/>
        <v>761.6</v>
      </c>
      <c r="R362" s="43">
        <f t="shared" si="613"/>
        <v>165.55024684915293</v>
      </c>
      <c r="S362" s="43">
        <f t="shared" si="573"/>
        <v>1239.3048270383922</v>
      </c>
      <c r="T362" s="43">
        <f t="shared" si="614"/>
        <v>761.6</v>
      </c>
      <c r="U362" s="50">
        <f t="shared" si="615"/>
        <v>1337.6028918948205</v>
      </c>
      <c r="V362" s="20">
        <f t="shared" si="568"/>
        <v>1337.6028918948205</v>
      </c>
      <c r="W362" s="20">
        <f t="shared" si="569"/>
        <v>8166.0738210916988</v>
      </c>
      <c r="X362" s="19">
        <f t="shared" si="616"/>
        <v>6828.4709291968784</v>
      </c>
      <c r="Y362" s="38">
        <f t="shared" si="570"/>
        <v>0.83619999999999994</v>
      </c>
      <c r="Z362" s="37">
        <f t="shared" si="574"/>
        <v>1047604.7512019031</v>
      </c>
      <c r="AA362" s="44">
        <f t="shared" si="575"/>
        <v>0</v>
      </c>
      <c r="AC362" s="48">
        <f t="shared" si="576"/>
        <v>6828.4709291968784</v>
      </c>
    </row>
    <row r="363" spans="1:29" x14ac:dyDescent="0.2">
      <c r="A363" s="14" t="str">
        <f t="shared" ref="A363:F363" si="619">A351</f>
        <v>Março</v>
      </c>
      <c r="B363" s="14">
        <f t="shared" si="619"/>
        <v>31</v>
      </c>
      <c r="C363" s="15">
        <f t="shared" si="619"/>
        <v>4.21</v>
      </c>
      <c r="D363" s="15">
        <f t="shared" si="619"/>
        <v>4.7494613124387861</v>
      </c>
      <c r="E363" s="15">
        <f t="shared" si="619"/>
        <v>5.43</v>
      </c>
      <c r="F363" s="57">
        <f t="shared" si="619"/>
        <v>5.14</v>
      </c>
      <c r="G363" s="16">
        <f t="shared" si="608"/>
        <v>0.8778270015520353</v>
      </c>
      <c r="H363" s="15">
        <f t="shared" si="598"/>
        <v>8.6271063863798378</v>
      </c>
      <c r="I363" s="17">
        <f t="shared" si="509"/>
        <v>1.7563063181392076</v>
      </c>
      <c r="J363" s="14">
        <f t="shared" si="609"/>
        <v>339</v>
      </c>
      <c r="K363" s="25">
        <f t="shared" si="510"/>
        <v>29</v>
      </c>
      <c r="L363" s="18" t="str">
        <f t="shared" ref="L363" si="620">L351</f>
        <v>mar</v>
      </c>
      <c r="M363" s="43">
        <f t="shared" si="600"/>
        <v>1152</v>
      </c>
      <c r="N363" s="53">
        <f t="shared" si="566"/>
        <v>1261.434780645847</v>
      </c>
      <c r="O363" s="43">
        <f t="shared" si="567"/>
        <v>345.59999999999997</v>
      </c>
      <c r="P363" s="43">
        <f t="shared" si="611"/>
        <v>915.8347806458471</v>
      </c>
      <c r="Q363" s="43">
        <f t="shared" si="612"/>
        <v>806.40000000000009</v>
      </c>
      <c r="R363" s="43">
        <f t="shared" si="613"/>
        <v>109.43478064584701</v>
      </c>
      <c r="S363" s="43">
        <f t="shared" si="573"/>
        <v>1348.7396076842392</v>
      </c>
      <c r="T363" s="43">
        <f t="shared" si="614"/>
        <v>806.40000000000009</v>
      </c>
      <c r="U363" s="50">
        <f t="shared" si="615"/>
        <v>1416.2854149474572</v>
      </c>
      <c r="V363" s="20">
        <f t="shared" si="568"/>
        <v>1416.2854149474572</v>
      </c>
      <c r="W363" s="20">
        <f t="shared" si="569"/>
        <v>8646.431104685329</v>
      </c>
      <c r="X363" s="19">
        <f t="shared" si="616"/>
        <v>7230.1456897378721</v>
      </c>
      <c r="Y363" s="38">
        <f t="shared" si="570"/>
        <v>0.83619999999999994</v>
      </c>
      <c r="Z363" s="37">
        <f t="shared" si="574"/>
        <v>1054834.896891641</v>
      </c>
      <c r="AA363" s="44">
        <f t="shared" si="575"/>
        <v>0</v>
      </c>
      <c r="AC363" s="48">
        <f t="shared" si="576"/>
        <v>7230.1456897378721</v>
      </c>
    </row>
    <row r="364" spans="1:29" x14ac:dyDescent="0.2">
      <c r="A364" s="14" t="str">
        <f t="shared" ref="A364:F364" si="621">A352</f>
        <v>Abril</v>
      </c>
      <c r="B364" s="14">
        <f t="shared" si="621"/>
        <v>30</v>
      </c>
      <c r="C364" s="15">
        <f t="shared" si="621"/>
        <v>3.59</v>
      </c>
      <c r="D364" s="15">
        <f t="shared" si="621"/>
        <v>4.1465230166503426</v>
      </c>
      <c r="E364" s="15">
        <f t="shared" si="621"/>
        <v>4.91</v>
      </c>
      <c r="F364" s="57">
        <f t="shared" si="621"/>
        <v>4.97</v>
      </c>
      <c r="G364" s="16">
        <f t="shared" si="608"/>
        <v>0.8778270015520353</v>
      </c>
      <c r="H364" s="15">
        <f t="shared" si="598"/>
        <v>8.6271063863798378</v>
      </c>
      <c r="I364" s="17">
        <f t="shared" si="509"/>
        <v>1.7563063181392076</v>
      </c>
      <c r="J364" s="14">
        <f t="shared" si="609"/>
        <v>340</v>
      </c>
      <c r="K364" s="25">
        <f t="shared" si="510"/>
        <v>29</v>
      </c>
      <c r="L364" s="18" t="str">
        <f t="shared" ref="L364" si="622">L352</f>
        <v>abr</v>
      </c>
      <c r="M364" s="43">
        <f t="shared" si="600"/>
        <v>1000</v>
      </c>
      <c r="N364" s="53">
        <f t="shared" si="566"/>
        <v>1065.7714649324778</v>
      </c>
      <c r="O364" s="43">
        <f t="shared" si="567"/>
        <v>300</v>
      </c>
      <c r="P364" s="43">
        <f t="shared" si="611"/>
        <v>765.77146493247778</v>
      </c>
      <c r="Q364" s="43">
        <f t="shared" si="612"/>
        <v>700</v>
      </c>
      <c r="R364" s="43">
        <f t="shared" si="613"/>
        <v>65.771464932477784</v>
      </c>
      <c r="S364" s="43">
        <f t="shared" si="573"/>
        <v>1414.511072616717</v>
      </c>
      <c r="T364" s="43">
        <f t="shared" si="614"/>
        <v>700</v>
      </c>
      <c r="U364" s="50">
        <f t="shared" si="615"/>
        <v>1229.4144226974454</v>
      </c>
      <c r="V364" s="20">
        <f t="shared" si="568"/>
        <v>1229.4144226974454</v>
      </c>
      <c r="W364" s="20">
        <f t="shared" si="569"/>
        <v>7505.5825561504589</v>
      </c>
      <c r="X364" s="19">
        <f t="shared" si="616"/>
        <v>6276.1681334530131</v>
      </c>
      <c r="Y364" s="38">
        <f t="shared" si="570"/>
        <v>0.83619999999999994</v>
      </c>
      <c r="Z364" s="37">
        <f t="shared" si="574"/>
        <v>1061111.065025094</v>
      </c>
      <c r="AA364" s="44">
        <f t="shared" si="575"/>
        <v>0</v>
      </c>
      <c r="AC364" s="48">
        <f t="shared" si="576"/>
        <v>6276.1681334530131</v>
      </c>
    </row>
    <row r="365" spans="1:29" x14ac:dyDescent="0.2">
      <c r="A365" s="14" t="str">
        <f t="shared" ref="A365:F365" si="623">A353</f>
        <v>Maio</v>
      </c>
      <c r="B365" s="14">
        <f t="shared" si="623"/>
        <v>31</v>
      </c>
      <c r="C365" s="15">
        <f t="shared" si="623"/>
        <v>2.98</v>
      </c>
      <c r="D365" s="15">
        <f t="shared" si="623"/>
        <v>3.3849167482859945</v>
      </c>
      <c r="E365" s="15">
        <f t="shared" si="623"/>
        <v>4.25</v>
      </c>
      <c r="F365" s="57">
        <f t="shared" si="623"/>
        <v>4.66</v>
      </c>
      <c r="G365" s="16">
        <f t="shared" si="608"/>
        <v>0.8778270015520353</v>
      </c>
      <c r="H365" s="15">
        <f t="shared" si="598"/>
        <v>8.6271063863798378</v>
      </c>
      <c r="I365" s="17">
        <f t="shared" si="509"/>
        <v>1.7563063181392076</v>
      </c>
      <c r="J365" s="14">
        <f t="shared" si="609"/>
        <v>341</v>
      </c>
      <c r="K365" s="25">
        <f t="shared" si="510"/>
        <v>29</v>
      </c>
      <c r="L365" s="18" t="str">
        <f t="shared" ref="L365" si="624">L353</f>
        <v>mai</v>
      </c>
      <c r="M365" s="43">
        <f t="shared" si="600"/>
        <v>1396</v>
      </c>
      <c r="N365" s="53">
        <f t="shared" si="566"/>
        <v>899.01810647365505</v>
      </c>
      <c r="O365" s="43">
        <f t="shared" si="567"/>
        <v>418.8</v>
      </c>
      <c r="P365" s="43">
        <f t="shared" si="611"/>
        <v>480.21810647365504</v>
      </c>
      <c r="Q365" s="43">
        <f t="shared" si="612"/>
        <v>977.2</v>
      </c>
      <c r="R365" s="43">
        <f t="shared" si="613"/>
        <v>-496.981893526345</v>
      </c>
      <c r="S365" s="43">
        <f t="shared" si="573"/>
        <v>917.52917909037205</v>
      </c>
      <c r="T365" s="43">
        <f t="shared" si="614"/>
        <v>977.2</v>
      </c>
      <c r="U365" s="50">
        <f t="shared" si="615"/>
        <v>1716.2625340856337</v>
      </c>
      <c r="V365" s="20">
        <f t="shared" si="568"/>
        <v>1716.2625340856337</v>
      </c>
      <c r="W365" s="20">
        <f t="shared" si="569"/>
        <v>10477.79324838604</v>
      </c>
      <c r="X365" s="19">
        <f t="shared" si="616"/>
        <v>8761.5307143004065</v>
      </c>
      <c r="Y365" s="38">
        <f t="shared" si="570"/>
        <v>0.83619999999999994</v>
      </c>
      <c r="Z365" s="37">
        <f t="shared" si="574"/>
        <v>1069872.5957393944</v>
      </c>
      <c r="AA365" s="44">
        <f t="shared" si="575"/>
        <v>0</v>
      </c>
      <c r="AC365" s="48">
        <f t="shared" si="576"/>
        <v>8761.5307143004065</v>
      </c>
    </row>
    <row r="366" spans="1:29" x14ac:dyDescent="0.2">
      <c r="A366" s="14" t="str">
        <f t="shared" ref="A366:F366" si="625">A354</f>
        <v>Junho</v>
      </c>
      <c r="B366" s="14">
        <f t="shared" si="625"/>
        <v>30</v>
      </c>
      <c r="C366" s="15">
        <f t="shared" si="625"/>
        <v>2.74</v>
      </c>
      <c r="D366" s="15">
        <f t="shared" si="625"/>
        <v>3.1945151811949071</v>
      </c>
      <c r="E366" s="15">
        <f t="shared" si="625"/>
        <v>3.92</v>
      </c>
      <c r="F366" s="57">
        <f t="shared" si="625"/>
        <v>4.47</v>
      </c>
      <c r="G366" s="16">
        <f t="shared" si="608"/>
        <v>0.8778270015520353</v>
      </c>
      <c r="H366" s="15">
        <f t="shared" si="598"/>
        <v>8.6271063863798378</v>
      </c>
      <c r="I366" s="17">
        <f t="shared" si="509"/>
        <v>1.7563063181392076</v>
      </c>
      <c r="J366" s="14">
        <f t="shared" si="609"/>
        <v>342</v>
      </c>
      <c r="K366" s="25">
        <f t="shared" si="510"/>
        <v>29</v>
      </c>
      <c r="L366" s="18" t="str">
        <f t="shared" ref="L366" si="626">L354</f>
        <v>jun</v>
      </c>
      <c r="M366" s="43">
        <f t="shared" si="600"/>
        <v>1428</v>
      </c>
      <c r="N366" s="53">
        <f t="shared" si="566"/>
        <v>821.07903675920488</v>
      </c>
      <c r="O366" s="43">
        <f t="shared" si="567"/>
        <v>428.4</v>
      </c>
      <c r="P366" s="43">
        <f t="shared" si="611"/>
        <v>392.67903675920491</v>
      </c>
      <c r="Q366" s="43">
        <f t="shared" si="612"/>
        <v>999.6</v>
      </c>
      <c r="R366" s="43">
        <f t="shared" si="613"/>
        <v>-606.92096324079512</v>
      </c>
      <c r="S366" s="43">
        <f t="shared" si="573"/>
        <v>310.60821584957694</v>
      </c>
      <c r="T366" s="43">
        <f t="shared" si="614"/>
        <v>999.6</v>
      </c>
      <c r="U366" s="50">
        <f t="shared" si="615"/>
        <v>1755.6037956119519</v>
      </c>
      <c r="V366" s="20">
        <f t="shared" si="568"/>
        <v>1755.6037956119519</v>
      </c>
      <c r="W366" s="20">
        <f t="shared" si="569"/>
        <v>10717.971890182855</v>
      </c>
      <c r="X366" s="19">
        <f t="shared" si="616"/>
        <v>8962.368094570902</v>
      </c>
      <c r="Y366" s="38">
        <f t="shared" si="570"/>
        <v>0.83619999999999994</v>
      </c>
      <c r="Z366" s="37">
        <f t="shared" si="574"/>
        <v>1078834.9638339654</v>
      </c>
      <c r="AA366" s="44">
        <f t="shared" si="575"/>
        <v>0</v>
      </c>
      <c r="AC366" s="48">
        <f t="shared" si="576"/>
        <v>8962.368094570902</v>
      </c>
    </row>
    <row r="367" spans="1:29" x14ac:dyDescent="0.2">
      <c r="A367" s="14" t="str">
        <f t="shared" ref="A367:F367" si="627">A355</f>
        <v>Julho</v>
      </c>
      <c r="B367" s="14">
        <f t="shared" si="627"/>
        <v>31</v>
      </c>
      <c r="C367" s="15">
        <f t="shared" si="627"/>
        <v>2.91</v>
      </c>
      <c r="D367" s="15">
        <f t="shared" si="627"/>
        <v>3.4272282076395695</v>
      </c>
      <c r="E367" s="15">
        <f t="shared" si="627"/>
        <v>4.18</v>
      </c>
      <c r="F367" s="57">
        <f t="shared" si="627"/>
        <v>4.74</v>
      </c>
      <c r="G367" s="16">
        <f t="shared" si="608"/>
        <v>0.8778270015520353</v>
      </c>
      <c r="H367" s="15">
        <f t="shared" si="598"/>
        <v>8.6271063863798378</v>
      </c>
      <c r="I367" s="17">
        <f t="shared" si="509"/>
        <v>1.7563063181392076</v>
      </c>
      <c r="J367" s="14">
        <f t="shared" si="609"/>
        <v>343</v>
      </c>
      <c r="K367" s="25">
        <f t="shared" si="510"/>
        <v>29</v>
      </c>
      <c r="L367" s="18" t="str">
        <f t="shared" ref="L367" si="628">L355</f>
        <v>jul</v>
      </c>
      <c r="M367" s="43">
        <f t="shared" si="600"/>
        <v>1392</v>
      </c>
      <c r="N367" s="53">
        <f t="shared" si="566"/>
        <v>910.25583280457568</v>
      </c>
      <c r="O367" s="43">
        <f t="shared" si="567"/>
        <v>417.59999999999997</v>
      </c>
      <c r="P367" s="43">
        <f t="shared" si="611"/>
        <v>492.65583280457571</v>
      </c>
      <c r="Q367" s="43">
        <f t="shared" si="612"/>
        <v>974.40000000000009</v>
      </c>
      <c r="R367" s="43">
        <f t="shared" si="613"/>
        <v>-481.74416719542438</v>
      </c>
      <c r="S367" s="43">
        <f t="shared" si="573"/>
        <v>0</v>
      </c>
      <c r="T367" s="43">
        <f t="shared" si="614"/>
        <v>803.2640486541527</v>
      </c>
      <c r="U367" s="50">
        <f t="shared" si="615"/>
        <v>1410.7777237853682</v>
      </c>
      <c r="V367" s="20">
        <f t="shared" si="568"/>
        <v>2695.2527349369739</v>
      </c>
      <c r="W367" s="20">
        <f t="shared" si="569"/>
        <v>10447.770918161439</v>
      </c>
      <c r="X367" s="19">
        <f t="shared" si="616"/>
        <v>7752.5181832244652</v>
      </c>
      <c r="Y367" s="38">
        <f t="shared" si="570"/>
        <v>0.74202604976227071</v>
      </c>
      <c r="Z367" s="37">
        <f t="shared" si="574"/>
        <v>1086587.4820171897</v>
      </c>
      <c r="AA367" s="44">
        <f t="shared" si="575"/>
        <v>0</v>
      </c>
      <c r="AC367" s="48">
        <f t="shared" si="576"/>
        <v>7752.5181832244652</v>
      </c>
    </row>
    <row r="368" spans="1:29" x14ac:dyDescent="0.2">
      <c r="A368" s="14" t="str">
        <f t="shared" ref="A368:F368" si="629">A356</f>
        <v>Agosto</v>
      </c>
      <c r="B368" s="14">
        <f t="shared" si="629"/>
        <v>31</v>
      </c>
      <c r="C368" s="15">
        <f t="shared" si="629"/>
        <v>3.45</v>
      </c>
      <c r="D368" s="15">
        <f t="shared" si="629"/>
        <v>4.1147894221351615</v>
      </c>
      <c r="E368" s="15">
        <f t="shared" si="629"/>
        <v>4.83</v>
      </c>
      <c r="F368" s="57">
        <f t="shared" si="629"/>
        <v>5.21</v>
      </c>
      <c r="G368" s="16">
        <f t="shared" si="608"/>
        <v>0.8778270015520353</v>
      </c>
      <c r="H368" s="15">
        <f t="shared" si="598"/>
        <v>8.6271063863798378</v>
      </c>
      <c r="I368" s="17">
        <f t="shared" si="509"/>
        <v>1.7563063181392076</v>
      </c>
      <c r="J368" s="14">
        <f t="shared" si="609"/>
        <v>344</v>
      </c>
      <c r="K368" s="25">
        <f t="shared" si="510"/>
        <v>29</v>
      </c>
      <c r="L368" s="18" t="str">
        <f t="shared" ref="L368" si="630">L356</f>
        <v>ago</v>
      </c>
      <c r="M368" s="43">
        <f t="shared" si="600"/>
        <v>1520</v>
      </c>
      <c r="N368" s="53">
        <f t="shared" si="566"/>
        <v>1092.8688856820368</v>
      </c>
      <c r="O368" s="43">
        <f t="shared" si="567"/>
        <v>456</v>
      </c>
      <c r="P368" s="43">
        <f t="shared" si="611"/>
        <v>636.86888568203676</v>
      </c>
      <c r="Q368" s="43">
        <f t="shared" si="612"/>
        <v>1064</v>
      </c>
      <c r="R368" s="43">
        <f t="shared" si="613"/>
        <v>-427.13111431796324</v>
      </c>
      <c r="S368" s="43">
        <f t="shared" si="573"/>
        <v>0</v>
      </c>
      <c r="T368" s="43">
        <f t="shared" si="614"/>
        <v>636.86888568203676</v>
      </c>
      <c r="U368" s="50">
        <f t="shared" si="615"/>
        <v>1118.5368477496379</v>
      </c>
      <c r="V368" s="20">
        <f t="shared" si="568"/>
        <v>4324.4046885636499</v>
      </c>
      <c r="W368" s="20">
        <f t="shared" si="569"/>
        <v>11408.485485348698</v>
      </c>
      <c r="X368" s="19">
        <f t="shared" si="616"/>
        <v>7084.0807967850478</v>
      </c>
      <c r="Y368" s="38">
        <f t="shared" si="570"/>
        <v>0.62094839896871068</v>
      </c>
      <c r="Z368" s="37">
        <f t="shared" si="574"/>
        <v>1093671.5628139747</v>
      </c>
      <c r="AA368" s="44">
        <f t="shared" si="575"/>
        <v>0</v>
      </c>
      <c r="AC368" s="48">
        <f t="shared" si="576"/>
        <v>7084.0807967850478</v>
      </c>
    </row>
    <row r="369" spans="1:29" x14ac:dyDescent="0.2">
      <c r="A369" s="14" t="str">
        <f t="shared" ref="A369:F369" si="631">A357</f>
        <v>Setembro</v>
      </c>
      <c r="B369" s="14">
        <f t="shared" si="631"/>
        <v>30</v>
      </c>
      <c r="C369" s="15">
        <f t="shared" si="631"/>
        <v>3.82</v>
      </c>
      <c r="D369" s="15">
        <f t="shared" si="631"/>
        <v>4.2417238001958868</v>
      </c>
      <c r="E369" s="15">
        <f t="shared" si="631"/>
        <v>5.12</v>
      </c>
      <c r="F369" s="57">
        <f t="shared" si="631"/>
        <v>5.1100000000000003</v>
      </c>
      <c r="G369" s="16">
        <f t="shared" si="608"/>
        <v>0.8778270015520353</v>
      </c>
      <c r="H369" s="15">
        <f t="shared" si="598"/>
        <v>8.6271063863798378</v>
      </c>
      <c r="I369" s="17">
        <f t="shared" si="509"/>
        <v>1.7563063181392076</v>
      </c>
      <c r="J369" s="14">
        <f t="shared" si="609"/>
        <v>345</v>
      </c>
      <c r="K369" s="25">
        <f t="shared" si="510"/>
        <v>29</v>
      </c>
      <c r="L369" s="18" t="str">
        <f t="shared" ref="L369" si="632">L357</f>
        <v>set</v>
      </c>
      <c r="M369" s="43">
        <f t="shared" si="600"/>
        <v>1400</v>
      </c>
      <c r="N369" s="53">
        <f t="shared" si="566"/>
        <v>1090.2407077498056</v>
      </c>
      <c r="O369" s="43">
        <f t="shared" si="567"/>
        <v>420</v>
      </c>
      <c r="P369" s="43">
        <f t="shared" si="611"/>
        <v>670.24070774980555</v>
      </c>
      <c r="Q369" s="43">
        <f t="shared" si="612"/>
        <v>980</v>
      </c>
      <c r="R369" s="43">
        <f t="shared" si="613"/>
        <v>-309.75929225019445</v>
      </c>
      <c r="S369" s="43">
        <f t="shared" si="573"/>
        <v>0</v>
      </c>
      <c r="T369" s="43">
        <f t="shared" si="614"/>
        <v>670.24070774980555</v>
      </c>
      <c r="U369" s="50">
        <f t="shared" si="615"/>
        <v>1177.1479896950777</v>
      </c>
      <c r="V369" s="20">
        <f t="shared" si="568"/>
        <v>3502.0719302136495</v>
      </c>
      <c r="W369" s="20">
        <f t="shared" si="569"/>
        <v>10507.815578610642</v>
      </c>
      <c r="X369" s="19">
        <f t="shared" si="616"/>
        <v>7005.7436483969923</v>
      </c>
      <c r="Y369" s="38">
        <f t="shared" si="570"/>
        <v>0.6667174158116792</v>
      </c>
      <c r="Z369" s="37">
        <f t="shared" si="574"/>
        <v>1100677.3064623717</v>
      </c>
      <c r="AA369" s="44">
        <f t="shared" si="575"/>
        <v>0</v>
      </c>
      <c r="AC369" s="48">
        <f t="shared" si="576"/>
        <v>7005.7436483969923</v>
      </c>
    </row>
    <row r="370" spans="1:29" x14ac:dyDescent="0.2">
      <c r="A370" s="14" t="str">
        <f t="shared" ref="A370:F370" si="633">A358</f>
        <v>Outubro</v>
      </c>
      <c r="B370" s="14">
        <f t="shared" si="633"/>
        <v>31</v>
      </c>
      <c r="C370" s="15">
        <f t="shared" si="633"/>
        <v>4.33</v>
      </c>
      <c r="D370" s="15">
        <f t="shared" si="633"/>
        <v>4.8763956904995114</v>
      </c>
      <c r="E370" s="15">
        <f t="shared" si="633"/>
        <v>5.57</v>
      </c>
      <c r="F370" s="57">
        <f t="shared" si="633"/>
        <v>5.17</v>
      </c>
      <c r="G370" s="16">
        <f t="shared" si="608"/>
        <v>0.8778270015520353</v>
      </c>
      <c r="H370" s="15">
        <f t="shared" si="598"/>
        <v>8.6271063863798378</v>
      </c>
      <c r="I370" s="17">
        <f t="shared" si="509"/>
        <v>1.7563063181392076</v>
      </c>
      <c r="J370" s="14">
        <f t="shared" si="609"/>
        <v>346</v>
      </c>
      <c r="K370" s="25">
        <f t="shared" si="510"/>
        <v>29</v>
      </c>
      <c r="L370" s="18" t="str">
        <f t="shared" ref="L370" si="634">L358</f>
        <v>out</v>
      </c>
      <c r="M370" s="43">
        <f t="shared" si="600"/>
        <v>1340</v>
      </c>
      <c r="N370" s="53">
        <f t="shared" si="566"/>
        <v>1295.1479596386091</v>
      </c>
      <c r="O370" s="43">
        <f t="shared" si="567"/>
        <v>402</v>
      </c>
      <c r="P370" s="43">
        <f t="shared" si="611"/>
        <v>893.14795963860911</v>
      </c>
      <c r="Q370" s="43">
        <f t="shared" si="612"/>
        <v>938</v>
      </c>
      <c r="R370" s="43">
        <f t="shared" si="613"/>
        <v>-44.852040361390891</v>
      </c>
      <c r="S370" s="43">
        <f t="shared" si="573"/>
        <v>0</v>
      </c>
      <c r="T370" s="43">
        <f t="shared" si="614"/>
        <v>893.14795963860911</v>
      </c>
      <c r="U370" s="50">
        <f t="shared" si="615"/>
        <v>1568.6414045464312</v>
      </c>
      <c r="V370" s="20">
        <f t="shared" si="568"/>
        <v>1905.282096290643</v>
      </c>
      <c r="W370" s="20">
        <f t="shared" si="569"/>
        <v>10057.480625241615</v>
      </c>
      <c r="X370" s="19">
        <f t="shared" si="616"/>
        <v>8152.1985289509721</v>
      </c>
      <c r="Y370" s="38">
        <f t="shared" si="570"/>
        <v>0.81056069931580199</v>
      </c>
      <c r="Z370" s="37">
        <f t="shared" si="574"/>
        <v>1108829.5049913228</v>
      </c>
      <c r="AA370" s="44">
        <f t="shared" si="575"/>
        <v>0</v>
      </c>
      <c r="AC370" s="48">
        <f t="shared" si="576"/>
        <v>8152.1985289509721</v>
      </c>
    </row>
    <row r="371" spans="1:29" x14ac:dyDescent="0.2">
      <c r="A371" s="14" t="str">
        <f t="shared" ref="A371:F371" si="635">A359</f>
        <v>Novembro</v>
      </c>
      <c r="B371" s="14">
        <f t="shared" si="635"/>
        <v>30</v>
      </c>
      <c r="C371" s="15">
        <f t="shared" si="635"/>
        <v>4.68</v>
      </c>
      <c r="D371" s="15">
        <f t="shared" si="635"/>
        <v>5.5745347698334964</v>
      </c>
      <c r="E371" s="15">
        <f t="shared" si="635"/>
        <v>5.89</v>
      </c>
      <c r="F371" s="57">
        <f t="shared" si="635"/>
        <v>5.23</v>
      </c>
      <c r="G371" s="16">
        <f t="shared" si="608"/>
        <v>0.8778270015520353</v>
      </c>
      <c r="H371" s="15">
        <f t="shared" si="598"/>
        <v>8.6271063863798378</v>
      </c>
      <c r="I371" s="17">
        <f t="shared" si="509"/>
        <v>1.7563063181392076</v>
      </c>
      <c r="J371" s="14">
        <f t="shared" si="609"/>
        <v>347</v>
      </c>
      <c r="K371" s="25">
        <f t="shared" si="510"/>
        <v>29</v>
      </c>
      <c r="L371" s="18" t="str">
        <f t="shared" ref="L371" si="636">L359</f>
        <v>nov</v>
      </c>
      <c r="M371" s="43">
        <f t="shared" si="600"/>
        <v>1288</v>
      </c>
      <c r="N371" s="53">
        <f t="shared" si="566"/>
        <v>1432.8101071923875</v>
      </c>
      <c r="O371" s="43">
        <f t="shared" si="567"/>
        <v>386.4</v>
      </c>
      <c r="P371" s="43">
        <f t="shared" si="611"/>
        <v>1046.4101071923874</v>
      </c>
      <c r="Q371" s="43">
        <f t="shared" si="612"/>
        <v>901.6</v>
      </c>
      <c r="R371" s="43">
        <f t="shared" si="613"/>
        <v>144.81010719238736</v>
      </c>
      <c r="S371" s="43">
        <f t="shared" si="573"/>
        <v>144.81010719238736</v>
      </c>
      <c r="T371" s="43">
        <f t="shared" si="614"/>
        <v>901.6</v>
      </c>
      <c r="U371" s="50">
        <f t="shared" si="615"/>
        <v>1583.4857764343096</v>
      </c>
      <c r="V371" s="20">
        <f t="shared" si="568"/>
        <v>1583.4857764343096</v>
      </c>
      <c r="W371" s="20">
        <f t="shared" si="569"/>
        <v>9667.1903323217903</v>
      </c>
      <c r="X371" s="19">
        <f t="shared" si="616"/>
        <v>8083.7045558874806</v>
      </c>
      <c r="Y371" s="38">
        <f t="shared" si="570"/>
        <v>0.83619999999999994</v>
      </c>
      <c r="Z371" s="37">
        <f t="shared" si="574"/>
        <v>1116913.2095472103</v>
      </c>
      <c r="AA371" s="44">
        <f t="shared" si="575"/>
        <v>0</v>
      </c>
      <c r="AC371" s="48">
        <f t="shared" si="576"/>
        <v>8083.7045558874806</v>
      </c>
    </row>
    <row r="372" spans="1:29" x14ac:dyDescent="0.2">
      <c r="A372" s="14" t="str">
        <f t="shared" ref="A372:F372" si="637">A360</f>
        <v>Dezembro</v>
      </c>
      <c r="B372" s="14">
        <f t="shared" si="637"/>
        <v>31</v>
      </c>
      <c r="C372" s="15">
        <f t="shared" si="637"/>
        <v>4.8499999999999996</v>
      </c>
      <c r="D372" s="15">
        <f t="shared" si="637"/>
        <v>5.6062683643486775</v>
      </c>
      <c r="E372" s="15">
        <f t="shared" si="637"/>
        <v>6.05</v>
      </c>
      <c r="F372" s="57">
        <f t="shared" si="637"/>
        <v>5.29</v>
      </c>
      <c r="G372" s="16">
        <f t="shared" si="608"/>
        <v>0.8778270015520353</v>
      </c>
      <c r="H372" s="15">
        <f t="shared" si="598"/>
        <v>8.6271063863798378</v>
      </c>
      <c r="I372" s="17">
        <f t="shared" si="509"/>
        <v>1.7563063181392076</v>
      </c>
      <c r="J372" s="14">
        <f t="shared" si="609"/>
        <v>348</v>
      </c>
      <c r="K372" s="25">
        <f t="shared" si="510"/>
        <v>29</v>
      </c>
      <c r="L372" s="18" t="str">
        <f t="shared" ref="L372" si="638">L360</f>
        <v>dez</v>
      </c>
      <c r="M372" s="43">
        <f t="shared" si="600"/>
        <v>1140</v>
      </c>
      <c r="N372" s="53">
        <f t="shared" si="566"/>
        <v>1488.9987388469908</v>
      </c>
      <c r="O372" s="43">
        <f t="shared" si="567"/>
        <v>342</v>
      </c>
      <c r="P372" s="43">
        <f t="shared" si="611"/>
        <v>1146.9987388469908</v>
      </c>
      <c r="Q372" s="43">
        <f t="shared" si="612"/>
        <v>798</v>
      </c>
      <c r="R372" s="43">
        <f t="shared" si="613"/>
        <v>348.99873884699082</v>
      </c>
      <c r="S372" s="43">
        <f t="shared" si="573"/>
        <v>493.80884603937818</v>
      </c>
      <c r="T372" s="43">
        <f t="shared" si="614"/>
        <v>798</v>
      </c>
      <c r="U372" s="50">
        <f t="shared" si="615"/>
        <v>1401.5324418750877</v>
      </c>
      <c r="V372" s="20">
        <f t="shared" si="568"/>
        <v>1401.5324418750877</v>
      </c>
      <c r="W372" s="20">
        <f t="shared" si="569"/>
        <v>8556.3641140115233</v>
      </c>
      <c r="X372" s="19">
        <f t="shared" si="616"/>
        <v>7154.8316721364354</v>
      </c>
      <c r="Y372" s="38">
        <f t="shared" si="570"/>
        <v>0.83619999999999994</v>
      </c>
      <c r="Z372" s="37">
        <f t="shared" si="574"/>
        <v>1124068.0412193467</v>
      </c>
      <c r="AA372" s="44">
        <f t="shared" si="575"/>
        <v>0</v>
      </c>
      <c r="AC372" s="48">
        <f t="shared" si="576"/>
        <v>7154.8316721364354</v>
      </c>
    </row>
    <row r="373" spans="1:29" x14ac:dyDescent="0.2">
      <c r="A373" s="14" t="str">
        <f t="shared" ref="A373:F373" si="639">A361</f>
        <v>Janeiro</v>
      </c>
      <c r="B373" s="14">
        <f t="shared" si="639"/>
        <v>30</v>
      </c>
      <c r="C373" s="15">
        <f t="shared" si="639"/>
        <v>4.87</v>
      </c>
      <c r="D373" s="15">
        <f t="shared" si="639"/>
        <v>5.4581782566111663</v>
      </c>
      <c r="E373" s="15">
        <f t="shared" si="639"/>
        <v>6.01</v>
      </c>
      <c r="F373" s="57">
        <f t="shared" si="639"/>
        <v>5.31</v>
      </c>
      <c r="G373" s="16">
        <f t="shared" si="608"/>
        <v>0.87392593835713805</v>
      </c>
      <c r="H373" s="15">
        <f t="shared" si="598"/>
        <v>9.3172748972902255</v>
      </c>
      <c r="I373" s="17">
        <f t="shared" si="509"/>
        <v>1.8968108235903443</v>
      </c>
      <c r="J373" s="14">
        <f t="shared" si="609"/>
        <v>349</v>
      </c>
      <c r="K373" s="25">
        <f t="shared" si="510"/>
        <v>30</v>
      </c>
      <c r="L373" s="18" t="str">
        <f t="shared" ref="L373" si="640">L361</f>
        <v>jan</v>
      </c>
      <c r="M373" s="43">
        <f t="shared" si="600"/>
        <v>836</v>
      </c>
      <c r="N373" s="53">
        <f t="shared" si="566"/>
        <v>1396.6687527955003</v>
      </c>
      <c r="O373" s="43">
        <f t="shared" si="567"/>
        <v>250.79999999999998</v>
      </c>
      <c r="P373" s="43">
        <f t="shared" si="611"/>
        <v>1145.8687527955003</v>
      </c>
      <c r="Q373" s="43">
        <f t="shared" si="612"/>
        <v>585.20000000000005</v>
      </c>
      <c r="R373" s="43">
        <f t="shared" si="613"/>
        <v>560.66875279550027</v>
      </c>
      <c r="S373" s="43">
        <f t="shared" si="573"/>
        <v>1054.4775988348783</v>
      </c>
      <c r="T373" s="43">
        <f t="shared" si="614"/>
        <v>585.20000000000005</v>
      </c>
      <c r="U373" s="50">
        <f t="shared" si="615"/>
        <v>1110.0136939650695</v>
      </c>
      <c r="V373" s="20">
        <f t="shared" si="568"/>
        <v>1110.0136939650695</v>
      </c>
      <c r="W373" s="20">
        <f t="shared" si="569"/>
        <v>6776.6403782971274</v>
      </c>
      <c r="X373" s="19">
        <f t="shared" si="616"/>
        <v>5666.6266843320582</v>
      </c>
      <c r="Y373" s="38">
        <f t="shared" si="570"/>
        <v>0.83620000000000005</v>
      </c>
      <c r="Z373" s="37">
        <f t="shared" si="574"/>
        <v>1129734.6679036787</v>
      </c>
      <c r="AA373" s="44">
        <f t="shared" si="575"/>
        <v>0</v>
      </c>
      <c r="AC373" s="48">
        <f t="shared" si="576"/>
        <v>5666.6266843320582</v>
      </c>
    </row>
    <row r="374" spans="1:29" x14ac:dyDescent="0.2">
      <c r="A374" s="14" t="str">
        <f t="shared" ref="A374:F374" si="641">A362</f>
        <v>Fevereiro</v>
      </c>
      <c r="B374" s="14">
        <f t="shared" si="641"/>
        <v>28</v>
      </c>
      <c r="C374" s="15">
        <f t="shared" si="641"/>
        <v>4.75</v>
      </c>
      <c r="D374" s="15">
        <f t="shared" si="641"/>
        <v>5.2254652301665043</v>
      </c>
      <c r="E374" s="15">
        <f t="shared" si="641"/>
        <v>5.82</v>
      </c>
      <c r="F374" s="57">
        <f t="shared" si="641"/>
        <v>5.28</v>
      </c>
      <c r="G374" s="16">
        <f t="shared" si="608"/>
        <v>0.87392593835713805</v>
      </c>
      <c r="H374" s="15">
        <f t="shared" si="598"/>
        <v>9.3172748972902255</v>
      </c>
      <c r="I374" s="17">
        <f t="shared" si="509"/>
        <v>1.8968108235903443</v>
      </c>
      <c r="J374" s="14">
        <f t="shared" si="609"/>
        <v>350</v>
      </c>
      <c r="K374" s="25">
        <f t="shared" si="510"/>
        <v>30</v>
      </c>
      <c r="L374" s="18" t="str">
        <f t="shared" ref="L374" si="642">L362</f>
        <v>fev</v>
      </c>
      <c r="M374" s="43">
        <f t="shared" si="600"/>
        <v>1088</v>
      </c>
      <c r="N374" s="53">
        <f t="shared" si="566"/>
        <v>1247.9794695521553</v>
      </c>
      <c r="O374" s="43">
        <f t="shared" si="567"/>
        <v>326.39999999999998</v>
      </c>
      <c r="P374" s="43">
        <f t="shared" si="611"/>
        <v>921.57946955215527</v>
      </c>
      <c r="Q374" s="43">
        <f t="shared" si="612"/>
        <v>761.6</v>
      </c>
      <c r="R374" s="43">
        <f t="shared" si="613"/>
        <v>159.97946955215525</v>
      </c>
      <c r="S374" s="43">
        <f t="shared" si="573"/>
        <v>1214.4570683870336</v>
      </c>
      <c r="T374" s="43">
        <f t="shared" si="614"/>
        <v>761.6</v>
      </c>
      <c r="U374" s="50">
        <f t="shared" si="615"/>
        <v>1444.6111232464061</v>
      </c>
      <c r="V374" s="20">
        <f t="shared" si="568"/>
        <v>1444.6111232464061</v>
      </c>
      <c r="W374" s="20">
        <f t="shared" si="569"/>
        <v>8819.3597267790356</v>
      </c>
      <c r="X374" s="19">
        <f t="shared" si="616"/>
        <v>7374.7486035326292</v>
      </c>
      <c r="Y374" s="38">
        <f t="shared" si="570"/>
        <v>0.83619999999999994</v>
      </c>
      <c r="Z374" s="37">
        <f t="shared" si="574"/>
        <v>1137109.4165072113</v>
      </c>
      <c r="AA374" s="44">
        <f t="shared" si="575"/>
        <v>0</v>
      </c>
      <c r="AC374" s="48">
        <f t="shared" si="576"/>
        <v>7374.7486035326292</v>
      </c>
    </row>
    <row r="375" spans="1:29" x14ac:dyDescent="0.2">
      <c r="A375" s="14" t="str">
        <f t="shared" ref="A375:F375" si="643">A363</f>
        <v>Março</v>
      </c>
      <c r="B375" s="14">
        <f t="shared" si="643"/>
        <v>31</v>
      </c>
      <c r="C375" s="15">
        <f t="shared" si="643"/>
        <v>4.21</v>
      </c>
      <c r="D375" s="15">
        <f t="shared" si="643"/>
        <v>4.7494613124387861</v>
      </c>
      <c r="E375" s="15">
        <f t="shared" si="643"/>
        <v>5.43</v>
      </c>
      <c r="F375" s="57">
        <f t="shared" si="643"/>
        <v>5.14</v>
      </c>
      <c r="G375" s="16">
        <f t="shared" si="608"/>
        <v>0.87392593835713805</v>
      </c>
      <c r="H375" s="15">
        <f t="shared" si="598"/>
        <v>9.3172748972902255</v>
      </c>
      <c r="I375" s="17">
        <f t="shared" si="509"/>
        <v>1.8968108235903443</v>
      </c>
      <c r="J375" s="14">
        <f t="shared" si="609"/>
        <v>351</v>
      </c>
      <c r="K375" s="25">
        <f t="shared" si="510"/>
        <v>30</v>
      </c>
      <c r="L375" s="18" t="str">
        <f t="shared" ref="L375" si="644">L363</f>
        <v>mar</v>
      </c>
      <c r="M375" s="43">
        <f t="shared" si="600"/>
        <v>1152</v>
      </c>
      <c r="N375" s="53">
        <f t="shared" si="566"/>
        <v>1255.8289644806569</v>
      </c>
      <c r="O375" s="43">
        <f t="shared" si="567"/>
        <v>345.59999999999997</v>
      </c>
      <c r="P375" s="43">
        <f t="shared" si="611"/>
        <v>910.22896448065694</v>
      </c>
      <c r="Q375" s="43">
        <f t="shared" si="612"/>
        <v>806.40000000000009</v>
      </c>
      <c r="R375" s="43">
        <f t="shared" si="613"/>
        <v>103.82896448065685</v>
      </c>
      <c r="S375" s="43">
        <f t="shared" si="573"/>
        <v>1318.2860328676904</v>
      </c>
      <c r="T375" s="43">
        <f t="shared" si="614"/>
        <v>806.40000000000009</v>
      </c>
      <c r="U375" s="50">
        <f t="shared" si="615"/>
        <v>1529.5882481432538</v>
      </c>
      <c r="V375" s="20">
        <f t="shared" si="568"/>
        <v>1529.5882481432538</v>
      </c>
      <c r="W375" s="20">
        <f t="shared" si="569"/>
        <v>9338.1455930601551</v>
      </c>
      <c r="X375" s="19">
        <f t="shared" si="616"/>
        <v>7808.5573449169015</v>
      </c>
      <c r="Y375" s="38">
        <f t="shared" si="570"/>
        <v>0.83619999999999994</v>
      </c>
      <c r="Z375" s="37">
        <f t="shared" si="574"/>
        <v>1144917.9738521283</v>
      </c>
      <c r="AA375" s="44">
        <f t="shared" si="575"/>
        <v>0</v>
      </c>
      <c r="AC375" s="48">
        <f t="shared" si="576"/>
        <v>7808.5573449169015</v>
      </c>
    </row>
    <row r="376" spans="1:29" x14ac:dyDescent="0.2">
      <c r="A376" s="14" t="str">
        <f t="shared" ref="A376:F376" si="645">A364</f>
        <v>Abril</v>
      </c>
      <c r="B376" s="14">
        <f t="shared" si="645"/>
        <v>30</v>
      </c>
      <c r="C376" s="15">
        <f t="shared" si="645"/>
        <v>3.59</v>
      </c>
      <c r="D376" s="15">
        <f t="shared" si="645"/>
        <v>4.1465230166503426</v>
      </c>
      <c r="E376" s="15">
        <f t="shared" si="645"/>
        <v>4.91</v>
      </c>
      <c r="F376" s="57">
        <f t="shared" si="645"/>
        <v>4.97</v>
      </c>
      <c r="G376" s="16">
        <f t="shared" si="608"/>
        <v>0.87392593835713805</v>
      </c>
      <c r="H376" s="15">
        <f t="shared" si="598"/>
        <v>9.3172748972902255</v>
      </c>
      <c r="I376" s="17">
        <f t="shared" si="509"/>
        <v>1.8968108235903443</v>
      </c>
      <c r="J376" s="14">
        <f t="shared" si="609"/>
        <v>352</v>
      </c>
      <c r="K376" s="25">
        <f t="shared" si="510"/>
        <v>30</v>
      </c>
      <c r="L376" s="18" t="str">
        <f t="shared" ref="L376" si="646">L364</f>
        <v>abr</v>
      </c>
      <c r="M376" s="43">
        <f t="shared" si="600"/>
        <v>1000</v>
      </c>
      <c r="N376" s="53">
        <f t="shared" si="566"/>
        <v>1061.0351765423179</v>
      </c>
      <c r="O376" s="43">
        <f t="shared" si="567"/>
        <v>300</v>
      </c>
      <c r="P376" s="43">
        <f t="shared" si="611"/>
        <v>761.03517654231791</v>
      </c>
      <c r="Q376" s="43">
        <f t="shared" si="612"/>
        <v>700</v>
      </c>
      <c r="R376" s="43">
        <f t="shared" si="613"/>
        <v>61.035176542317913</v>
      </c>
      <c r="S376" s="43">
        <f t="shared" si="573"/>
        <v>1379.3212094100084</v>
      </c>
      <c r="T376" s="43">
        <f t="shared" si="614"/>
        <v>700</v>
      </c>
      <c r="U376" s="50">
        <f t="shared" si="615"/>
        <v>1327.767576513241</v>
      </c>
      <c r="V376" s="20">
        <f t="shared" si="568"/>
        <v>1327.767576513241</v>
      </c>
      <c r="W376" s="20">
        <f t="shared" si="569"/>
        <v>8106.0291606424962</v>
      </c>
      <c r="X376" s="19">
        <f t="shared" si="616"/>
        <v>6778.2615841292554</v>
      </c>
      <c r="Y376" s="38">
        <f t="shared" si="570"/>
        <v>0.83620000000000005</v>
      </c>
      <c r="Z376" s="37">
        <f t="shared" si="574"/>
        <v>1151696.2354362574</v>
      </c>
      <c r="AA376" s="44">
        <f t="shared" si="575"/>
        <v>0</v>
      </c>
      <c r="AC376" s="48">
        <f t="shared" si="576"/>
        <v>6778.2615841292554</v>
      </c>
    </row>
    <row r="377" spans="1:29" x14ac:dyDescent="0.2">
      <c r="A377" s="14" t="str">
        <f t="shared" ref="A377:F377" si="647">A365</f>
        <v>Maio</v>
      </c>
      <c r="B377" s="14">
        <f t="shared" si="647"/>
        <v>31</v>
      </c>
      <c r="C377" s="15">
        <f t="shared" si="647"/>
        <v>2.98</v>
      </c>
      <c r="D377" s="15">
        <f t="shared" si="647"/>
        <v>3.3849167482859945</v>
      </c>
      <c r="E377" s="15">
        <f t="shared" si="647"/>
        <v>4.25</v>
      </c>
      <c r="F377" s="57">
        <f t="shared" si="647"/>
        <v>4.66</v>
      </c>
      <c r="G377" s="16">
        <f t="shared" si="608"/>
        <v>0.87392593835713805</v>
      </c>
      <c r="H377" s="15">
        <f t="shared" si="598"/>
        <v>9.3172748972902255</v>
      </c>
      <c r="I377" s="17">
        <f t="shared" si="509"/>
        <v>1.8968108235903443</v>
      </c>
      <c r="J377" s="14">
        <f t="shared" si="609"/>
        <v>353</v>
      </c>
      <c r="K377" s="25">
        <f t="shared" si="510"/>
        <v>30</v>
      </c>
      <c r="L377" s="18" t="str">
        <f t="shared" ref="L377" si="648">L365</f>
        <v>mai</v>
      </c>
      <c r="M377" s="43">
        <f t="shared" si="600"/>
        <v>1396</v>
      </c>
      <c r="N377" s="53">
        <f t="shared" si="566"/>
        <v>895.02287000848605</v>
      </c>
      <c r="O377" s="43">
        <f t="shared" si="567"/>
        <v>418.8</v>
      </c>
      <c r="P377" s="43">
        <f t="shared" si="611"/>
        <v>476.22287000848604</v>
      </c>
      <c r="Q377" s="43">
        <f t="shared" si="612"/>
        <v>977.2</v>
      </c>
      <c r="R377" s="43">
        <f t="shared" si="613"/>
        <v>-500.977129991514</v>
      </c>
      <c r="S377" s="43">
        <f t="shared" si="573"/>
        <v>878.3440794184944</v>
      </c>
      <c r="T377" s="43">
        <f t="shared" si="614"/>
        <v>977.2</v>
      </c>
      <c r="U377" s="50">
        <f t="shared" si="615"/>
        <v>1853.5635368124845</v>
      </c>
      <c r="V377" s="20">
        <f t="shared" si="568"/>
        <v>1853.5635368124845</v>
      </c>
      <c r="W377" s="20">
        <f t="shared" si="569"/>
        <v>11316.016708256924</v>
      </c>
      <c r="X377" s="19">
        <f t="shared" si="616"/>
        <v>9462.4531714444402</v>
      </c>
      <c r="Y377" s="38">
        <f t="shared" si="570"/>
        <v>0.83620000000000005</v>
      </c>
      <c r="Z377" s="37">
        <f t="shared" si="574"/>
        <v>1161158.6886077018</v>
      </c>
      <c r="AA377" s="44">
        <f t="shared" si="575"/>
        <v>0</v>
      </c>
      <c r="AC377" s="48">
        <f t="shared" si="576"/>
        <v>9462.4531714444402</v>
      </c>
    </row>
    <row r="378" spans="1:29" x14ac:dyDescent="0.2">
      <c r="A378" s="14" t="str">
        <f t="shared" ref="A378:F378" si="649">A366</f>
        <v>Junho</v>
      </c>
      <c r="B378" s="14">
        <f t="shared" si="649"/>
        <v>30</v>
      </c>
      <c r="C378" s="15">
        <f t="shared" si="649"/>
        <v>2.74</v>
      </c>
      <c r="D378" s="15">
        <f t="shared" si="649"/>
        <v>3.1945151811949071</v>
      </c>
      <c r="E378" s="15">
        <f t="shared" si="649"/>
        <v>3.92</v>
      </c>
      <c r="F378" s="57">
        <f t="shared" si="649"/>
        <v>4.47</v>
      </c>
      <c r="G378" s="16">
        <f t="shared" si="608"/>
        <v>0.87392593835713805</v>
      </c>
      <c r="H378" s="15">
        <f t="shared" si="598"/>
        <v>9.3172748972902255</v>
      </c>
      <c r="I378" s="17">
        <f t="shared" si="509"/>
        <v>1.8968108235903443</v>
      </c>
      <c r="J378" s="14">
        <f t="shared" si="609"/>
        <v>354</v>
      </c>
      <c r="K378" s="25">
        <f t="shared" si="510"/>
        <v>30</v>
      </c>
      <c r="L378" s="18" t="str">
        <f t="shared" ref="L378" si="650">L366</f>
        <v>jun</v>
      </c>
      <c r="M378" s="43">
        <f t="shared" si="600"/>
        <v>1428</v>
      </c>
      <c r="N378" s="53">
        <f t="shared" si="566"/>
        <v>817.43016151984705</v>
      </c>
      <c r="O378" s="43">
        <f t="shared" si="567"/>
        <v>428.4</v>
      </c>
      <c r="P378" s="43">
        <f t="shared" si="611"/>
        <v>389.03016151984707</v>
      </c>
      <c r="Q378" s="43">
        <f t="shared" si="612"/>
        <v>999.6</v>
      </c>
      <c r="R378" s="43">
        <f t="shared" si="613"/>
        <v>-610.56983848015295</v>
      </c>
      <c r="S378" s="43">
        <f t="shared" si="573"/>
        <v>267.77424093834145</v>
      </c>
      <c r="T378" s="43">
        <f t="shared" si="614"/>
        <v>999.6</v>
      </c>
      <c r="U378" s="50">
        <f t="shared" si="615"/>
        <v>1896.0520992609081</v>
      </c>
      <c r="V378" s="20">
        <f t="shared" si="568"/>
        <v>1896.0520992609081</v>
      </c>
      <c r="W378" s="20">
        <f t="shared" si="569"/>
        <v>11575.409641397484</v>
      </c>
      <c r="X378" s="19">
        <f t="shared" si="616"/>
        <v>9679.3575421365749</v>
      </c>
      <c r="Y378" s="38">
        <f t="shared" si="570"/>
        <v>0.83619999999999994</v>
      </c>
      <c r="Z378" s="37">
        <f t="shared" si="574"/>
        <v>1170838.0461498385</v>
      </c>
      <c r="AA378" s="44">
        <f t="shared" si="575"/>
        <v>0</v>
      </c>
      <c r="AC378" s="48">
        <f t="shared" si="576"/>
        <v>9679.3575421365749</v>
      </c>
    </row>
    <row r="379" spans="1:29" x14ac:dyDescent="0.2">
      <c r="A379" s="14" t="str">
        <f t="shared" ref="A379:F379" si="651">A367</f>
        <v>Julho</v>
      </c>
      <c r="B379" s="14">
        <f t="shared" si="651"/>
        <v>31</v>
      </c>
      <c r="C379" s="15">
        <f t="shared" si="651"/>
        <v>2.91</v>
      </c>
      <c r="D379" s="15">
        <f t="shared" si="651"/>
        <v>3.4272282076395695</v>
      </c>
      <c r="E379" s="15">
        <f t="shared" si="651"/>
        <v>4.18</v>
      </c>
      <c r="F379" s="57">
        <f t="shared" si="651"/>
        <v>4.74</v>
      </c>
      <c r="G379" s="16">
        <f t="shared" si="608"/>
        <v>0.87392593835713805</v>
      </c>
      <c r="H379" s="15">
        <f t="shared" si="598"/>
        <v>9.3172748972902255</v>
      </c>
      <c r="I379" s="17">
        <f t="shared" si="509"/>
        <v>1.8968108235903443</v>
      </c>
      <c r="J379" s="14">
        <f t="shared" si="609"/>
        <v>355</v>
      </c>
      <c r="K379" s="25">
        <f t="shared" si="510"/>
        <v>30</v>
      </c>
      <c r="L379" s="18" t="str">
        <f t="shared" ref="L379" si="652">L367</f>
        <v>jul</v>
      </c>
      <c r="M379" s="43">
        <f t="shared" si="600"/>
        <v>1392</v>
      </c>
      <c r="N379" s="53">
        <f t="shared" si="566"/>
        <v>906.21065588359204</v>
      </c>
      <c r="O379" s="43">
        <f t="shared" si="567"/>
        <v>417.59999999999997</v>
      </c>
      <c r="P379" s="43">
        <f t="shared" si="611"/>
        <v>488.61065588359207</v>
      </c>
      <c r="Q379" s="43">
        <f t="shared" si="612"/>
        <v>974.40000000000009</v>
      </c>
      <c r="R379" s="43">
        <f t="shared" si="613"/>
        <v>-485.78934411640802</v>
      </c>
      <c r="S379" s="43">
        <f t="shared" si="573"/>
        <v>0</v>
      </c>
      <c r="T379" s="43">
        <f t="shared" si="614"/>
        <v>756.38489682193358</v>
      </c>
      <c r="U379" s="50">
        <f t="shared" si="615"/>
        <v>1434.7190590921093</v>
      </c>
      <c r="V379" s="20">
        <f t="shared" si="568"/>
        <v>3201.9558429139988</v>
      </c>
      <c r="W379" s="20">
        <f t="shared" si="569"/>
        <v>11283.592591614355</v>
      </c>
      <c r="X379" s="19">
        <f t="shared" si="616"/>
        <v>8081.6367487003563</v>
      </c>
      <c r="Y379" s="38">
        <f t="shared" si="570"/>
        <v>0.71622904523390885</v>
      </c>
      <c r="Z379" s="37">
        <f t="shared" si="574"/>
        <v>1178919.6828985389</v>
      </c>
      <c r="AA379" s="44">
        <f t="shared" si="575"/>
        <v>0</v>
      </c>
      <c r="AC379" s="48">
        <f t="shared" si="576"/>
        <v>8081.6367487003563</v>
      </c>
    </row>
    <row r="380" spans="1:29" x14ac:dyDescent="0.2">
      <c r="A380" s="14" t="str">
        <f t="shared" ref="A380:F380" si="653">A368</f>
        <v>Agosto</v>
      </c>
      <c r="B380" s="14">
        <f t="shared" si="653"/>
        <v>31</v>
      </c>
      <c r="C380" s="15">
        <f t="shared" si="653"/>
        <v>3.45</v>
      </c>
      <c r="D380" s="15">
        <f t="shared" si="653"/>
        <v>4.1147894221351615</v>
      </c>
      <c r="E380" s="15">
        <f t="shared" si="653"/>
        <v>4.83</v>
      </c>
      <c r="F380" s="57">
        <f t="shared" si="653"/>
        <v>5.21</v>
      </c>
      <c r="G380" s="16">
        <f t="shared" si="608"/>
        <v>0.87392593835713805</v>
      </c>
      <c r="H380" s="15">
        <f t="shared" si="598"/>
        <v>9.3172748972902255</v>
      </c>
      <c r="I380" s="17">
        <f t="shared" si="509"/>
        <v>1.8968108235903443</v>
      </c>
      <c r="J380" s="14">
        <f t="shared" si="609"/>
        <v>356</v>
      </c>
      <c r="K380" s="25">
        <f t="shared" si="510"/>
        <v>30</v>
      </c>
      <c r="L380" s="18" t="str">
        <f t="shared" ref="L380" si="654">L368</f>
        <v>ago</v>
      </c>
      <c r="M380" s="43">
        <f t="shared" si="600"/>
        <v>1520</v>
      </c>
      <c r="N380" s="53">
        <f t="shared" si="566"/>
        <v>1088.0121763540658</v>
      </c>
      <c r="O380" s="43">
        <f t="shared" si="567"/>
        <v>456</v>
      </c>
      <c r="P380" s="43">
        <f t="shared" si="611"/>
        <v>632.01217635406579</v>
      </c>
      <c r="Q380" s="43">
        <f t="shared" si="612"/>
        <v>1064</v>
      </c>
      <c r="R380" s="43">
        <f t="shared" si="613"/>
        <v>-431.98782364593421</v>
      </c>
      <c r="S380" s="43">
        <f t="shared" si="573"/>
        <v>0</v>
      </c>
      <c r="T380" s="43">
        <f t="shared" si="614"/>
        <v>632.01217635406579</v>
      </c>
      <c r="U380" s="50">
        <f t="shared" si="615"/>
        <v>1198.8075367492813</v>
      </c>
      <c r="V380" s="20">
        <f t="shared" si="568"/>
        <v>4700.5134322657123</v>
      </c>
      <c r="W380" s="20">
        <f t="shared" si="569"/>
        <v>12321.164324176594</v>
      </c>
      <c r="X380" s="19">
        <f t="shared" si="616"/>
        <v>7620.6508919108819</v>
      </c>
      <c r="Y380" s="38">
        <f t="shared" si="570"/>
        <v>0.61850087308369361</v>
      </c>
      <c r="Z380" s="37">
        <f t="shared" si="574"/>
        <v>1186540.3337904497</v>
      </c>
      <c r="AA380" s="44">
        <f t="shared" si="575"/>
        <v>0</v>
      </c>
      <c r="AC380" s="48">
        <f t="shared" si="576"/>
        <v>7620.6508919108819</v>
      </c>
    </row>
    <row r="381" spans="1:29" x14ac:dyDescent="0.2">
      <c r="A381" s="14" t="str">
        <f t="shared" ref="A381:F381" si="655">A369</f>
        <v>Setembro</v>
      </c>
      <c r="B381" s="14">
        <f t="shared" si="655"/>
        <v>30</v>
      </c>
      <c r="C381" s="15">
        <f t="shared" si="655"/>
        <v>3.82</v>
      </c>
      <c r="D381" s="15">
        <f t="shared" si="655"/>
        <v>4.2417238001958868</v>
      </c>
      <c r="E381" s="15">
        <f t="shared" si="655"/>
        <v>5.12</v>
      </c>
      <c r="F381" s="57">
        <f t="shared" si="655"/>
        <v>5.1100000000000003</v>
      </c>
      <c r="G381" s="16">
        <f t="shared" si="608"/>
        <v>0.87392593835713805</v>
      </c>
      <c r="H381" s="15">
        <f t="shared" si="598"/>
        <v>9.3172748972902255</v>
      </c>
      <c r="I381" s="17">
        <f t="shared" si="509"/>
        <v>1.8968108235903443</v>
      </c>
      <c r="J381" s="14">
        <f t="shared" si="609"/>
        <v>357</v>
      </c>
      <c r="K381" s="25">
        <f t="shared" si="510"/>
        <v>30</v>
      </c>
      <c r="L381" s="18" t="str">
        <f t="shared" ref="L381" si="656">L369</f>
        <v>set</v>
      </c>
      <c r="M381" s="43">
        <f t="shared" si="600"/>
        <v>1400</v>
      </c>
      <c r="N381" s="53">
        <f t="shared" si="566"/>
        <v>1085.3956780445653</v>
      </c>
      <c r="O381" s="43">
        <f t="shared" si="567"/>
        <v>420</v>
      </c>
      <c r="P381" s="43">
        <f t="shared" si="611"/>
        <v>665.39567804456533</v>
      </c>
      <c r="Q381" s="43">
        <f t="shared" si="612"/>
        <v>980</v>
      </c>
      <c r="R381" s="43">
        <f t="shared" si="613"/>
        <v>-314.60432195543467</v>
      </c>
      <c r="S381" s="43">
        <f t="shared" si="573"/>
        <v>0</v>
      </c>
      <c r="T381" s="43">
        <f t="shared" si="614"/>
        <v>665.39567804456533</v>
      </c>
      <c r="U381" s="50">
        <f t="shared" si="615"/>
        <v>1262.1297240851675</v>
      </c>
      <c r="V381" s="20">
        <f t="shared" si="568"/>
        <v>3812.3215319200817</v>
      </c>
      <c r="W381" s="20">
        <f t="shared" si="569"/>
        <v>11348.440824899495</v>
      </c>
      <c r="X381" s="19">
        <f t="shared" si="616"/>
        <v>7536.1192929794133</v>
      </c>
      <c r="Y381" s="38">
        <f t="shared" si="570"/>
        <v>0.66406649241581217</v>
      </c>
      <c r="Z381" s="37">
        <f t="shared" si="574"/>
        <v>1194076.453083429</v>
      </c>
      <c r="AA381" s="44">
        <f t="shared" si="575"/>
        <v>0</v>
      </c>
      <c r="AC381" s="48">
        <f t="shared" si="576"/>
        <v>7536.1192929794133</v>
      </c>
    </row>
    <row r="382" spans="1:29" x14ac:dyDescent="0.2">
      <c r="A382" s="14" t="str">
        <f t="shared" ref="A382:F382" si="657">A370</f>
        <v>Outubro</v>
      </c>
      <c r="B382" s="14">
        <f t="shared" si="657"/>
        <v>31</v>
      </c>
      <c r="C382" s="15">
        <f t="shared" si="657"/>
        <v>4.33</v>
      </c>
      <c r="D382" s="15">
        <f t="shared" si="657"/>
        <v>4.8763956904995114</v>
      </c>
      <c r="E382" s="15">
        <f t="shared" si="657"/>
        <v>5.57</v>
      </c>
      <c r="F382" s="57">
        <f t="shared" si="657"/>
        <v>5.17</v>
      </c>
      <c r="G382" s="16">
        <f t="shared" si="608"/>
        <v>0.87392593835713805</v>
      </c>
      <c r="H382" s="15">
        <f t="shared" si="598"/>
        <v>9.3172748972902255</v>
      </c>
      <c r="I382" s="17">
        <f t="shared" ref="I382:I384" si="658">$F$2*$B$2*H382*$G$6</f>
        <v>1.8968108235903443</v>
      </c>
      <c r="J382" s="14">
        <f t="shared" si="609"/>
        <v>358</v>
      </c>
      <c r="K382" s="25">
        <f t="shared" ref="K382:K384" si="659">K370+1</f>
        <v>30</v>
      </c>
      <c r="L382" s="18" t="str">
        <f t="shared" ref="L382" si="660">L370</f>
        <v>out</v>
      </c>
      <c r="M382" s="43">
        <f t="shared" si="600"/>
        <v>1340</v>
      </c>
      <c r="N382" s="53">
        <f t="shared" si="566"/>
        <v>1289.3923221059752</v>
      </c>
      <c r="O382" s="43">
        <f t="shared" si="567"/>
        <v>402</v>
      </c>
      <c r="P382" s="43">
        <f t="shared" si="611"/>
        <v>887.39232210597515</v>
      </c>
      <c r="Q382" s="43">
        <f t="shared" si="612"/>
        <v>938</v>
      </c>
      <c r="R382" s="43">
        <f t="shared" si="613"/>
        <v>-50.607677894024846</v>
      </c>
      <c r="S382" s="43">
        <f t="shared" si="573"/>
        <v>0</v>
      </c>
      <c r="T382" s="43">
        <f t="shared" si="614"/>
        <v>887.39232210597515</v>
      </c>
      <c r="U382" s="50">
        <f t="shared" si="615"/>
        <v>1683.2153613415828</v>
      </c>
      <c r="V382" s="20">
        <f t="shared" si="568"/>
        <v>2093.4426741029511</v>
      </c>
      <c r="W382" s="20">
        <f t="shared" si="569"/>
        <v>10862.079075260945</v>
      </c>
      <c r="X382" s="19">
        <f t="shared" si="616"/>
        <v>8768.6364011579935</v>
      </c>
      <c r="Y382" s="38">
        <f t="shared" si="570"/>
        <v>0.80727053636804247</v>
      </c>
      <c r="Z382" s="37">
        <f t="shared" si="574"/>
        <v>1202845.0894845871</v>
      </c>
      <c r="AA382" s="44">
        <f t="shared" si="575"/>
        <v>0</v>
      </c>
      <c r="AC382" s="48">
        <f t="shared" si="576"/>
        <v>8768.6364011579935</v>
      </c>
    </row>
    <row r="383" spans="1:29" x14ac:dyDescent="0.2">
      <c r="A383" s="14" t="str">
        <f t="shared" ref="A383:F383" si="661">A371</f>
        <v>Novembro</v>
      </c>
      <c r="B383" s="14">
        <f t="shared" si="661"/>
        <v>30</v>
      </c>
      <c r="C383" s="15">
        <f t="shared" si="661"/>
        <v>4.68</v>
      </c>
      <c r="D383" s="15">
        <f t="shared" si="661"/>
        <v>5.5745347698334964</v>
      </c>
      <c r="E383" s="15">
        <f t="shared" si="661"/>
        <v>5.89</v>
      </c>
      <c r="F383" s="57">
        <f t="shared" si="661"/>
        <v>5.23</v>
      </c>
      <c r="G383" s="16">
        <f t="shared" si="608"/>
        <v>0.87392593835713805</v>
      </c>
      <c r="H383" s="15">
        <f t="shared" si="598"/>
        <v>9.3172748972902255</v>
      </c>
      <c r="I383" s="17">
        <f t="shared" si="658"/>
        <v>1.8968108235903443</v>
      </c>
      <c r="J383" s="14">
        <f t="shared" si="609"/>
        <v>359</v>
      </c>
      <c r="K383" s="25">
        <f t="shared" si="659"/>
        <v>30</v>
      </c>
      <c r="L383" s="18" t="str">
        <f t="shared" ref="L383" si="662">L371</f>
        <v>nov</v>
      </c>
      <c r="M383" s="43">
        <f t="shared" si="600"/>
        <v>1288</v>
      </c>
      <c r="N383" s="53">
        <f t="shared" si="566"/>
        <v>1426.4426990760244</v>
      </c>
      <c r="O383" s="43">
        <f t="shared" si="567"/>
        <v>386.4</v>
      </c>
      <c r="P383" s="43">
        <f t="shared" si="611"/>
        <v>1040.0426990760243</v>
      </c>
      <c r="Q383" s="43">
        <f t="shared" si="612"/>
        <v>901.6</v>
      </c>
      <c r="R383" s="43">
        <f t="shared" si="613"/>
        <v>138.44269907602427</v>
      </c>
      <c r="S383" s="43">
        <f t="shared" si="573"/>
        <v>138.44269907602427</v>
      </c>
      <c r="T383" s="43">
        <f t="shared" si="614"/>
        <v>901.6</v>
      </c>
      <c r="U383" s="50">
        <f t="shared" si="615"/>
        <v>1710.1646385490544</v>
      </c>
      <c r="V383" s="20">
        <f t="shared" si="568"/>
        <v>1710.1646385490544</v>
      </c>
      <c r="W383" s="20">
        <f t="shared" si="569"/>
        <v>10440.565558907534</v>
      </c>
      <c r="X383" s="19">
        <f t="shared" si="616"/>
        <v>8730.4009203584792</v>
      </c>
      <c r="Y383" s="38">
        <f t="shared" si="570"/>
        <v>0.83619999999999994</v>
      </c>
      <c r="Z383" s="37">
        <f t="shared" si="574"/>
        <v>1211575.4904049456</v>
      </c>
      <c r="AA383" s="44">
        <f t="shared" si="575"/>
        <v>0</v>
      </c>
      <c r="AC383" s="48">
        <f t="shared" si="576"/>
        <v>8730.4009203584792</v>
      </c>
    </row>
    <row r="384" spans="1:29" x14ac:dyDescent="0.2">
      <c r="A384" s="14" t="str">
        <f t="shared" ref="A384:F384" si="663">A372</f>
        <v>Dezembro</v>
      </c>
      <c r="B384" s="14">
        <f t="shared" si="663"/>
        <v>31</v>
      </c>
      <c r="C384" s="15">
        <f t="shared" si="663"/>
        <v>4.8499999999999996</v>
      </c>
      <c r="D384" s="15">
        <f t="shared" si="663"/>
        <v>5.6062683643486775</v>
      </c>
      <c r="E384" s="15">
        <f t="shared" si="663"/>
        <v>6.05</v>
      </c>
      <c r="F384" s="57">
        <f t="shared" si="663"/>
        <v>5.29</v>
      </c>
      <c r="G384" s="16">
        <f t="shared" si="608"/>
        <v>0.87392593835713805</v>
      </c>
      <c r="H384" s="15">
        <f t="shared" si="598"/>
        <v>9.3172748972902255</v>
      </c>
      <c r="I384" s="17">
        <f t="shared" si="658"/>
        <v>1.8968108235903443</v>
      </c>
      <c r="J384" s="14">
        <f t="shared" si="609"/>
        <v>360</v>
      </c>
      <c r="K384" s="25">
        <f t="shared" si="659"/>
        <v>30</v>
      </c>
      <c r="L384" s="18" t="str">
        <f t="shared" ref="L384" si="664">L372</f>
        <v>dez</v>
      </c>
      <c r="M384" s="43">
        <f t="shared" si="600"/>
        <v>1140</v>
      </c>
      <c r="N384" s="53">
        <f t="shared" si="566"/>
        <v>1482.3816284515547</v>
      </c>
      <c r="O384" s="43">
        <f t="shared" si="567"/>
        <v>342</v>
      </c>
      <c r="P384" s="43">
        <f t="shared" si="611"/>
        <v>1140.3816284515547</v>
      </c>
      <c r="Q384" s="43">
        <f t="shared" si="612"/>
        <v>798</v>
      </c>
      <c r="R384" s="43">
        <f t="shared" si="613"/>
        <v>342.38162845155466</v>
      </c>
      <c r="S384" s="43">
        <f t="shared" si="573"/>
        <v>480.82432752757893</v>
      </c>
      <c r="T384" s="43">
        <f t="shared" si="614"/>
        <v>798</v>
      </c>
      <c r="U384" s="50">
        <f t="shared" si="615"/>
        <v>1513.6550372250947</v>
      </c>
      <c r="V384" s="20">
        <f t="shared" si="568"/>
        <v>1513.6550372250947</v>
      </c>
      <c r="W384" s="20">
        <f t="shared" si="569"/>
        <v>9240.8732431324461</v>
      </c>
      <c r="X384" s="19">
        <f t="shared" si="616"/>
        <v>7727.2182059073511</v>
      </c>
      <c r="Y384" s="38">
        <f t="shared" si="570"/>
        <v>0.83619999999999994</v>
      </c>
      <c r="Z384" s="37">
        <f t="shared" si="574"/>
        <v>1219302.7086108529</v>
      </c>
      <c r="AA384" s="44">
        <f t="shared" si="575"/>
        <v>0</v>
      </c>
      <c r="AC384" s="48">
        <f t="shared" si="576"/>
        <v>7727.2182059073511</v>
      </c>
    </row>
    <row r="385" spans="12:13" x14ac:dyDescent="0.2">
      <c r="L385" s="5"/>
      <c r="M385" s="5"/>
    </row>
    <row r="386" spans="12:13" x14ac:dyDescent="0.2">
      <c r="L386" s="5"/>
      <c r="M386" s="5"/>
    </row>
    <row r="387" spans="12:13" x14ac:dyDescent="0.2">
      <c r="L387" s="5"/>
      <c r="M387" s="5"/>
    </row>
    <row r="388" spans="12:13" x14ac:dyDescent="0.2">
      <c r="L388" s="5"/>
      <c r="M388" s="5"/>
    </row>
    <row r="389" spans="12:13" x14ac:dyDescent="0.2">
      <c r="L389" s="5"/>
      <c r="M389" s="5"/>
    </row>
    <row r="390" spans="12:13" x14ac:dyDescent="0.2">
      <c r="L390" s="5"/>
      <c r="M390" s="5"/>
    </row>
    <row r="391" spans="12:13" x14ac:dyDescent="0.2">
      <c r="L391" s="5"/>
      <c r="M391" s="5"/>
    </row>
    <row r="392" spans="12:13" x14ac:dyDescent="0.2">
      <c r="L392" s="5"/>
      <c r="M392" s="5"/>
    </row>
    <row r="393" spans="12:13" x14ac:dyDescent="0.2">
      <c r="L393" s="5"/>
      <c r="M393" s="5"/>
    </row>
    <row r="394" spans="12:13" x14ac:dyDescent="0.2">
      <c r="L394" s="5"/>
      <c r="M394" s="5"/>
    </row>
    <row r="395" spans="12:13" x14ac:dyDescent="0.2">
      <c r="L395" s="5"/>
      <c r="M395" s="5"/>
    </row>
    <row r="396" spans="12:13" x14ac:dyDescent="0.2">
      <c r="L396" s="5"/>
      <c r="M396" s="5"/>
    </row>
    <row r="397" spans="12:13" x14ac:dyDescent="0.2">
      <c r="L397" s="5"/>
      <c r="M397" s="5"/>
    </row>
    <row r="398" spans="12:13" x14ac:dyDescent="0.2">
      <c r="L398" s="5"/>
      <c r="M398" s="5"/>
    </row>
    <row r="399" spans="12:13" x14ac:dyDescent="0.2">
      <c r="L399" s="5"/>
      <c r="M399" s="5"/>
    </row>
    <row r="400" spans="12:13" x14ac:dyDescent="0.2">
      <c r="L400" s="5"/>
      <c r="M400" s="5"/>
    </row>
    <row r="401" spans="12:13" x14ac:dyDescent="0.2">
      <c r="L401" s="5"/>
      <c r="M401" s="5"/>
    </row>
    <row r="402" spans="12:13" x14ac:dyDescent="0.2">
      <c r="L402" s="5"/>
      <c r="M402" s="5"/>
    </row>
    <row r="403" spans="12:13" x14ac:dyDescent="0.2">
      <c r="L403" s="5"/>
      <c r="M403" s="5"/>
    </row>
    <row r="404" spans="12:13" x14ac:dyDescent="0.2">
      <c r="L404" s="5"/>
      <c r="M404" s="5"/>
    </row>
    <row r="405" spans="12:13" x14ac:dyDescent="0.2">
      <c r="L405" s="5"/>
      <c r="M405" s="5"/>
    </row>
    <row r="406" spans="12:13" x14ac:dyDescent="0.2">
      <c r="L406" s="5"/>
      <c r="M406" s="5"/>
    </row>
    <row r="407" spans="12:13" x14ac:dyDescent="0.2">
      <c r="L407" s="5"/>
      <c r="M407" s="5"/>
    </row>
    <row r="408" spans="12:13" x14ac:dyDescent="0.2">
      <c r="L408" s="5"/>
      <c r="M408" s="5"/>
    </row>
    <row r="409" spans="12:13" x14ac:dyDescent="0.2">
      <c r="L409" s="5"/>
      <c r="M409" s="5"/>
    </row>
    <row r="410" spans="12:13" x14ac:dyDescent="0.2">
      <c r="L410" s="5"/>
      <c r="M410" s="5"/>
    </row>
    <row r="411" spans="12:13" x14ac:dyDescent="0.2">
      <c r="L411" s="5"/>
      <c r="M411" s="5"/>
    </row>
    <row r="412" spans="12:13" x14ac:dyDescent="0.2">
      <c r="L412" s="5"/>
      <c r="M412" s="5"/>
    </row>
    <row r="413" spans="12:13" x14ac:dyDescent="0.2">
      <c r="L413" s="5"/>
      <c r="M413" s="5"/>
    </row>
    <row r="414" spans="12:13" x14ac:dyDescent="0.2">
      <c r="L414" s="5"/>
      <c r="M414" s="5"/>
    </row>
    <row r="415" spans="12:13" x14ac:dyDescent="0.2">
      <c r="L415" s="5"/>
      <c r="M415" s="5"/>
    </row>
    <row r="416" spans="12:13" x14ac:dyDescent="0.2">
      <c r="L416" s="5"/>
      <c r="M416" s="5"/>
    </row>
    <row r="417" spans="12:13" x14ac:dyDescent="0.2">
      <c r="L417" s="5"/>
      <c r="M417" s="5"/>
    </row>
    <row r="418" spans="12:13" x14ac:dyDescent="0.2">
      <c r="L418" s="5"/>
      <c r="M418" s="5"/>
    </row>
    <row r="419" spans="12:13" x14ac:dyDescent="0.2">
      <c r="L419" s="5"/>
      <c r="M419" s="5"/>
    </row>
    <row r="420" spans="12:13" x14ac:dyDescent="0.2">
      <c r="L420" s="5"/>
      <c r="M420" s="5"/>
    </row>
    <row r="421" spans="12:13" x14ac:dyDescent="0.2">
      <c r="L421" s="5"/>
      <c r="M421" s="5"/>
    </row>
    <row r="422" spans="12:13" x14ac:dyDescent="0.2">
      <c r="L422" s="5"/>
      <c r="M422" s="5"/>
    </row>
    <row r="423" spans="12:13" x14ac:dyDescent="0.2">
      <c r="L423" s="5"/>
      <c r="M423" s="5"/>
    </row>
    <row r="424" spans="12:13" x14ac:dyDescent="0.2">
      <c r="L424" s="5"/>
      <c r="M424" s="5"/>
    </row>
    <row r="425" spans="12:13" x14ac:dyDescent="0.2">
      <c r="L425" s="5"/>
      <c r="M425" s="5"/>
    </row>
    <row r="426" spans="12:13" x14ac:dyDescent="0.2">
      <c r="L426" s="5"/>
      <c r="M426" s="5"/>
    </row>
    <row r="427" spans="12:13" x14ac:dyDescent="0.2">
      <c r="L427" s="5"/>
      <c r="M427" s="5"/>
    </row>
    <row r="428" spans="12:13" x14ac:dyDescent="0.2">
      <c r="L428" s="5"/>
      <c r="M428" s="5"/>
    </row>
    <row r="429" spans="12:13" x14ac:dyDescent="0.2">
      <c r="L429" s="5"/>
      <c r="M429" s="5"/>
    </row>
    <row r="430" spans="12:13" x14ac:dyDescent="0.2">
      <c r="L430" s="5"/>
      <c r="M430" s="5"/>
    </row>
    <row r="431" spans="12:13" x14ac:dyDescent="0.2">
      <c r="L431" s="5"/>
      <c r="M431" s="5"/>
    </row>
    <row r="432" spans="12:13" x14ac:dyDescent="0.2">
      <c r="L432" s="5"/>
      <c r="M432" s="5"/>
    </row>
    <row r="433" spans="12:13" x14ac:dyDescent="0.2">
      <c r="L433" s="5"/>
      <c r="M433" s="5"/>
    </row>
    <row r="434" spans="12:13" x14ac:dyDescent="0.2">
      <c r="L434" s="5"/>
      <c r="M434" s="5"/>
    </row>
    <row r="435" spans="12:13" x14ac:dyDescent="0.2">
      <c r="L435" s="5"/>
      <c r="M435" s="5"/>
    </row>
    <row r="436" spans="12:13" x14ac:dyDescent="0.2">
      <c r="L436" s="5"/>
      <c r="M436" s="5"/>
    </row>
    <row r="437" spans="12:13" x14ac:dyDescent="0.2">
      <c r="L437" s="5"/>
      <c r="M437" s="5"/>
    </row>
    <row r="438" spans="12:13" x14ac:dyDescent="0.2">
      <c r="L438" s="5"/>
      <c r="M438" s="5"/>
    </row>
    <row r="439" spans="12:13" x14ac:dyDescent="0.2">
      <c r="L439" s="5"/>
      <c r="M439" s="5"/>
    </row>
    <row r="440" spans="12:13" x14ac:dyDescent="0.2">
      <c r="L440" s="5"/>
      <c r="M440" s="5"/>
    </row>
    <row r="441" spans="12:13" x14ac:dyDescent="0.2">
      <c r="L441" s="5"/>
      <c r="M441" s="5"/>
    </row>
    <row r="442" spans="12:13" x14ac:dyDescent="0.2">
      <c r="L442" s="5"/>
      <c r="M442" s="5"/>
    </row>
    <row r="443" spans="12:13" x14ac:dyDescent="0.2">
      <c r="L443" s="5"/>
      <c r="M443" s="5"/>
    </row>
    <row r="444" spans="12:13" x14ac:dyDescent="0.2">
      <c r="L444" s="5"/>
      <c r="M444" s="5"/>
    </row>
    <row r="445" spans="12:13" x14ac:dyDescent="0.2">
      <c r="L445" s="5"/>
      <c r="M445" s="5"/>
    </row>
    <row r="446" spans="12:13" x14ac:dyDescent="0.2">
      <c r="L446" s="5"/>
      <c r="M446" s="5"/>
    </row>
    <row r="447" spans="12:13" x14ac:dyDescent="0.2">
      <c r="L447" s="5"/>
      <c r="M447" s="5"/>
    </row>
    <row r="448" spans="12:13" x14ac:dyDescent="0.2">
      <c r="L448" s="5"/>
      <c r="M448" s="5"/>
    </row>
    <row r="449" spans="12:13" x14ac:dyDescent="0.2">
      <c r="L449" s="5"/>
      <c r="M449" s="5"/>
    </row>
    <row r="450" spans="12:13" x14ac:dyDescent="0.2">
      <c r="L450" s="5"/>
      <c r="M450" s="5"/>
    </row>
    <row r="451" spans="12:13" x14ac:dyDescent="0.2">
      <c r="L451" s="5"/>
      <c r="M451" s="5"/>
    </row>
    <row r="452" spans="12:13" x14ac:dyDescent="0.2">
      <c r="L452" s="5"/>
      <c r="M452" s="5"/>
    </row>
    <row r="453" spans="12:13" x14ac:dyDescent="0.2">
      <c r="L453" s="5"/>
      <c r="M453" s="5"/>
    </row>
    <row r="454" spans="12:13" x14ac:dyDescent="0.2">
      <c r="L454" s="5"/>
      <c r="M454" s="5"/>
    </row>
    <row r="455" spans="12:13" x14ac:dyDescent="0.2">
      <c r="L455" s="5"/>
      <c r="M455" s="5"/>
    </row>
    <row r="456" spans="12:13" x14ac:dyDescent="0.2">
      <c r="L456" s="5"/>
      <c r="M456" s="5"/>
    </row>
    <row r="457" spans="12:13" x14ac:dyDescent="0.2">
      <c r="L457" s="5"/>
      <c r="M457" s="5"/>
    </row>
    <row r="458" spans="12:13" x14ac:dyDescent="0.2">
      <c r="L458" s="5"/>
      <c r="M458" s="5"/>
    </row>
    <row r="459" spans="12:13" x14ac:dyDescent="0.2">
      <c r="L459" s="5"/>
      <c r="M459" s="5"/>
    </row>
    <row r="460" spans="12:13" x14ac:dyDescent="0.2">
      <c r="L460" s="5"/>
      <c r="M460" s="5"/>
    </row>
    <row r="461" spans="12:13" x14ac:dyDescent="0.2">
      <c r="L461" s="5"/>
      <c r="M461" s="5"/>
    </row>
    <row r="462" spans="12:13" x14ac:dyDescent="0.2">
      <c r="L462" s="5"/>
      <c r="M462" s="5"/>
    </row>
    <row r="463" spans="12:13" x14ac:dyDescent="0.2">
      <c r="L463" s="5"/>
      <c r="M463" s="5"/>
    </row>
    <row r="464" spans="12:13" x14ac:dyDescent="0.2">
      <c r="L464" s="5"/>
      <c r="M464" s="5"/>
    </row>
    <row r="465" spans="12:13" x14ac:dyDescent="0.2">
      <c r="L465" s="5"/>
      <c r="M465" s="5"/>
    </row>
    <row r="466" spans="12:13" x14ac:dyDescent="0.2">
      <c r="L466" s="5"/>
      <c r="M466" s="5"/>
    </row>
    <row r="467" spans="12:13" x14ac:dyDescent="0.2">
      <c r="L467" s="5"/>
      <c r="M467" s="5"/>
    </row>
    <row r="468" spans="12:13" x14ac:dyDescent="0.2">
      <c r="L468" s="5"/>
      <c r="M468" s="5"/>
    </row>
    <row r="469" spans="12:13" x14ac:dyDescent="0.2">
      <c r="L469" s="5"/>
      <c r="M469" s="5"/>
    </row>
    <row r="470" spans="12:13" x14ac:dyDescent="0.2">
      <c r="L470" s="5"/>
      <c r="M470" s="5"/>
    </row>
    <row r="471" spans="12:13" x14ac:dyDescent="0.2">
      <c r="L471" s="5"/>
      <c r="M471" s="5"/>
    </row>
    <row r="472" spans="12:13" x14ac:dyDescent="0.2">
      <c r="L472" s="5"/>
      <c r="M472" s="5"/>
    </row>
    <row r="473" spans="12:13" x14ac:dyDescent="0.2">
      <c r="L473" s="5"/>
      <c r="M473" s="5"/>
    </row>
    <row r="474" spans="12:13" x14ac:dyDescent="0.2">
      <c r="L474" s="5"/>
      <c r="M474" s="5"/>
    </row>
    <row r="475" spans="12:13" x14ac:dyDescent="0.2">
      <c r="L475" s="5"/>
      <c r="M475" s="5"/>
    </row>
    <row r="476" spans="12:13" x14ac:dyDescent="0.2">
      <c r="L476" s="5"/>
      <c r="M476" s="5"/>
    </row>
    <row r="477" spans="12:13" x14ac:dyDescent="0.2">
      <c r="L477" s="5"/>
      <c r="M477" s="5"/>
    </row>
    <row r="478" spans="12:13" x14ac:dyDescent="0.2">
      <c r="L478" s="5"/>
      <c r="M478" s="5"/>
    </row>
    <row r="479" spans="12:13" x14ac:dyDescent="0.2">
      <c r="L479" s="5"/>
      <c r="M479" s="5"/>
    </row>
    <row r="480" spans="12:13" x14ac:dyDescent="0.2">
      <c r="L480" s="5"/>
      <c r="M480" s="5"/>
    </row>
    <row r="481" spans="12:13" x14ac:dyDescent="0.2">
      <c r="L481" s="5"/>
      <c r="M481" s="5"/>
    </row>
    <row r="482" spans="12:13" x14ac:dyDescent="0.2">
      <c r="L482" s="5"/>
      <c r="M482" s="5"/>
    </row>
    <row r="483" spans="12:13" x14ac:dyDescent="0.2">
      <c r="L483" s="5"/>
      <c r="M483" s="5"/>
    </row>
    <row r="484" spans="12:13" x14ac:dyDescent="0.2">
      <c r="L484" s="5"/>
      <c r="M484" s="5"/>
    </row>
    <row r="485" spans="12:13" x14ac:dyDescent="0.2">
      <c r="L485" s="5"/>
      <c r="M485" s="5"/>
    </row>
    <row r="486" spans="12:13" x14ac:dyDescent="0.2">
      <c r="L486" s="5"/>
      <c r="M486" s="5"/>
    </row>
    <row r="487" spans="12:13" x14ac:dyDescent="0.2">
      <c r="L487" s="5"/>
      <c r="M487" s="5"/>
    </row>
    <row r="488" spans="12:13" x14ac:dyDescent="0.2">
      <c r="L488" s="5"/>
      <c r="M488" s="5"/>
    </row>
    <row r="489" spans="12:13" x14ac:dyDescent="0.2">
      <c r="L489" s="5"/>
      <c r="M489" s="5"/>
    </row>
    <row r="490" spans="12:13" x14ac:dyDescent="0.2">
      <c r="L490" s="5"/>
      <c r="M490" s="5"/>
    </row>
    <row r="491" spans="12:13" x14ac:dyDescent="0.2">
      <c r="L491" s="5"/>
      <c r="M491" s="5"/>
    </row>
    <row r="492" spans="12:13" x14ac:dyDescent="0.2">
      <c r="L492" s="5"/>
      <c r="M492" s="5"/>
    </row>
    <row r="493" spans="12:13" x14ac:dyDescent="0.2">
      <c r="L493" s="5"/>
      <c r="M493" s="5"/>
    </row>
    <row r="494" spans="12:13" x14ac:dyDescent="0.2">
      <c r="L494" s="5"/>
      <c r="M494" s="5"/>
    </row>
    <row r="495" spans="12:13" x14ac:dyDescent="0.2">
      <c r="L495" s="5"/>
      <c r="M495" s="5"/>
    </row>
    <row r="496" spans="12:13" x14ac:dyDescent="0.2">
      <c r="L496" s="5"/>
      <c r="M496" s="5"/>
    </row>
    <row r="497" spans="12:13" x14ac:dyDescent="0.2">
      <c r="L497" s="5"/>
      <c r="M497" s="5"/>
    </row>
    <row r="498" spans="12:13" x14ac:dyDescent="0.2">
      <c r="L498" s="5"/>
      <c r="M498" s="5"/>
    </row>
    <row r="499" spans="12:13" x14ac:dyDescent="0.2">
      <c r="L499" s="5"/>
      <c r="M499" s="5"/>
    </row>
    <row r="500" spans="12:13" x14ac:dyDescent="0.2">
      <c r="L500" s="5"/>
      <c r="M500" s="5"/>
    </row>
    <row r="501" spans="12:13" x14ac:dyDescent="0.2">
      <c r="L501" s="5"/>
      <c r="M501" s="5"/>
    </row>
    <row r="502" spans="12:13" x14ac:dyDescent="0.2">
      <c r="L502" s="5"/>
      <c r="M502" s="5"/>
    </row>
    <row r="503" spans="12:13" x14ac:dyDescent="0.2">
      <c r="L503" s="5"/>
      <c r="M503" s="5"/>
    </row>
    <row r="504" spans="12:13" x14ac:dyDescent="0.2">
      <c r="L504" s="5"/>
      <c r="M504" s="5"/>
    </row>
    <row r="505" spans="12:13" x14ac:dyDescent="0.2">
      <c r="L505" s="5"/>
      <c r="M505" s="5"/>
    </row>
    <row r="506" spans="12:13" x14ac:dyDescent="0.2">
      <c r="L506" s="5"/>
      <c r="M506" s="5"/>
    </row>
    <row r="507" spans="12:13" x14ac:dyDescent="0.2">
      <c r="L507" s="5"/>
      <c r="M507" s="5"/>
    </row>
    <row r="508" spans="12:13" x14ac:dyDescent="0.2">
      <c r="L508" s="5"/>
      <c r="M508" s="5"/>
    </row>
    <row r="509" spans="12:13" x14ac:dyDescent="0.2">
      <c r="L509" s="5"/>
      <c r="M509" s="5"/>
    </row>
    <row r="510" spans="12:13" x14ac:dyDescent="0.2">
      <c r="L510" s="5"/>
      <c r="M510" s="5"/>
    </row>
    <row r="511" spans="12:13" x14ac:dyDescent="0.2">
      <c r="L511" s="5"/>
      <c r="M511" s="5"/>
    </row>
    <row r="512" spans="12:13" x14ac:dyDescent="0.2">
      <c r="L512" s="5"/>
      <c r="M512" s="5"/>
    </row>
    <row r="513" spans="12:13" x14ac:dyDescent="0.2">
      <c r="L513" s="5"/>
      <c r="M513" s="5"/>
    </row>
    <row r="514" spans="12:13" x14ac:dyDescent="0.2">
      <c r="L514" s="5"/>
      <c r="M514" s="5"/>
    </row>
    <row r="515" spans="12:13" x14ac:dyDescent="0.2">
      <c r="L515" s="5"/>
      <c r="M515" s="5"/>
    </row>
    <row r="516" spans="12:13" x14ac:dyDescent="0.2">
      <c r="L516" s="5"/>
      <c r="M516" s="5"/>
    </row>
    <row r="517" spans="12:13" x14ac:dyDescent="0.2">
      <c r="L517" s="5"/>
      <c r="M517" s="5"/>
    </row>
    <row r="518" spans="12:13" x14ac:dyDescent="0.2">
      <c r="L518" s="5"/>
      <c r="M518" s="5"/>
    </row>
    <row r="519" spans="12:13" x14ac:dyDescent="0.2">
      <c r="L519" s="5"/>
      <c r="M519" s="5"/>
    </row>
    <row r="520" spans="12:13" x14ac:dyDescent="0.2">
      <c r="L520" s="5"/>
      <c r="M520" s="5"/>
    </row>
    <row r="521" spans="12:13" x14ac:dyDescent="0.2">
      <c r="L521" s="5"/>
      <c r="M521" s="5"/>
    </row>
    <row r="522" spans="12:13" x14ac:dyDescent="0.2">
      <c r="L522" s="5"/>
      <c r="M522" s="5"/>
    </row>
    <row r="523" spans="12:13" x14ac:dyDescent="0.2">
      <c r="L523" s="5"/>
      <c r="M523" s="5"/>
    </row>
    <row r="524" spans="12:13" x14ac:dyDescent="0.2">
      <c r="L524" s="5"/>
      <c r="M524" s="5"/>
    </row>
    <row r="525" spans="12:13" x14ac:dyDescent="0.2">
      <c r="L525" s="5"/>
      <c r="M525" s="5"/>
    </row>
    <row r="526" spans="12:13" x14ac:dyDescent="0.2">
      <c r="L526" s="5"/>
      <c r="M526" s="5"/>
    </row>
    <row r="527" spans="12:13" x14ac:dyDescent="0.2">
      <c r="L527" s="5"/>
      <c r="M527" s="5"/>
    </row>
    <row r="528" spans="12:13" x14ac:dyDescent="0.2">
      <c r="L528" s="5"/>
      <c r="M528" s="5"/>
    </row>
    <row r="529" spans="12:13" x14ac:dyDescent="0.2">
      <c r="L529" s="5"/>
      <c r="M529" s="5"/>
    </row>
    <row r="530" spans="12:13" x14ac:dyDescent="0.2">
      <c r="L530" s="5"/>
      <c r="M530" s="5"/>
    </row>
    <row r="531" spans="12:13" x14ac:dyDescent="0.2">
      <c r="L531" s="5"/>
      <c r="M531" s="5"/>
    </row>
    <row r="532" spans="12:13" x14ac:dyDescent="0.2">
      <c r="L532" s="5"/>
      <c r="M532" s="5"/>
    </row>
    <row r="533" spans="12:13" x14ac:dyDescent="0.2">
      <c r="L533" s="5"/>
      <c r="M533" s="5"/>
    </row>
    <row r="534" spans="12:13" x14ac:dyDescent="0.2">
      <c r="L534" s="5"/>
      <c r="M534" s="5"/>
    </row>
    <row r="535" spans="12:13" x14ac:dyDescent="0.2">
      <c r="L535" s="5"/>
      <c r="M535" s="5"/>
    </row>
    <row r="536" spans="12:13" x14ac:dyDescent="0.2">
      <c r="L536" s="5"/>
      <c r="M536" s="5"/>
    </row>
    <row r="537" spans="12:13" x14ac:dyDescent="0.2">
      <c r="L537" s="5"/>
      <c r="M537" s="5"/>
    </row>
    <row r="538" spans="12:13" x14ac:dyDescent="0.2">
      <c r="L538" s="5"/>
      <c r="M538" s="5"/>
    </row>
    <row r="539" spans="12:13" x14ac:dyDescent="0.2">
      <c r="L539" s="5"/>
      <c r="M539" s="5"/>
    </row>
    <row r="540" spans="12:13" x14ac:dyDescent="0.2">
      <c r="L540" s="5"/>
      <c r="M540" s="5"/>
    </row>
    <row r="541" spans="12:13" x14ac:dyDescent="0.2">
      <c r="L541" s="5"/>
      <c r="M541" s="5"/>
    </row>
    <row r="542" spans="12:13" x14ac:dyDescent="0.2">
      <c r="L542" s="5"/>
      <c r="M542" s="5"/>
    </row>
    <row r="543" spans="12:13" x14ac:dyDescent="0.2">
      <c r="L543" s="5"/>
      <c r="M543" s="5"/>
    </row>
    <row r="544" spans="12:13" x14ac:dyDescent="0.2">
      <c r="L544" s="5"/>
      <c r="M544" s="5"/>
    </row>
    <row r="545" spans="12:13" x14ac:dyDescent="0.2">
      <c r="L545" s="5"/>
      <c r="M545" s="5"/>
    </row>
    <row r="546" spans="12:13" x14ac:dyDescent="0.2">
      <c r="L546" s="5"/>
      <c r="M546" s="5"/>
    </row>
    <row r="547" spans="12:13" x14ac:dyDescent="0.2">
      <c r="L547" s="5"/>
      <c r="M547" s="5"/>
    </row>
    <row r="548" spans="12:13" x14ac:dyDescent="0.2">
      <c r="L548" s="5"/>
      <c r="M548" s="5"/>
    </row>
    <row r="549" spans="12:13" x14ac:dyDescent="0.2">
      <c r="L549" s="5"/>
      <c r="M549" s="5"/>
    </row>
    <row r="550" spans="12:13" x14ac:dyDescent="0.2">
      <c r="L550" s="5"/>
      <c r="M550" s="5"/>
    </row>
    <row r="551" spans="12:13" x14ac:dyDescent="0.2">
      <c r="L551" s="5"/>
      <c r="M551" s="5"/>
    </row>
    <row r="552" spans="12:13" x14ac:dyDescent="0.2">
      <c r="L552" s="5"/>
      <c r="M552" s="5"/>
    </row>
    <row r="553" spans="12:13" x14ac:dyDescent="0.2">
      <c r="L553" s="5"/>
      <c r="M553" s="5"/>
    </row>
    <row r="554" spans="12:13" x14ac:dyDescent="0.2">
      <c r="L554" s="5"/>
      <c r="M554" s="5"/>
    </row>
    <row r="555" spans="12:13" x14ac:dyDescent="0.2">
      <c r="L555" s="5"/>
      <c r="M555" s="5"/>
    </row>
    <row r="556" spans="12:13" x14ac:dyDescent="0.2">
      <c r="L556" s="5"/>
      <c r="M556" s="5"/>
    </row>
    <row r="557" spans="12:13" x14ac:dyDescent="0.2">
      <c r="L557" s="5"/>
      <c r="M557" s="5"/>
    </row>
    <row r="558" spans="12:13" x14ac:dyDescent="0.2">
      <c r="L558" s="5"/>
      <c r="M558" s="5"/>
    </row>
    <row r="559" spans="12:13" x14ac:dyDescent="0.2">
      <c r="L559" s="5"/>
      <c r="M559" s="5"/>
    </row>
    <row r="560" spans="12:13" x14ac:dyDescent="0.2">
      <c r="L560" s="5"/>
      <c r="M560" s="5"/>
    </row>
    <row r="561" spans="12:13" x14ac:dyDescent="0.2">
      <c r="L561" s="5"/>
      <c r="M561" s="5"/>
    </row>
    <row r="562" spans="12:13" x14ac:dyDescent="0.2">
      <c r="L562" s="5"/>
      <c r="M562" s="5"/>
    </row>
    <row r="563" spans="12:13" x14ac:dyDescent="0.2">
      <c r="L563" s="5"/>
      <c r="M563" s="5"/>
    </row>
    <row r="564" spans="12:13" x14ac:dyDescent="0.2">
      <c r="L564" s="5"/>
      <c r="M564" s="5"/>
    </row>
    <row r="565" spans="12:13" x14ac:dyDescent="0.2">
      <c r="L565" s="5"/>
      <c r="M565" s="5"/>
    </row>
    <row r="566" spans="12:13" x14ac:dyDescent="0.2">
      <c r="L566" s="5"/>
      <c r="M566" s="5"/>
    </row>
    <row r="567" spans="12:13" x14ac:dyDescent="0.2">
      <c r="L567" s="5"/>
      <c r="M567" s="5"/>
    </row>
    <row r="568" spans="12:13" x14ac:dyDescent="0.2">
      <c r="L568" s="5"/>
      <c r="M568" s="5"/>
    </row>
    <row r="569" spans="12:13" x14ac:dyDescent="0.2">
      <c r="L569" s="5"/>
      <c r="M569" s="5"/>
    </row>
    <row r="570" spans="12:13" x14ac:dyDescent="0.2">
      <c r="L570" s="5"/>
      <c r="M570" s="5"/>
    </row>
    <row r="571" spans="12:13" x14ac:dyDescent="0.2">
      <c r="L571" s="5"/>
      <c r="M571" s="5"/>
    </row>
    <row r="572" spans="12:13" x14ac:dyDescent="0.2">
      <c r="L572" s="5"/>
      <c r="M572" s="5"/>
    </row>
    <row r="573" spans="12:13" x14ac:dyDescent="0.2">
      <c r="L573" s="5"/>
      <c r="M573" s="5"/>
    </row>
    <row r="574" spans="12:13" x14ac:dyDescent="0.2">
      <c r="L574" s="5"/>
      <c r="M574" s="5"/>
    </row>
    <row r="575" spans="12:13" x14ac:dyDescent="0.2">
      <c r="L575" s="5"/>
      <c r="M575" s="5"/>
    </row>
    <row r="576" spans="12:13" x14ac:dyDescent="0.2">
      <c r="L576" s="5"/>
      <c r="M576" s="5"/>
    </row>
    <row r="577" spans="12:13" x14ac:dyDescent="0.2">
      <c r="L577" s="5"/>
      <c r="M577" s="5"/>
    </row>
    <row r="578" spans="12:13" x14ac:dyDescent="0.2">
      <c r="L578" s="5"/>
      <c r="M578" s="5"/>
    </row>
    <row r="579" spans="12:13" x14ac:dyDescent="0.2">
      <c r="L579" s="5"/>
      <c r="M579" s="5"/>
    </row>
    <row r="580" spans="12:13" x14ac:dyDescent="0.2">
      <c r="L580" s="5"/>
      <c r="M580" s="5"/>
    </row>
    <row r="581" spans="12:13" x14ac:dyDescent="0.2">
      <c r="L581" s="5"/>
      <c r="M581" s="5"/>
    </row>
    <row r="582" spans="12:13" x14ac:dyDescent="0.2">
      <c r="L582" s="5"/>
      <c r="M582" s="5"/>
    </row>
    <row r="583" spans="12:13" x14ac:dyDescent="0.2">
      <c r="L583" s="5"/>
      <c r="M583" s="5"/>
    </row>
    <row r="584" spans="12:13" x14ac:dyDescent="0.2">
      <c r="L584" s="5"/>
      <c r="M584" s="5"/>
    </row>
    <row r="585" spans="12:13" x14ac:dyDescent="0.2">
      <c r="L585" s="5"/>
      <c r="M585" s="5"/>
    </row>
    <row r="586" spans="12:13" x14ac:dyDescent="0.2">
      <c r="L586" s="5"/>
      <c r="M586" s="5"/>
    </row>
    <row r="587" spans="12:13" x14ac:dyDescent="0.2">
      <c r="L587" s="5"/>
      <c r="M587" s="5"/>
    </row>
    <row r="588" spans="12:13" x14ac:dyDescent="0.2">
      <c r="L588" s="5"/>
      <c r="M588" s="5"/>
    </row>
    <row r="589" spans="12:13" x14ac:dyDescent="0.2">
      <c r="L589" s="5"/>
      <c r="M589" s="5"/>
    </row>
    <row r="590" spans="12:13" x14ac:dyDescent="0.2">
      <c r="L590" s="5"/>
      <c r="M590" s="5"/>
    </row>
    <row r="591" spans="12:13" x14ac:dyDescent="0.2">
      <c r="L591" s="5"/>
      <c r="M591" s="5"/>
    </row>
    <row r="592" spans="12:13" x14ac:dyDescent="0.2">
      <c r="L592" s="5"/>
      <c r="M592" s="5"/>
    </row>
    <row r="593" spans="12:13" x14ac:dyDescent="0.2">
      <c r="L593" s="5"/>
      <c r="M593" s="5"/>
    </row>
    <row r="594" spans="12:13" x14ac:dyDescent="0.2">
      <c r="L594" s="5"/>
      <c r="M594" s="5"/>
    </row>
    <row r="595" spans="12:13" x14ac:dyDescent="0.2">
      <c r="L595" s="5"/>
      <c r="M595" s="5"/>
    </row>
    <row r="596" spans="12:13" x14ac:dyDescent="0.2">
      <c r="L596" s="5"/>
      <c r="M596" s="5"/>
    </row>
    <row r="597" spans="12:13" x14ac:dyDescent="0.2">
      <c r="L597" s="5"/>
      <c r="M597" s="5"/>
    </row>
    <row r="598" spans="12:13" x14ac:dyDescent="0.2">
      <c r="L598" s="5"/>
      <c r="M598" s="5"/>
    </row>
    <row r="599" spans="12:13" x14ac:dyDescent="0.2">
      <c r="L599" s="5"/>
      <c r="M599" s="5"/>
    </row>
    <row r="600" spans="12:13" x14ac:dyDescent="0.2">
      <c r="L600" s="5"/>
      <c r="M600" s="5"/>
    </row>
    <row r="601" spans="12:13" x14ac:dyDescent="0.2">
      <c r="L601" s="5"/>
      <c r="M601" s="5"/>
    </row>
    <row r="602" spans="12:13" x14ac:dyDescent="0.2">
      <c r="L602" s="5"/>
      <c r="M602" s="5"/>
    </row>
    <row r="603" spans="12:13" x14ac:dyDescent="0.2">
      <c r="L603" s="5"/>
      <c r="M603" s="5"/>
    </row>
    <row r="604" spans="12:13" x14ac:dyDescent="0.2">
      <c r="L604" s="5"/>
      <c r="M604" s="5"/>
    </row>
    <row r="605" spans="12:13" x14ac:dyDescent="0.2">
      <c r="L605" s="5"/>
      <c r="M605" s="5"/>
    </row>
    <row r="606" spans="12:13" x14ac:dyDescent="0.2">
      <c r="L606" s="5"/>
      <c r="M606" s="5"/>
    </row>
    <row r="607" spans="12:13" x14ac:dyDescent="0.2">
      <c r="L607" s="5"/>
      <c r="M607" s="5"/>
    </row>
    <row r="608" spans="12:13" x14ac:dyDescent="0.2">
      <c r="L608" s="5"/>
      <c r="M608" s="5"/>
    </row>
    <row r="609" spans="12:13" x14ac:dyDescent="0.2">
      <c r="L609" s="5"/>
      <c r="M609" s="5"/>
    </row>
    <row r="610" spans="12:13" x14ac:dyDescent="0.2">
      <c r="L610" s="5"/>
      <c r="M610" s="5"/>
    </row>
    <row r="611" spans="12:13" x14ac:dyDescent="0.2">
      <c r="L611" s="5"/>
      <c r="M611" s="5"/>
    </row>
    <row r="612" spans="12:13" x14ac:dyDescent="0.2">
      <c r="L612" s="5"/>
      <c r="M612" s="5"/>
    </row>
    <row r="613" spans="12:13" x14ac:dyDescent="0.2">
      <c r="L613" s="5"/>
      <c r="M613" s="5"/>
    </row>
    <row r="614" spans="12:13" x14ac:dyDescent="0.2">
      <c r="L614" s="5"/>
      <c r="M614" s="5"/>
    </row>
    <row r="615" spans="12:13" x14ac:dyDescent="0.2">
      <c r="L615" s="5"/>
      <c r="M615" s="5"/>
    </row>
    <row r="616" spans="12:13" x14ac:dyDescent="0.2">
      <c r="L616" s="5"/>
      <c r="M616" s="5"/>
    </row>
    <row r="617" spans="12:13" x14ac:dyDescent="0.2">
      <c r="L617" s="5"/>
      <c r="M617" s="5"/>
    </row>
    <row r="618" spans="12:13" x14ac:dyDescent="0.2">
      <c r="L618" s="5"/>
      <c r="M618" s="5"/>
    </row>
    <row r="619" spans="12:13" x14ac:dyDescent="0.2">
      <c r="L619" s="5"/>
      <c r="M619" s="5"/>
    </row>
    <row r="620" spans="12:13" x14ac:dyDescent="0.2">
      <c r="L620" s="5"/>
      <c r="M620" s="5"/>
    </row>
    <row r="621" spans="12:13" x14ac:dyDescent="0.2">
      <c r="L621" s="5"/>
      <c r="M621" s="5"/>
    </row>
    <row r="622" spans="12:13" x14ac:dyDescent="0.2">
      <c r="L622" s="5"/>
      <c r="M622" s="5"/>
    </row>
    <row r="623" spans="12:13" x14ac:dyDescent="0.2">
      <c r="L623" s="5"/>
      <c r="M623" s="5"/>
    </row>
    <row r="624" spans="12:13" x14ac:dyDescent="0.2">
      <c r="L624" s="5"/>
      <c r="M624" s="5"/>
    </row>
    <row r="625" spans="12:13" x14ac:dyDescent="0.2">
      <c r="L625" s="5"/>
      <c r="M625" s="5"/>
    </row>
    <row r="626" spans="12:13" x14ac:dyDescent="0.2">
      <c r="L626" s="5"/>
      <c r="M626" s="5"/>
    </row>
    <row r="627" spans="12:13" x14ac:dyDescent="0.2">
      <c r="L627" s="5"/>
      <c r="M627" s="5"/>
    </row>
    <row r="628" spans="12:13" x14ac:dyDescent="0.2">
      <c r="L628" s="5"/>
      <c r="M628" s="5"/>
    </row>
    <row r="629" spans="12:13" x14ac:dyDescent="0.2">
      <c r="L629" s="5"/>
      <c r="M629" s="5"/>
    </row>
    <row r="630" spans="12:13" x14ac:dyDescent="0.2">
      <c r="L630" s="5"/>
      <c r="M630" s="5"/>
    </row>
    <row r="631" spans="12:13" x14ac:dyDescent="0.2">
      <c r="L631" s="5"/>
      <c r="M631" s="5"/>
    </row>
    <row r="632" spans="12:13" x14ac:dyDescent="0.2">
      <c r="L632" s="5"/>
      <c r="M632" s="5"/>
    </row>
    <row r="633" spans="12:13" x14ac:dyDescent="0.2">
      <c r="L633" s="5"/>
      <c r="M633" s="5"/>
    </row>
    <row r="634" spans="12:13" x14ac:dyDescent="0.2">
      <c r="L634" s="5"/>
      <c r="M634" s="5"/>
    </row>
    <row r="635" spans="12:13" x14ac:dyDescent="0.2">
      <c r="L635" s="5"/>
      <c r="M635" s="5"/>
    </row>
    <row r="636" spans="12:13" x14ac:dyDescent="0.2">
      <c r="L636" s="5"/>
      <c r="M636" s="5"/>
    </row>
    <row r="637" spans="12:13" x14ac:dyDescent="0.2">
      <c r="L637" s="5"/>
      <c r="M637" s="5"/>
    </row>
    <row r="638" spans="12:13" x14ac:dyDescent="0.2">
      <c r="L638" s="5"/>
      <c r="M638" s="5"/>
    </row>
    <row r="639" spans="12:13" x14ac:dyDescent="0.2">
      <c r="L639" s="5"/>
      <c r="M639" s="5"/>
    </row>
    <row r="640" spans="12:13" x14ac:dyDescent="0.2">
      <c r="L640" s="5"/>
      <c r="M640" s="5"/>
    </row>
    <row r="641" spans="12:13" x14ac:dyDescent="0.2">
      <c r="L641" s="5"/>
      <c r="M641" s="5"/>
    </row>
    <row r="642" spans="12:13" x14ac:dyDescent="0.2">
      <c r="L642" s="5"/>
      <c r="M642" s="5"/>
    </row>
    <row r="643" spans="12:13" x14ac:dyDescent="0.2">
      <c r="L643" s="5"/>
      <c r="M643" s="5"/>
    </row>
    <row r="644" spans="12:13" x14ac:dyDescent="0.2">
      <c r="L644" s="5"/>
      <c r="M644" s="5"/>
    </row>
    <row r="645" spans="12:13" x14ac:dyDescent="0.2">
      <c r="L645" s="5"/>
      <c r="M645" s="5"/>
    </row>
    <row r="646" spans="12:13" x14ac:dyDescent="0.2">
      <c r="L646" s="5"/>
      <c r="M646" s="5"/>
    </row>
    <row r="647" spans="12:13" x14ac:dyDescent="0.2">
      <c r="L647" s="5"/>
      <c r="M647" s="5"/>
    </row>
    <row r="648" spans="12:13" x14ac:dyDescent="0.2">
      <c r="L648" s="5"/>
      <c r="M648" s="5"/>
    </row>
    <row r="649" spans="12:13" x14ac:dyDescent="0.2">
      <c r="L649" s="5"/>
      <c r="M649" s="5"/>
    </row>
    <row r="650" spans="12:13" x14ac:dyDescent="0.2">
      <c r="L650" s="5"/>
      <c r="M650" s="5"/>
    </row>
    <row r="651" spans="12:13" x14ac:dyDescent="0.2">
      <c r="L651" s="5"/>
      <c r="M651" s="5"/>
    </row>
    <row r="652" spans="12:13" x14ac:dyDescent="0.2">
      <c r="L652" s="5"/>
      <c r="M652" s="5"/>
    </row>
    <row r="653" spans="12:13" x14ac:dyDescent="0.2">
      <c r="L653" s="5"/>
      <c r="M653" s="5"/>
    </row>
    <row r="654" spans="12:13" x14ac:dyDescent="0.2">
      <c r="L654" s="5"/>
      <c r="M654" s="5"/>
    </row>
    <row r="655" spans="12:13" x14ac:dyDescent="0.2">
      <c r="L655" s="5"/>
      <c r="M655" s="5"/>
    </row>
    <row r="656" spans="12:13" x14ac:dyDescent="0.2">
      <c r="L656" s="5"/>
      <c r="M656" s="5"/>
    </row>
    <row r="657" spans="12:13" x14ac:dyDescent="0.2">
      <c r="L657" s="5"/>
      <c r="M657" s="5"/>
    </row>
    <row r="658" spans="12:13" x14ac:dyDescent="0.2">
      <c r="L658" s="5"/>
      <c r="M658" s="5"/>
    </row>
    <row r="659" spans="12:13" x14ac:dyDescent="0.2">
      <c r="L659" s="5"/>
      <c r="M659" s="5"/>
    </row>
    <row r="660" spans="12:13" x14ac:dyDescent="0.2">
      <c r="L660" s="5"/>
      <c r="M660" s="5"/>
    </row>
    <row r="661" spans="12:13" x14ac:dyDescent="0.2">
      <c r="L661" s="5"/>
      <c r="M661" s="5"/>
    </row>
    <row r="662" spans="12:13" x14ac:dyDescent="0.2">
      <c r="L662" s="5"/>
      <c r="M662" s="5"/>
    </row>
    <row r="663" spans="12:13" x14ac:dyDescent="0.2">
      <c r="L663" s="5"/>
      <c r="M663" s="5"/>
    </row>
    <row r="664" spans="12:13" x14ac:dyDescent="0.2">
      <c r="L664" s="5"/>
      <c r="M664" s="5"/>
    </row>
    <row r="665" spans="12:13" x14ac:dyDescent="0.2">
      <c r="L665" s="5"/>
      <c r="M665" s="5"/>
    </row>
    <row r="666" spans="12:13" x14ac:dyDescent="0.2">
      <c r="L666" s="5"/>
      <c r="M666" s="5"/>
    </row>
    <row r="667" spans="12:13" x14ac:dyDescent="0.2">
      <c r="L667" s="5"/>
      <c r="M667" s="5"/>
    </row>
    <row r="668" spans="12:13" x14ac:dyDescent="0.2">
      <c r="L668" s="5"/>
      <c r="M668" s="5"/>
    </row>
    <row r="669" spans="12:13" x14ac:dyDescent="0.2">
      <c r="L669" s="5"/>
      <c r="M669" s="5"/>
    </row>
    <row r="670" spans="12:13" x14ac:dyDescent="0.2">
      <c r="L670" s="5"/>
      <c r="M670" s="5"/>
    </row>
    <row r="671" spans="12:13" x14ac:dyDescent="0.2">
      <c r="L671" s="5"/>
      <c r="M671" s="5"/>
    </row>
    <row r="672" spans="12:13" x14ac:dyDescent="0.2">
      <c r="L672" s="5"/>
      <c r="M672" s="5"/>
    </row>
    <row r="673" spans="12:13" x14ac:dyDescent="0.2">
      <c r="L673" s="5"/>
      <c r="M673" s="5"/>
    </row>
    <row r="674" spans="12:13" x14ac:dyDescent="0.2">
      <c r="L674" s="5"/>
      <c r="M674" s="5"/>
    </row>
    <row r="675" spans="12:13" x14ac:dyDescent="0.2">
      <c r="L675" s="5"/>
      <c r="M675" s="5"/>
    </row>
    <row r="676" spans="12:13" x14ac:dyDescent="0.2">
      <c r="L676" s="5"/>
      <c r="M676" s="5"/>
    </row>
    <row r="677" spans="12:13" x14ac:dyDescent="0.2">
      <c r="L677" s="5"/>
      <c r="M677" s="5"/>
    </row>
    <row r="678" spans="12:13" x14ac:dyDescent="0.2">
      <c r="L678" s="5"/>
      <c r="M678" s="5"/>
    </row>
    <row r="679" spans="12:13" x14ac:dyDescent="0.2">
      <c r="L679" s="5"/>
      <c r="M679" s="5"/>
    </row>
    <row r="680" spans="12:13" x14ac:dyDescent="0.2">
      <c r="L680" s="5"/>
      <c r="M680" s="5"/>
    </row>
    <row r="681" spans="12:13" x14ac:dyDescent="0.2">
      <c r="L681" s="5"/>
      <c r="M681" s="5"/>
    </row>
    <row r="682" spans="12:13" x14ac:dyDescent="0.2">
      <c r="L682" s="5"/>
      <c r="M682" s="5"/>
    </row>
    <row r="683" spans="12:13" x14ac:dyDescent="0.2">
      <c r="L683" s="5"/>
      <c r="M683" s="5"/>
    </row>
    <row r="684" spans="12:13" x14ac:dyDescent="0.2">
      <c r="L684" s="5"/>
      <c r="M684" s="5"/>
    </row>
    <row r="685" spans="12:13" x14ac:dyDescent="0.2">
      <c r="L685" s="5"/>
      <c r="M685" s="5"/>
    </row>
    <row r="686" spans="12:13" x14ac:dyDescent="0.2">
      <c r="L686" s="5"/>
      <c r="M686" s="5"/>
    </row>
    <row r="687" spans="12:13" x14ac:dyDescent="0.2">
      <c r="L687" s="5"/>
      <c r="M687" s="5"/>
    </row>
    <row r="688" spans="12:13" x14ac:dyDescent="0.2">
      <c r="L688" s="5"/>
      <c r="M688" s="5"/>
    </row>
    <row r="689" spans="12:13" x14ac:dyDescent="0.2">
      <c r="L689" s="5"/>
      <c r="M689" s="5"/>
    </row>
    <row r="690" spans="12:13" x14ac:dyDescent="0.2">
      <c r="L690" s="5"/>
      <c r="M690" s="5"/>
    </row>
    <row r="691" spans="12:13" x14ac:dyDescent="0.2">
      <c r="L691" s="5"/>
      <c r="M691" s="5"/>
    </row>
    <row r="692" spans="12:13" x14ac:dyDescent="0.2">
      <c r="L692" s="5"/>
      <c r="M692" s="5"/>
    </row>
    <row r="693" spans="12:13" x14ac:dyDescent="0.2">
      <c r="L693" s="5"/>
      <c r="M693" s="5"/>
    </row>
    <row r="694" spans="12:13" x14ac:dyDescent="0.2">
      <c r="L694" s="5"/>
      <c r="M694" s="5"/>
    </row>
    <row r="695" spans="12:13" x14ac:dyDescent="0.2">
      <c r="L695" s="5"/>
      <c r="M695" s="5"/>
    </row>
    <row r="696" spans="12:13" x14ac:dyDescent="0.2">
      <c r="L696" s="5"/>
      <c r="M696" s="5"/>
    </row>
    <row r="697" spans="12:13" x14ac:dyDescent="0.2">
      <c r="L697" s="5"/>
      <c r="M697" s="5"/>
    </row>
    <row r="698" spans="12:13" x14ac:dyDescent="0.2">
      <c r="L698" s="5"/>
      <c r="M698" s="5"/>
    </row>
    <row r="699" spans="12:13" x14ac:dyDescent="0.2">
      <c r="L699" s="5"/>
      <c r="M699" s="5"/>
    </row>
    <row r="700" spans="12:13" x14ac:dyDescent="0.2">
      <c r="L700" s="5"/>
      <c r="M700" s="5"/>
    </row>
    <row r="701" spans="12:13" x14ac:dyDescent="0.2">
      <c r="L701" s="5"/>
      <c r="M701" s="5"/>
    </row>
    <row r="702" spans="12:13" x14ac:dyDescent="0.2">
      <c r="L702" s="5"/>
      <c r="M702" s="5"/>
    </row>
    <row r="703" spans="12:13" x14ac:dyDescent="0.2">
      <c r="L703" s="5"/>
      <c r="M703" s="5"/>
    </row>
    <row r="704" spans="12:13" x14ac:dyDescent="0.2">
      <c r="L704" s="5"/>
      <c r="M704" s="5"/>
    </row>
    <row r="705" spans="12:13" x14ac:dyDescent="0.2">
      <c r="L705" s="5"/>
      <c r="M705" s="5"/>
    </row>
    <row r="706" spans="12:13" x14ac:dyDescent="0.2">
      <c r="L706" s="5"/>
      <c r="M706" s="5"/>
    </row>
    <row r="707" spans="12:13" x14ac:dyDescent="0.2">
      <c r="L707" s="5"/>
      <c r="M707" s="5"/>
    </row>
    <row r="708" spans="12:13" x14ac:dyDescent="0.2">
      <c r="L708" s="5"/>
      <c r="M708" s="5"/>
    </row>
    <row r="709" spans="12:13" x14ac:dyDescent="0.2">
      <c r="L709" s="5"/>
      <c r="M709" s="5"/>
    </row>
    <row r="710" spans="12:13" x14ac:dyDescent="0.2">
      <c r="L710" s="5"/>
      <c r="M710" s="5"/>
    </row>
    <row r="711" spans="12:13" x14ac:dyDescent="0.2">
      <c r="L711" s="5"/>
      <c r="M711" s="5"/>
    </row>
    <row r="712" spans="12:13" x14ac:dyDescent="0.2">
      <c r="L712" s="5"/>
      <c r="M712" s="5"/>
    </row>
    <row r="713" spans="12:13" x14ac:dyDescent="0.2">
      <c r="L713" s="5"/>
      <c r="M713" s="5"/>
    </row>
    <row r="714" spans="12:13" x14ac:dyDescent="0.2">
      <c r="L714" s="5"/>
      <c r="M714" s="5"/>
    </row>
    <row r="715" spans="12:13" x14ac:dyDescent="0.2">
      <c r="L715" s="5"/>
      <c r="M715" s="5"/>
    </row>
    <row r="716" spans="12:13" x14ac:dyDescent="0.2">
      <c r="L716" s="5"/>
      <c r="M716" s="5"/>
    </row>
    <row r="717" spans="12:13" x14ac:dyDescent="0.2">
      <c r="L717" s="5"/>
      <c r="M717" s="5"/>
    </row>
    <row r="718" spans="12:13" x14ac:dyDescent="0.2">
      <c r="L718" s="5"/>
      <c r="M718" s="5"/>
    </row>
    <row r="719" spans="12:13" x14ac:dyDescent="0.2">
      <c r="L719" s="5"/>
      <c r="M719" s="5"/>
    </row>
    <row r="720" spans="12:13" x14ac:dyDescent="0.2">
      <c r="L720" s="5"/>
      <c r="M720" s="5"/>
    </row>
    <row r="721" spans="12:13" x14ac:dyDescent="0.2">
      <c r="L721" s="5"/>
      <c r="M721" s="5"/>
    </row>
    <row r="722" spans="12:13" x14ac:dyDescent="0.2">
      <c r="L722" s="5"/>
      <c r="M722" s="5"/>
    </row>
    <row r="723" spans="12:13" x14ac:dyDescent="0.2">
      <c r="L723" s="5"/>
      <c r="M723" s="5"/>
    </row>
    <row r="724" spans="12:13" x14ac:dyDescent="0.2">
      <c r="L724" s="5"/>
      <c r="M724" s="5"/>
    </row>
    <row r="725" spans="12:13" x14ac:dyDescent="0.2">
      <c r="L725" s="5"/>
      <c r="M725" s="5"/>
    </row>
    <row r="726" spans="12:13" x14ac:dyDescent="0.2">
      <c r="L726" s="5"/>
      <c r="M726" s="5"/>
    </row>
    <row r="727" spans="12:13" x14ac:dyDescent="0.2">
      <c r="L727" s="5"/>
      <c r="M727" s="5"/>
    </row>
    <row r="728" spans="12:13" x14ac:dyDescent="0.2">
      <c r="L728" s="5"/>
      <c r="M728" s="5"/>
    </row>
    <row r="729" spans="12:13" x14ac:dyDescent="0.2">
      <c r="L729" s="5"/>
      <c r="M729" s="5"/>
    </row>
    <row r="730" spans="12:13" x14ac:dyDescent="0.2">
      <c r="L730" s="5"/>
      <c r="M730" s="5"/>
    </row>
    <row r="731" spans="12:13" x14ac:dyDescent="0.2">
      <c r="L731" s="5"/>
      <c r="M731" s="5"/>
    </row>
    <row r="732" spans="12:13" x14ac:dyDescent="0.2">
      <c r="L732" s="5"/>
      <c r="M732" s="5"/>
    </row>
    <row r="733" spans="12:13" x14ac:dyDescent="0.2">
      <c r="L733" s="5"/>
      <c r="M733" s="5"/>
    </row>
    <row r="734" spans="12:13" x14ac:dyDescent="0.2">
      <c r="L734" s="5"/>
      <c r="M734" s="5"/>
    </row>
    <row r="735" spans="12:13" x14ac:dyDescent="0.2">
      <c r="L735" s="5"/>
      <c r="M735" s="5"/>
    </row>
    <row r="736" spans="12:13" x14ac:dyDescent="0.2">
      <c r="L736" s="5"/>
      <c r="M736" s="5"/>
    </row>
    <row r="737" spans="12:13" x14ac:dyDescent="0.2">
      <c r="L737" s="5"/>
      <c r="M737" s="5"/>
    </row>
    <row r="738" spans="12:13" x14ac:dyDescent="0.2">
      <c r="L738" s="5"/>
      <c r="M738" s="5"/>
    </row>
    <row r="739" spans="12:13" x14ac:dyDescent="0.2">
      <c r="L739" s="5"/>
      <c r="M739" s="5"/>
    </row>
    <row r="740" spans="12:13" x14ac:dyDescent="0.2">
      <c r="L740" s="5"/>
      <c r="M740" s="5"/>
    </row>
    <row r="741" spans="12:13" x14ac:dyDescent="0.2">
      <c r="L741" s="5"/>
      <c r="M741" s="5"/>
    </row>
    <row r="742" spans="12:13" x14ac:dyDescent="0.2">
      <c r="L742" s="5"/>
      <c r="M742" s="5"/>
    </row>
    <row r="743" spans="12:13" x14ac:dyDescent="0.2">
      <c r="L743" s="5"/>
      <c r="M743" s="5"/>
    </row>
    <row r="744" spans="12:13" x14ac:dyDescent="0.2">
      <c r="L744" s="5"/>
      <c r="M744" s="5"/>
    </row>
    <row r="745" spans="12:13" x14ac:dyDescent="0.2">
      <c r="L745" s="5"/>
      <c r="M745" s="5"/>
    </row>
    <row r="746" spans="12:13" x14ac:dyDescent="0.2">
      <c r="L746" s="5"/>
      <c r="M746" s="5"/>
    </row>
    <row r="747" spans="12:13" x14ac:dyDescent="0.2">
      <c r="L747" s="5"/>
      <c r="M747" s="5"/>
    </row>
    <row r="748" spans="12:13" x14ac:dyDescent="0.2">
      <c r="L748" s="5"/>
      <c r="M748" s="5"/>
    </row>
    <row r="749" spans="12:13" x14ac:dyDescent="0.2">
      <c r="L749" s="5"/>
      <c r="M749" s="5"/>
    </row>
    <row r="750" spans="12:13" x14ac:dyDescent="0.2">
      <c r="L750" s="5"/>
      <c r="M750" s="5"/>
    </row>
    <row r="751" spans="12:13" x14ac:dyDescent="0.2">
      <c r="L751" s="5"/>
      <c r="M751" s="5"/>
    </row>
    <row r="752" spans="12:13" x14ac:dyDescent="0.2">
      <c r="L752" s="5"/>
      <c r="M752" s="5"/>
    </row>
    <row r="753" spans="12:13" x14ac:dyDescent="0.2">
      <c r="L753" s="5"/>
      <c r="M753" s="5"/>
    </row>
    <row r="754" spans="12:13" x14ac:dyDescent="0.2">
      <c r="L754" s="5"/>
      <c r="M754" s="5"/>
    </row>
    <row r="755" spans="12:13" x14ac:dyDescent="0.2">
      <c r="L755" s="5"/>
      <c r="M755" s="5"/>
    </row>
    <row r="756" spans="12:13" x14ac:dyDescent="0.2">
      <c r="L756" s="5"/>
      <c r="M756" s="5"/>
    </row>
    <row r="757" spans="12:13" x14ac:dyDescent="0.2">
      <c r="L757" s="5"/>
      <c r="M757" s="5"/>
    </row>
    <row r="758" spans="12:13" x14ac:dyDescent="0.2">
      <c r="L758" s="5"/>
      <c r="M758" s="5"/>
    </row>
    <row r="759" spans="12:13" x14ac:dyDescent="0.2">
      <c r="L759" s="5"/>
      <c r="M759" s="5"/>
    </row>
    <row r="760" spans="12:13" x14ac:dyDescent="0.2">
      <c r="L760" s="5"/>
      <c r="M760" s="5"/>
    </row>
    <row r="761" spans="12:13" x14ac:dyDescent="0.2">
      <c r="L761" s="5"/>
      <c r="M761" s="5"/>
    </row>
    <row r="762" spans="12:13" x14ac:dyDescent="0.2">
      <c r="L762" s="5"/>
      <c r="M762" s="5"/>
    </row>
    <row r="763" spans="12:13" x14ac:dyDescent="0.2">
      <c r="L763" s="5"/>
      <c r="M763" s="5"/>
    </row>
    <row r="764" spans="12:13" x14ac:dyDescent="0.2">
      <c r="L764" s="5"/>
      <c r="M764" s="5"/>
    </row>
    <row r="765" spans="12:13" x14ac:dyDescent="0.2">
      <c r="L765" s="5"/>
      <c r="M765" s="5"/>
    </row>
    <row r="766" spans="12:13" x14ac:dyDescent="0.2">
      <c r="L766" s="5"/>
      <c r="M766" s="5"/>
    </row>
    <row r="767" spans="12:13" x14ac:dyDescent="0.2">
      <c r="L767" s="5"/>
      <c r="M767" s="5"/>
    </row>
    <row r="768" spans="12:13" x14ac:dyDescent="0.2">
      <c r="L768" s="5"/>
      <c r="M768" s="5"/>
    </row>
    <row r="769" spans="12:13" x14ac:dyDescent="0.2">
      <c r="L769" s="5"/>
      <c r="M769" s="5"/>
    </row>
    <row r="770" spans="12:13" x14ac:dyDescent="0.2">
      <c r="L770" s="5"/>
      <c r="M770" s="5"/>
    </row>
    <row r="771" spans="12:13" x14ac:dyDescent="0.2">
      <c r="L771" s="5"/>
      <c r="M771" s="5"/>
    </row>
    <row r="772" spans="12:13" x14ac:dyDescent="0.2">
      <c r="L772" s="5"/>
      <c r="M772" s="5"/>
    </row>
    <row r="773" spans="12:13" x14ac:dyDescent="0.2">
      <c r="L773" s="5"/>
      <c r="M773" s="5"/>
    </row>
    <row r="774" spans="12:13" x14ac:dyDescent="0.2">
      <c r="L774" s="5"/>
      <c r="M774" s="5"/>
    </row>
    <row r="775" spans="12:13" x14ac:dyDescent="0.2">
      <c r="L775" s="5"/>
      <c r="M775" s="5"/>
    </row>
    <row r="776" spans="12:13" x14ac:dyDescent="0.2">
      <c r="L776" s="5"/>
      <c r="M776" s="5"/>
    </row>
    <row r="777" spans="12:13" x14ac:dyDescent="0.2">
      <c r="L777" s="5"/>
      <c r="M777" s="5"/>
    </row>
    <row r="778" spans="12:13" x14ac:dyDescent="0.2">
      <c r="L778" s="5"/>
      <c r="M778" s="5"/>
    </row>
    <row r="779" spans="12:13" x14ac:dyDescent="0.2">
      <c r="L779" s="5"/>
      <c r="M779" s="5"/>
    </row>
    <row r="780" spans="12:13" x14ac:dyDescent="0.2">
      <c r="L780" s="5"/>
      <c r="M780" s="5"/>
    </row>
    <row r="781" spans="12:13" x14ac:dyDescent="0.2">
      <c r="L781" s="5"/>
      <c r="M781" s="5"/>
    </row>
    <row r="782" spans="12:13" x14ac:dyDescent="0.2">
      <c r="L782" s="5"/>
      <c r="M782" s="5"/>
    </row>
    <row r="783" spans="12:13" x14ac:dyDescent="0.2">
      <c r="L783" s="5"/>
      <c r="M783" s="5"/>
    </row>
    <row r="784" spans="12:13" x14ac:dyDescent="0.2">
      <c r="L784" s="5"/>
      <c r="M784" s="5"/>
    </row>
    <row r="785" spans="12:13" x14ac:dyDescent="0.2">
      <c r="L785" s="5"/>
      <c r="M785" s="5"/>
    </row>
    <row r="786" spans="12:13" x14ac:dyDescent="0.2">
      <c r="L786" s="5"/>
      <c r="M786" s="5"/>
    </row>
    <row r="787" spans="12:13" x14ac:dyDescent="0.2">
      <c r="L787" s="5"/>
      <c r="M787" s="5"/>
    </row>
    <row r="788" spans="12:13" x14ac:dyDescent="0.2">
      <c r="L788" s="5"/>
      <c r="M788" s="5"/>
    </row>
    <row r="789" spans="12:13" x14ac:dyDescent="0.2">
      <c r="L789" s="5"/>
      <c r="M789" s="5"/>
    </row>
    <row r="790" spans="12:13" x14ac:dyDescent="0.2">
      <c r="L790" s="5"/>
      <c r="M790" s="5"/>
    </row>
    <row r="791" spans="12:13" x14ac:dyDescent="0.2">
      <c r="L791" s="5"/>
      <c r="M791" s="5"/>
    </row>
    <row r="792" spans="12:13" x14ac:dyDescent="0.2">
      <c r="L792" s="5"/>
      <c r="M792" s="5"/>
    </row>
    <row r="793" spans="12:13" x14ac:dyDescent="0.2">
      <c r="L793" s="5"/>
      <c r="M793" s="5"/>
    </row>
    <row r="794" spans="12:13" x14ac:dyDescent="0.2">
      <c r="L794" s="5"/>
      <c r="M794" s="5"/>
    </row>
    <row r="795" spans="12:13" x14ac:dyDescent="0.2">
      <c r="L795" s="5"/>
      <c r="M795" s="5"/>
    </row>
    <row r="796" spans="12:13" x14ac:dyDescent="0.2">
      <c r="L796" s="5"/>
      <c r="M796" s="5"/>
    </row>
    <row r="797" spans="12:13" x14ac:dyDescent="0.2">
      <c r="L797" s="5"/>
      <c r="M797" s="5"/>
    </row>
    <row r="798" spans="12:13" x14ac:dyDescent="0.2">
      <c r="L798" s="5"/>
      <c r="M798" s="5"/>
    </row>
    <row r="799" spans="12:13" x14ac:dyDescent="0.2">
      <c r="L799" s="5"/>
      <c r="M799" s="5"/>
    </row>
    <row r="800" spans="12:13" x14ac:dyDescent="0.2">
      <c r="L800" s="5"/>
      <c r="M800" s="5"/>
    </row>
    <row r="801" spans="12:13" x14ac:dyDescent="0.2">
      <c r="L801" s="5"/>
      <c r="M801" s="5"/>
    </row>
    <row r="802" spans="12:13" x14ac:dyDescent="0.2">
      <c r="L802" s="5"/>
      <c r="M802" s="5"/>
    </row>
    <row r="803" spans="12:13" x14ac:dyDescent="0.2">
      <c r="L803" s="5"/>
      <c r="M803" s="5"/>
    </row>
    <row r="804" spans="12:13" x14ac:dyDescent="0.2">
      <c r="L804" s="5"/>
      <c r="M804" s="5"/>
    </row>
    <row r="805" spans="12:13" x14ac:dyDescent="0.2">
      <c r="L805" s="5"/>
      <c r="M805" s="5"/>
    </row>
    <row r="806" spans="12:13" x14ac:dyDescent="0.2">
      <c r="L806" s="5"/>
      <c r="M806" s="5"/>
    </row>
    <row r="807" spans="12:13" x14ac:dyDescent="0.2">
      <c r="L807" s="5"/>
      <c r="M807" s="5"/>
    </row>
    <row r="808" spans="12:13" x14ac:dyDescent="0.2">
      <c r="L808" s="5"/>
      <c r="M808" s="5"/>
    </row>
    <row r="809" spans="12:13" x14ac:dyDescent="0.2">
      <c r="L809" s="5"/>
      <c r="M809" s="5"/>
    </row>
    <row r="810" spans="12:13" x14ac:dyDescent="0.2">
      <c r="L810" s="5"/>
      <c r="M810" s="5"/>
    </row>
    <row r="811" spans="12:13" x14ac:dyDescent="0.2">
      <c r="L811" s="5"/>
      <c r="M811" s="5"/>
    </row>
    <row r="812" spans="12:13" x14ac:dyDescent="0.2">
      <c r="L812" s="5"/>
      <c r="M812" s="5"/>
    </row>
    <row r="813" spans="12:13" x14ac:dyDescent="0.2">
      <c r="L813" s="5"/>
      <c r="M813" s="5"/>
    </row>
    <row r="814" spans="12:13" x14ac:dyDescent="0.2">
      <c r="L814" s="5"/>
      <c r="M814" s="5"/>
    </row>
    <row r="815" spans="12:13" x14ac:dyDescent="0.2">
      <c r="L815" s="5"/>
      <c r="M815" s="5"/>
    </row>
    <row r="816" spans="12:13" x14ac:dyDescent="0.2">
      <c r="L816" s="5"/>
      <c r="M816" s="5"/>
    </row>
    <row r="817" spans="12:13" x14ac:dyDescent="0.2">
      <c r="L817" s="5"/>
      <c r="M817" s="5"/>
    </row>
    <row r="818" spans="12:13" x14ac:dyDescent="0.2">
      <c r="L818" s="5"/>
      <c r="M818" s="5"/>
    </row>
    <row r="819" spans="12:13" x14ac:dyDescent="0.2">
      <c r="L819" s="5"/>
      <c r="M819" s="5"/>
    </row>
    <row r="820" spans="12:13" x14ac:dyDescent="0.2">
      <c r="L820" s="5"/>
      <c r="M820" s="5"/>
    </row>
    <row r="821" spans="12:13" x14ac:dyDescent="0.2">
      <c r="L821" s="5"/>
      <c r="M821" s="5"/>
    </row>
    <row r="822" spans="12:13" x14ac:dyDescent="0.2">
      <c r="L822" s="5"/>
      <c r="M822" s="5"/>
    </row>
    <row r="823" spans="12:13" x14ac:dyDescent="0.2">
      <c r="L823" s="5"/>
      <c r="M823" s="5"/>
    </row>
    <row r="824" spans="12:13" x14ac:dyDescent="0.2">
      <c r="L824" s="5"/>
      <c r="M824" s="5"/>
    </row>
    <row r="825" spans="12:13" x14ac:dyDescent="0.2">
      <c r="L825" s="5"/>
      <c r="M825" s="5"/>
    </row>
    <row r="826" spans="12:13" x14ac:dyDescent="0.2">
      <c r="L826" s="5"/>
      <c r="M826" s="5"/>
    </row>
    <row r="827" spans="12:13" x14ac:dyDescent="0.2">
      <c r="L827" s="5"/>
      <c r="M827" s="5"/>
    </row>
    <row r="828" spans="12:13" x14ac:dyDescent="0.2">
      <c r="L828" s="5"/>
      <c r="M828" s="5"/>
    </row>
    <row r="829" spans="12:13" x14ac:dyDescent="0.2">
      <c r="L829" s="5"/>
      <c r="M829" s="5"/>
    </row>
    <row r="830" spans="12:13" x14ac:dyDescent="0.2">
      <c r="L830" s="5"/>
      <c r="M830" s="5"/>
    </row>
    <row r="831" spans="12:13" x14ac:dyDescent="0.2">
      <c r="L831" s="5"/>
      <c r="M831" s="5"/>
    </row>
    <row r="832" spans="12:13" x14ac:dyDescent="0.2">
      <c r="L832" s="5"/>
      <c r="M832" s="5"/>
    </row>
    <row r="833" spans="12:13" x14ac:dyDescent="0.2">
      <c r="L833" s="5"/>
      <c r="M833" s="5"/>
    </row>
    <row r="834" spans="12:13" x14ac:dyDescent="0.2">
      <c r="L834" s="5"/>
      <c r="M834" s="5"/>
    </row>
    <row r="835" spans="12:13" x14ac:dyDescent="0.2">
      <c r="L835" s="5"/>
      <c r="M835" s="5"/>
    </row>
    <row r="836" spans="12:13" x14ac:dyDescent="0.2">
      <c r="L836" s="5"/>
      <c r="M836" s="5"/>
    </row>
    <row r="837" spans="12:13" x14ac:dyDescent="0.2">
      <c r="L837" s="5"/>
      <c r="M837" s="5"/>
    </row>
    <row r="838" spans="12:13" x14ac:dyDescent="0.2">
      <c r="L838" s="5"/>
      <c r="M838" s="5"/>
    </row>
    <row r="839" spans="12:13" x14ac:dyDescent="0.2">
      <c r="L839" s="5"/>
      <c r="M839" s="5"/>
    </row>
    <row r="840" spans="12:13" x14ac:dyDescent="0.2">
      <c r="L840" s="5"/>
      <c r="M840" s="5"/>
    </row>
    <row r="841" spans="12:13" x14ac:dyDescent="0.2">
      <c r="L841" s="5"/>
      <c r="M841" s="5"/>
    </row>
    <row r="842" spans="12:13" x14ac:dyDescent="0.2">
      <c r="L842" s="5"/>
      <c r="M842" s="5"/>
    </row>
    <row r="843" spans="12:13" x14ac:dyDescent="0.2">
      <c r="L843" s="5"/>
      <c r="M843" s="5"/>
    </row>
    <row r="844" spans="12:13" x14ac:dyDescent="0.2">
      <c r="L844" s="5"/>
      <c r="M844" s="5"/>
    </row>
    <row r="845" spans="12:13" x14ac:dyDescent="0.2">
      <c r="L845" s="5"/>
      <c r="M845" s="5"/>
    </row>
    <row r="846" spans="12:13" x14ac:dyDescent="0.2">
      <c r="L846" s="5"/>
      <c r="M846" s="5"/>
    </row>
    <row r="847" spans="12:13" x14ac:dyDescent="0.2">
      <c r="L847" s="5"/>
      <c r="M847" s="5"/>
    </row>
    <row r="848" spans="12:13" x14ac:dyDescent="0.2">
      <c r="L848" s="5"/>
      <c r="M848" s="5"/>
    </row>
    <row r="849" spans="12:13" x14ac:dyDescent="0.2">
      <c r="L849" s="5"/>
      <c r="M849" s="5"/>
    </row>
    <row r="850" spans="12:13" x14ac:dyDescent="0.2">
      <c r="L850" s="5"/>
      <c r="M850" s="5"/>
    </row>
    <row r="851" spans="12:13" x14ac:dyDescent="0.2">
      <c r="L851" s="5"/>
      <c r="M851" s="5"/>
    </row>
    <row r="852" spans="12:13" x14ac:dyDescent="0.2">
      <c r="L852" s="5"/>
      <c r="M852" s="5"/>
    </row>
    <row r="853" spans="12:13" x14ac:dyDescent="0.2">
      <c r="L853" s="5"/>
      <c r="M853" s="5"/>
    </row>
    <row r="854" spans="12:13" x14ac:dyDescent="0.2">
      <c r="L854" s="5"/>
      <c r="M854" s="5"/>
    </row>
    <row r="855" spans="12:13" x14ac:dyDescent="0.2">
      <c r="L855" s="5"/>
      <c r="M855" s="5"/>
    </row>
    <row r="856" spans="12:13" x14ac:dyDescent="0.2">
      <c r="L856" s="5"/>
      <c r="M856" s="5"/>
    </row>
    <row r="857" spans="12:13" x14ac:dyDescent="0.2">
      <c r="L857" s="5"/>
      <c r="M857" s="5"/>
    </row>
    <row r="858" spans="12:13" x14ac:dyDescent="0.2">
      <c r="L858" s="5"/>
      <c r="M858" s="5"/>
    </row>
    <row r="859" spans="12:13" x14ac:dyDescent="0.2">
      <c r="L859" s="5"/>
      <c r="M859" s="5"/>
    </row>
    <row r="860" spans="12:13" x14ac:dyDescent="0.2">
      <c r="L860" s="5"/>
      <c r="M860" s="5"/>
    </row>
    <row r="861" spans="12:13" x14ac:dyDescent="0.2">
      <c r="L861" s="5"/>
      <c r="M861" s="5"/>
    </row>
    <row r="862" spans="12:13" x14ac:dyDescent="0.2">
      <c r="L862" s="5"/>
      <c r="M862" s="5"/>
    </row>
    <row r="863" spans="12:13" x14ac:dyDescent="0.2">
      <c r="L863" s="5"/>
      <c r="M863" s="5"/>
    </row>
    <row r="864" spans="12:13" x14ac:dyDescent="0.2">
      <c r="L864" s="5"/>
      <c r="M864" s="5"/>
    </row>
    <row r="865" spans="12:13" x14ac:dyDescent="0.2">
      <c r="L865" s="5"/>
      <c r="M865" s="5"/>
    </row>
    <row r="866" spans="12:13" x14ac:dyDescent="0.2">
      <c r="L866" s="5"/>
      <c r="M866" s="5"/>
    </row>
    <row r="867" spans="12:13" x14ac:dyDescent="0.2">
      <c r="L867" s="5"/>
      <c r="M867" s="5"/>
    </row>
    <row r="868" spans="12:13" x14ac:dyDescent="0.2">
      <c r="L868" s="5"/>
      <c r="M868" s="5"/>
    </row>
    <row r="869" spans="12:13" x14ac:dyDescent="0.2">
      <c r="L869" s="5"/>
      <c r="M869" s="5"/>
    </row>
    <row r="870" spans="12:13" x14ac:dyDescent="0.2">
      <c r="L870" s="5"/>
      <c r="M870" s="5"/>
    </row>
    <row r="871" spans="12:13" x14ac:dyDescent="0.2">
      <c r="L871" s="5"/>
      <c r="M871" s="5"/>
    </row>
    <row r="872" spans="12:13" x14ac:dyDescent="0.2">
      <c r="L872" s="5"/>
      <c r="M872" s="5"/>
    </row>
    <row r="873" spans="12:13" x14ac:dyDescent="0.2">
      <c r="L873" s="5"/>
      <c r="M873" s="5"/>
    </row>
    <row r="874" spans="12:13" x14ac:dyDescent="0.2">
      <c r="L874" s="5"/>
      <c r="M874" s="5"/>
    </row>
    <row r="875" spans="12:13" x14ac:dyDescent="0.2">
      <c r="L875" s="5"/>
      <c r="M875" s="5"/>
    </row>
    <row r="876" spans="12:13" x14ac:dyDescent="0.2">
      <c r="L876" s="5"/>
      <c r="M876" s="5"/>
    </row>
    <row r="877" spans="12:13" x14ac:dyDescent="0.2">
      <c r="L877" s="5"/>
      <c r="M877" s="5"/>
    </row>
    <row r="878" spans="12:13" x14ac:dyDescent="0.2">
      <c r="L878" s="5"/>
      <c r="M878" s="5"/>
    </row>
    <row r="879" spans="12:13" x14ac:dyDescent="0.2">
      <c r="L879" s="5"/>
      <c r="M879" s="5"/>
    </row>
    <row r="880" spans="12:13" x14ac:dyDescent="0.2">
      <c r="L880" s="5"/>
      <c r="M880" s="5"/>
    </row>
    <row r="881" spans="12:13" x14ac:dyDescent="0.2">
      <c r="L881" s="5"/>
      <c r="M881" s="5"/>
    </row>
    <row r="882" spans="12:13" x14ac:dyDescent="0.2">
      <c r="L882" s="5"/>
      <c r="M882" s="5"/>
    </row>
    <row r="883" spans="12:13" x14ac:dyDescent="0.2">
      <c r="L883" s="5"/>
      <c r="M883" s="5"/>
    </row>
    <row r="884" spans="12:13" x14ac:dyDescent="0.2">
      <c r="L884" s="5"/>
      <c r="M884" s="5"/>
    </row>
    <row r="885" spans="12:13" x14ac:dyDescent="0.2">
      <c r="L885" s="5"/>
      <c r="M885" s="5"/>
    </row>
    <row r="886" spans="12:13" x14ac:dyDescent="0.2">
      <c r="L886" s="5"/>
      <c r="M886" s="5"/>
    </row>
    <row r="887" spans="12:13" x14ac:dyDescent="0.2">
      <c r="L887" s="5"/>
      <c r="M887" s="5"/>
    </row>
    <row r="888" spans="12:13" x14ac:dyDescent="0.2">
      <c r="L888" s="5"/>
      <c r="M888" s="5"/>
    </row>
    <row r="889" spans="12:13" x14ac:dyDescent="0.2">
      <c r="L889" s="5"/>
      <c r="M889" s="5"/>
    </row>
    <row r="890" spans="12:13" x14ac:dyDescent="0.2">
      <c r="L890" s="5"/>
      <c r="M890" s="5"/>
    </row>
    <row r="891" spans="12:13" x14ac:dyDescent="0.2">
      <c r="L891" s="5"/>
      <c r="M891" s="5"/>
    </row>
    <row r="892" spans="12:13" x14ac:dyDescent="0.2">
      <c r="L892" s="5"/>
      <c r="M892" s="5"/>
    </row>
    <row r="893" spans="12:13" x14ac:dyDescent="0.2">
      <c r="L893" s="5"/>
      <c r="M893" s="5"/>
    </row>
    <row r="894" spans="12:13" x14ac:dyDescent="0.2">
      <c r="L894" s="5"/>
      <c r="M894" s="5"/>
    </row>
    <row r="895" spans="12:13" x14ac:dyDescent="0.2">
      <c r="L895" s="5"/>
      <c r="M895" s="5"/>
    </row>
    <row r="896" spans="12:13" x14ac:dyDescent="0.2">
      <c r="L896" s="5"/>
      <c r="M896" s="5"/>
    </row>
    <row r="897" spans="12:13" x14ac:dyDescent="0.2">
      <c r="L897" s="5"/>
      <c r="M897" s="5"/>
    </row>
    <row r="898" spans="12:13" x14ac:dyDescent="0.2">
      <c r="L898" s="5"/>
      <c r="M898" s="5"/>
    </row>
    <row r="899" spans="12:13" x14ac:dyDescent="0.2">
      <c r="L899" s="5"/>
      <c r="M899" s="5"/>
    </row>
    <row r="900" spans="12:13" x14ac:dyDescent="0.2">
      <c r="L900" s="5"/>
      <c r="M900" s="5"/>
    </row>
    <row r="901" spans="12:13" x14ac:dyDescent="0.2">
      <c r="L901" s="5"/>
      <c r="M901" s="5"/>
    </row>
    <row r="902" spans="12:13" x14ac:dyDescent="0.2">
      <c r="L902" s="5"/>
      <c r="M902" s="5"/>
    </row>
    <row r="903" spans="12:13" x14ac:dyDescent="0.2">
      <c r="L903" s="5"/>
      <c r="M903" s="5"/>
    </row>
    <row r="904" spans="12:13" x14ac:dyDescent="0.2">
      <c r="L904" s="5"/>
      <c r="M904" s="5"/>
    </row>
    <row r="905" spans="12:13" x14ac:dyDescent="0.2">
      <c r="L905" s="5"/>
      <c r="M905" s="5"/>
    </row>
    <row r="906" spans="12:13" x14ac:dyDescent="0.2">
      <c r="L906" s="5"/>
      <c r="M906" s="5"/>
    </row>
    <row r="907" spans="12:13" x14ac:dyDescent="0.2">
      <c r="L907" s="5"/>
      <c r="M907" s="5"/>
    </row>
    <row r="908" spans="12:13" x14ac:dyDescent="0.2">
      <c r="L908" s="5"/>
      <c r="M908" s="5"/>
    </row>
    <row r="909" spans="12:13" x14ac:dyDescent="0.2">
      <c r="L909" s="5"/>
      <c r="M909" s="5"/>
    </row>
    <row r="910" spans="12:13" x14ac:dyDescent="0.2">
      <c r="L910" s="5"/>
      <c r="M910" s="5"/>
    </row>
    <row r="911" spans="12:13" x14ac:dyDescent="0.2">
      <c r="L911" s="5"/>
      <c r="M911" s="5"/>
    </row>
    <row r="912" spans="12:13" x14ac:dyDescent="0.2">
      <c r="L912" s="5"/>
      <c r="M912" s="5"/>
    </row>
    <row r="913" spans="12:13" x14ac:dyDescent="0.2">
      <c r="L913" s="5"/>
      <c r="M913" s="5"/>
    </row>
    <row r="914" spans="12:13" x14ac:dyDescent="0.2">
      <c r="L914" s="5"/>
      <c r="M914" s="5"/>
    </row>
    <row r="915" spans="12:13" x14ac:dyDescent="0.2">
      <c r="L915" s="5"/>
      <c r="M915" s="5"/>
    </row>
    <row r="916" spans="12:13" x14ac:dyDescent="0.2">
      <c r="L916" s="5"/>
      <c r="M916" s="5"/>
    </row>
    <row r="917" spans="12:13" x14ac:dyDescent="0.2">
      <c r="L917" s="5"/>
      <c r="M917" s="5"/>
    </row>
    <row r="918" spans="12:13" x14ac:dyDescent="0.2">
      <c r="L918" s="5"/>
      <c r="M918" s="5"/>
    </row>
    <row r="919" spans="12:13" x14ac:dyDescent="0.2">
      <c r="L919" s="5"/>
      <c r="M919" s="5"/>
    </row>
    <row r="920" spans="12:13" x14ac:dyDescent="0.2">
      <c r="L920" s="5"/>
      <c r="M920" s="5"/>
    </row>
    <row r="921" spans="12:13" x14ac:dyDescent="0.2">
      <c r="L921" s="5"/>
      <c r="M921" s="5"/>
    </row>
    <row r="922" spans="12:13" x14ac:dyDescent="0.2">
      <c r="L922" s="5"/>
      <c r="M922" s="5"/>
    </row>
    <row r="923" spans="12:13" x14ac:dyDescent="0.2">
      <c r="L923" s="5"/>
      <c r="M923" s="5"/>
    </row>
    <row r="924" spans="12:13" x14ac:dyDescent="0.2">
      <c r="L924" s="5"/>
      <c r="M924" s="5"/>
    </row>
    <row r="925" spans="12:13" x14ac:dyDescent="0.2">
      <c r="L925" s="5"/>
      <c r="M925" s="5"/>
    </row>
    <row r="926" spans="12:13" x14ac:dyDescent="0.2">
      <c r="L926" s="5"/>
      <c r="M926" s="5"/>
    </row>
    <row r="927" spans="12:13" x14ac:dyDescent="0.2">
      <c r="L927" s="5"/>
      <c r="M927" s="5"/>
    </row>
    <row r="928" spans="12:13" x14ac:dyDescent="0.2">
      <c r="L928" s="5"/>
      <c r="M928" s="5"/>
    </row>
    <row r="929" spans="12:13" x14ac:dyDescent="0.2">
      <c r="L929" s="5"/>
      <c r="M929" s="5"/>
    </row>
    <row r="930" spans="12:13" x14ac:dyDescent="0.2">
      <c r="L930" s="5"/>
      <c r="M930" s="5"/>
    </row>
    <row r="931" spans="12:13" x14ac:dyDescent="0.2">
      <c r="L931" s="5"/>
      <c r="M931" s="5"/>
    </row>
    <row r="932" spans="12:13" x14ac:dyDescent="0.2">
      <c r="L932" s="5"/>
      <c r="M932" s="5"/>
    </row>
    <row r="933" spans="12:13" x14ac:dyDescent="0.2">
      <c r="L933" s="5"/>
      <c r="M933" s="5"/>
    </row>
    <row r="934" spans="12:13" x14ac:dyDescent="0.2">
      <c r="L934" s="5"/>
      <c r="M934" s="5"/>
    </row>
    <row r="935" spans="12:13" x14ac:dyDescent="0.2">
      <c r="L935" s="5"/>
      <c r="M935" s="5"/>
    </row>
    <row r="936" spans="12:13" x14ac:dyDescent="0.2">
      <c r="L936" s="5"/>
      <c r="M936" s="5"/>
    </row>
    <row r="937" spans="12:13" x14ac:dyDescent="0.2">
      <c r="L937" s="5"/>
      <c r="M937" s="5"/>
    </row>
    <row r="938" spans="12:13" x14ac:dyDescent="0.2">
      <c r="L938" s="5"/>
      <c r="M938" s="5"/>
    </row>
    <row r="939" spans="12:13" x14ac:dyDescent="0.2">
      <c r="L939" s="5"/>
      <c r="M939" s="5"/>
    </row>
    <row r="940" spans="12:13" x14ac:dyDescent="0.2">
      <c r="L940" s="5"/>
      <c r="M940" s="5"/>
    </row>
    <row r="941" spans="12:13" x14ac:dyDescent="0.2">
      <c r="L941" s="5"/>
      <c r="M941" s="5"/>
    </row>
    <row r="942" spans="12:13" x14ac:dyDescent="0.2">
      <c r="L942" s="5"/>
      <c r="M942" s="5"/>
    </row>
    <row r="943" spans="12:13" x14ac:dyDescent="0.2">
      <c r="L943" s="5"/>
      <c r="M943" s="5"/>
    </row>
    <row r="944" spans="12:13" x14ac:dyDescent="0.2">
      <c r="L944" s="5"/>
      <c r="M944" s="5"/>
    </row>
    <row r="945" spans="12:13" x14ac:dyDescent="0.2">
      <c r="L945" s="5"/>
      <c r="M945" s="5"/>
    </row>
    <row r="946" spans="12:13" x14ac:dyDescent="0.2">
      <c r="L946" s="5"/>
      <c r="M946" s="5"/>
    </row>
    <row r="947" spans="12:13" x14ac:dyDescent="0.2">
      <c r="L947" s="5"/>
      <c r="M947" s="5"/>
    </row>
    <row r="948" spans="12:13" x14ac:dyDescent="0.2">
      <c r="L948" s="5"/>
      <c r="M948" s="5"/>
    </row>
    <row r="949" spans="12:13" x14ac:dyDescent="0.2">
      <c r="L949" s="5"/>
      <c r="M949" s="5"/>
    </row>
    <row r="950" spans="12:13" x14ac:dyDescent="0.2">
      <c r="L950" s="5"/>
      <c r="M950" s="5"/>
    </row>
    <row r="951" spans="12:13" x14ac:dyDescent="0.2">
      <c r="L951" s="5"/>
      <c r="M951" s="5"/>
    </row>
    <row r="952" spans="12:13" x14ac:dyDescent="0.2">
      <c r="L952" s="5"/>
      <c r="M952" s="5"/>
    </row>
    <row r="953" spans="12:13" x14ac:dyDescent="0.2">
      <c r="L953" s="5"/>
      <c r="M953" s="5"/>
    </row>
    <row r="954" spans="12:13" x14ac:dyDescent="0.2">
      <c r="L954" s="5"/>
      <c r="M954" s="5"/>
    </row>
    <row r="955" spans="12:13" x14ac:dyDescent="0.2">
      <c r="L955" s="5"/>
      <c r="M955" s="5"/>
    </row>
    <row r="956" spans="12:13" x14ac:dyDescent="0.2">
      <c r="L956" s="5"/>
      <c r="M956" s="5"/>
    </row>
    <row r="957" spans="12:13" x14ac:dyDescent="0.2">
      <c r="L957" s="5"/>
      <c r="M957" s="5"/>
    </row>
    <row r="958" spans="12:13" x14ac:dyDescent="0.2">
      <c r="L958" s="5"/>
      <c r="M958" s="5"/>
    </row>
    <row r="959" spans="12:13" x14ac:dyDescent="0.2">
      <c r="L959" s="5"/>
      <c r="M959" s="5"/>
    </row>
    <row r="960" spans="12:13" x14ac:dyDescent="0.2">
      <c r="L960" s="5"/>
      <c r="M960" s="5"/>
    </row>
    <row r="961" spans="12:13" x14ac:dyDescent="0.2">
      <c r="L961" s="5"/>
      <c r="M961" s="5"/>
    </row>
    <row r="962" spans="12:13" x14ac:dyDescent="0.2">
      <c r="L962" s="5"/>
      <c r="M962" s="5"/>
    </row>
    <row r="963" spans="12:13" x14ac:dyDescent="0.2">
      <c r="L963" s="5"/>
      <c r="M963" s="5"/>
    </row>
    <row r="964" spans="12:13" x14ac:dyDescent="0.2">
      <c r="L964" s="5"/>
      <c r="M964" s="5"/>
    </row>
    <row r="965" spans="12:13" x14ac:dyDescent="0.2">
      <c r="L965" s="5"/>
      <c r="M965" s="5"/>
    </row>
    <row r="966" spans="12:13" x14ac:dyDescent="0.2">
      <c r="L966" s="5"/>
      <c r="M966" s="5"/>
    </row>
    <row r="967" spans="12:13" x14ac:dyDescent="0.2">
      <c r="L967" s="5"/>
      <c r="M967" s="5"/>
    </row>
    <row r="968" spans="12:13" x14ac:dyDescent="0.2">
      <c r="L968" s="5"/>
      <c r="M968" s="5"/>
    </row>
    <row r="969" spans="12:13" x14ac:dyDescent="0.2">
      <c r="L969" s="5"/>
      <c r="M969" s="5"/>
    </row>
    <row r="970" spans="12:13" x14ac:dyDescent="0.2">
      <c r="L970" s="5"/>
      <c r="M970" s="5"/>
    </row>
    <row r="971" spans="12:13" x14ac:dyDescent="0.2">
      <c r="L971" s="5"/>
      <c r="M971" s="5"/>
    </row>
    <row r="972" spans="12:13" x14ac:dyDescent="0.2">
      <c r="L972" s="5"/>
      <c r="M972" s="5"/>
    </row>
    <row r="973" spans="12:13" x14ac:dyDescent="0.2">
      <c r="L973" s="5"/>
      <c r="M973" s="5"/>
    </row>
    <row r="974" spans="12:13" x14ac:dyDescent="0.2">
      <c r="L974" s="5"/>
      <c r="M974" s="5"/>
    </row>
    <row r="975" spans="12:13" x14ac:dyDescent="0.2">
      <c r="L975" s="5"/>
      <c r="M975" s="5"/>
    </row>
    <row r="976" spans="12:13" x14ac:dyDescent="0.2">
      <c r="L976" s="5"/>
      <c r="M976" s="5"/>
    </row>
    <row r="977" spans="12:13" x14ac:dyDescent="0.2">
      <c r="L977" s="5"/>
      <c r="M977" s="5"/>
    </row>
    <row r="978" spans="12:13" x14ac:dyDescent="0.2">
      <c r="L978" s="5"/>
      <c r="M978" s="5"/>
    </row>
    <row r="979" spans="12:13" x14ac:dyDescent="0.2">
      <c r="L979" s="5"/>
      <c r="M979" s="5"/>
    </row>
    <row r="980" spans="12:13" x14ac:dyDescent="0.2">
      <c r="L980" s="5"/>
      <c r="M980" s="5"/>
    </row>
    <row r="981" spans="12:13" x14ac:dyDescent="0.2">
      <c r="L981" s="5"/>
      <c r="M981" s="5"/>
    </row>
    <row r="982" spans="12:13" x14ac:dyDescent="0.2">
      <c r="L982" s="5"/>
      <c r="M982" s="5"/>
    </row>
    <row r="983" spans="12:13" x14ac:dyDescent="0.2">
      <c r="L983" s="5"/>
      <c r="M983" s="5"/>
    </row>
    <row r="984" spans="12:13" x14ac:dyDescent="0.2">
      <c r="L984" s="5"/>
      <c r="M984" s="5"/>
    </row>
    <row r="985" spans="12:13" x14ac:dyDescent="0.2">
      <c r="L985" s="5"/>
      <c r="M985" s="5"/>
    </row>
    <row r="986" spans="12:13" x14ac:dyDescent="0.2">
      <c r="L986" s="5"/>
      <c r="M986" s="5"/>
    </row>
    <row r="987" spans="12:13" x14ac:dyDescent="0.2">
      <c r="L987" s="5"/>
      <c r="M987" s="5"/>
    </row>
    <row r="988" spans="12:13" x14ac:dyDescent="0.2">
      <c r="L988" s="5"/>
      <c r="M988" s="5"/>
    </row>
    <row r="989" spans="12:13" x14ac:dyDescent="0.2">
      <c r="L989" s="5"/>
      <c r="M989" s="5"/>
    </row>
    <row r="990" spans="12:13" x14ac:dyDescent="0.2">
      <c r="L990" s="5"/>
      <c r="M990" s="5"/>
    </row>
    <row r="991" spans="12:13" x14ac:dyDescent="0.2">
      <c r="L991" s="5"/>
      <c r="M991" s="5"/>
    </row>
    <row r="992" spans="12:13" x14ac:dyDescent="0.2">
      <c r="L992" s="5"/>
      <c r="M992" s="5"/>
    </row>
    <row r="993" spans="12:13" x14ac:dyDescent="0.2">
      <c r="L993" s="5"/>
      <c r="M993" s="5"/>
    </row>
    <row r="994" spans="12:13" x14ac:dyDescent="0.2">
      <c r="L994" s="5"/>
      <c r="M994" s="5"/>
    </row>
    <row r="995" spans="12:13" x14ac:dyDescent="0.2">
      <c r="L995" s="5"/>
      <c r="M995" s="5"/>
    </row>
    <row r="996" spans="12:13" x14ac:dyDescent="0.2">
      <c r="L996" s="5"/>
      <c r="M996" s="5"/>
    </row>
    <row r="997" spans="12:13" x14ac:dyDescent="0.2">
      <c r="L997" s="5"/>
      <c r="M997" s="5"/>
    </row>
    <row r="998" spans="12:13" x14ac:dyDescent="0.2">
      <c r="L998" s="5"/>
      <c r="M998" s="5"/>
    </row>
    <row r="999" spans="12:13" x14ac:dyDescent="0.2">
      <c r="L999" s="5"/>
      <c r="M999" s="5"/>
    </row>
    <row r="1000" spans="12:13" x14ac:dyDescent="0.2">
      <c r="L1000" s="5"/>
      <c r="M1000" s="5"/>
    </row>
    <row r="1001" spans="12:13" x14ac:dyDescent="0.2">
      <c r="L1001" s="5"/>
      <c r="M1001" s="5"/>
    </row>
    <row r="1002" spans="12:13" x14ac:dyDescent="0.2">
      <c r="L1002" s="5"/>
      <c r="M1002" s="5"/>
    </row>
    <row r="1003" spans="12:13" x14ac:dyDescent="0.2">
      <c r="L1003" s="5"/>
      <c r="M1003" s="5"/>
    </row>
    <row r="1004" spans="12:13" x14ac:dyDescent="0.2">
      <c r="L1004" s="5"/>
      <c r="M1004" s="5"/>
    </row>
    <row r="1005" spans="12:13" x14ac:dyDescent="0.2">
      <c r="L1005" s="5"/>
      <c r="M1005" s="5"/>
    </row>
    <row r="1006" spans="12:13" x14ac:dyDescent="0.2">
      <c r="L1006" s="5"/>
      <c r="M1006" s="5"/>
    </row>
    <row r="1007" spans="12:13" x14ac:dyDescent="0.2">
      <c r="L1007" s="5"/>
      <c r="M1007" s="5"/>
    </row>
    <row r="1008" spans="12:13" x14ac:dyDescent="0.2">
      <c r="L1008" s="5"/>
      <c r="M1008" s="5"/>
    </row>
    <row r="1009" spans="12:13" x14ac:dyDescent="0.2">
      <c r="L1009" s="5"/>
      <c r="M1009" s="5"/>
    </row>
    <row r="1010" spans="12:13" x14ac:dyDescent="0.2">
      <c r="L1010" s="5"/>
      <c r="M1010" s="5"/>
    </row>
    <row r="1011" spans="12:13" x14ac:dyDescent="0.2">
      <c r="L1011" s="5"/>
      <c r="M1011" s="5"/>
    </row>
    <row r="1012" spans="12:13" x14ac:dyDescent="0.2">
      <c r="L1012" s="5"/>
      <c r="M1012" s="5"/>
    </row>
    <row r="1013" spans="12:13" x14ac:dyDescent="0.2">
      <c r="L1013" s="5"/>
      <c r="M1013" s="5"/>
    </row>
    <row r="1014" spans="12:13" x14ac:dyDescent="0.2">
      <c r="L1014" s="5"/>
      <c r="M1014" s="5"/>
    </row>
    <row r="1015" spans="12:13" x14ac:dyDescent="0.2">
      <c r="L1015" s="5"/>
      <c r="M1015" s="5"/>
    </row>
    <row r="1016" spans="12:13" x14ac:dyDescent="0.2">
      <c r="L1016" s="5"/>
      <c r="M1016" s="5"/>
    </row>
    <row r="1017" spans="12:13" x14ac:dyDescent="0.2">
      <c r="L1017" s="5"/>
      <c r="M1017" s="5"/>
    </row>
    <row r="1018" spans="12:13" x14ac:dyDescent="0.2">
      <c r="L1018" s="5"/>
      <c r="M1018" s="5"/>
    </row>
    <row r="1019" spans="12:13" x14ac:dyDescent="0.2">
      <c r="L1019" s="5"/>
      <c r="M1019" s="5"/>
    </row>
    <row r="1020" spans="12:13" x14ac:dyDescent="0.2">
      <c r="L1020" s="5"/>
      <c r="M1020" s="5"/>
    </row>
    <row r="1021" spans="12:13" x14ac:dyDescent="0.2">
      <c r="L1021" s="5"/>
      <c r="M1021" s="5"/>
    </row>
    <row r="1022" spans="12:13" x14ac:dyDescent="0.2">
      <c r="L1022" s="5"/>
      <c r="M1022" s="5"/>
    </row>
    <row r="1023" spans="12:13" x14ac:dyDescent="0.2">
      <c r="L1023" s="5"/>
      <c r="M1023" s="5"/>
    </row>
    <row r="1024" spans="12:13" x14ac:dyDescent="0.2">
      <c r="L1024" s="5"/>
      <c r="M1024" s="5"/>
    </row>
    <row r="1025" spans="12:13" x14ac:dyDescent="0.2">
      <c r="L1025" s="5"/>
      <c r="M1025" s="5"/>
    </row>
    <row r="1026" spans="12:13" x14ac:dyDescent="0.2">
      <c r="L1026" s="5"/>
      <c r="M1026" s="5"/>
    </row>
    <row r="1027" spans="12:13" x14ac:dyDescent="0.2">
      <c r="L1027" s="5"/>
      <c r="M1027" s="5"/>
    </row>
    <row r="1028" spans="12:13" x14ac:dyDescent="0.2">
      <c r="L1028" s="5"/>
      <c r="M1028" s="5"/>
    </row>
    <row r="1029" spans="12:13" x14ac:dyDescent="0.2">
      <c r="L1029" s="5"/>
      <c r="M1029" s="5"/>
    </row>
    <row r="1030" spans="12:13" x14ac:dyDescent="0.2">
      <c r="L1030" s="5"/>
      <c r="M1030" s="5"/>
    </row>
    <row r="1031" spans="12:13" x14ac:dyDescent="0.2">
      <c r="L1031" s="5"/>
      <c r="M1031" s="5"/>
    </row>
    <row r="1032" spans="12:13" x14ac:dyDescent="0.2">
      <c r="L1032" s="5"/>
      <c r="M1032" s="5"/>
    </row>
    <row r="1033" spans="12:13" x14ac:dyDescent="0.2">
      <c r="L1033" s="5"/>
      <c r="M1033" s="5"/>
    </row>
    <row r="1034" spans="12:13" x14ac:dyDescent="0.2">
      <c r="L1034" s="5"/>
      <c r="M1034" s="5"/>
    </row>
    <row r="1035" spans="12:13" x14ac:dyDescent="0.2">
      <c r="L1035" s="5"/>
      <c r="M1035" s="5"/>
    </row>
    <row r="1036" spans="12:13" x14ac:dyDescent="0.2">
      <c r="L1036" s="5"/>
      <c r="M1036" s="5"/>
    </row>
    <row r="1037" spans="12:13" x14ac:dyDescent="0.2">
      <c r="L1037" s="5"/>
      <c r="M1037" s="5"/>
    </row>
    <row r="1038" spans="12:13" x14ac:dyDescent="0.2">
      <c r="L1038" s="5"/>
      <c r="M1038" s="5"/>
    </row>
    <row r="1039" spans="12:13" x14ac:dyDescent="0.2">
      <c r="L1039" s="5"/>
      <c r="M1039" s="5"/>
    </row>
    <row r="1040" spans="12:13" x14ac:dyDescent="0.2">
      <c r="L1040" s="5"/>
      <c r="M1040" s="5"/>
    </row>
    <row r="1041" spans="12:13" x14ac:dyDescent="0.2">
      <c r="L1041" s="5"/>
      <c r="M1041" s="5"/>
    </row>
    <row r="1042" spans="12:13" x14ac:dyDescent="0.2">
      <c r="L1042" s="5"/>
      <c r="M1042" s="5"/>
    </row>
    <row r="1043" spans="12:13" x14ac:dyDescent="0.2">
      <c r="L1043" s="5"/>
      <c r="M1043" s="5"/>
    </row>
    <row r="1044" spans="12:13" x14ac:dyDescent="0.2">
      <c r="L1044" s="5"/>
      <c r="M1044" s="5"/>
    </row>
    <row r="1045" spans="12:13" x14ac:dyDescent="0.2">
      <c r="L1045" s="5"/>
      <c r="M1045" s="5"/>
    </row>
    <row r="1046" spans="12:13" x14ac:dyDescent="0.2">
      <c r="L1046" s="5"/>
      <c r="M1046" s="5"/>
    </row>
    <row r="1047" spans="12:13" x14ac:dyDescent="0.2">
      <c r="L1047" s="5"/>
      <c r="M1047" s="5"/>
    </row>
    <row r="1048" spans="12:13" x14ac:dyDescent="0.2">
      <c r="L1048" s="5"/>
      <c r="M1048" s="5"/>
    </row>
    <row r="1049" spans="12:13" x14ac:dyDescent="0.2">
      <c r="L1049" s="5"/>
      <c r="M1049" s="5"/>
    </row>
    <row r="1050" spans="12:13" x14ac:dyDescent="0.2">
      <c r="L1050" s="5"/>
      <c r="M1050" s="5"/>
    </row>
    <row r="1051" spans="12:13" x14ac:dyDescent="0.2">
      <c r="L1051" s="5"/>
      <c r="M1051" s="5"/>
    </row>
    <row r="1052" spans="12:13" x14ac:dyDescent="0.2">
      <c r="L1052" s="5"/>
      <c r="M1052" s="5"/>
    </row>
    <row r="1053" spans="12:13" x14ac:dyDescent="0.2">
      <c r="L1053" s="5"/>
      <c r="M1053" s="5"/>
    </row>
    <row r="1054" spans="12:13" x14ac:dyDescent="0.2">
      <c r="L1054" s="5"/>
      <c r="M1054" s="5"/>
    </row>
    <row r="1055" spans="12:13" x14ac:dyDescent="0.2">
      <c r="L1055" s="5"/>
      <c r="M1055" s="5"/>
    </row>
    <row r="1056" spans="12:13" x14ac:dyDescent="0.2">
      <c r="L1056" s="5"/>
      <c r="M1056" s="5"/>
    </row>
    <row r="1057" spans="12:13" x14ac:dyDescent="0.2">
      <c r="L1057" s="5"/>
      <c r="M1057" s="5"/>
    </row>
    <row r="1058" spans="12:13" x14ac:dyDescent="0.2">
      <c r="L1058" s="5"/>
      <c r="M1058" s="5"/>
    </row>
    <row r="1059" spans="12:13" x14ac:dyDescent="0.2">
      <c r="L1059" s="5"/>
      <c r="M1059" s="5"/>
    </row>
    <row r="1060" spans="12:13" x14ac:dyDescent="0.2">
      <c r="L1060" s="5"/>
      <c r="M1060" s="5"/>
    </row>
    <row r="1061" spans="12:13" x14ac:dyDescent="0.2">
      <c r="L1061" s="5"/>
      <c r="M1061" s="5"/>
    </row>
    <row r="1062" spans="12:13" x14ac:dyDescent="0.2">
      <c r="L1062" s="5"/>
      <c r="M1062" s="5"/>
    </row>
    <row r="1063" spans="12:13" x14ac:dyDescent="0.2">
      <c r="L1063" s="5"/>
      <c r="M1063" s="5"/>
    </row>
    <row r="1064" spans="12:13" x14ac:dyDescent="0.2">
      <c r="L1064" s="5"/>
      <c r="M1064" s="5"/>
    </row>
    <row r="1065" spans="12:13" x14ac:dyDescent="0.2">
      <c r="L1065" s="5"/>
      <c r="M1065" s="5"/>
    </row>
    <row r="1066" spans="12:13" x14ac:dyDescent="0.2">
      <c r="L1066" s="5"/>
      <c r="M1066" s="5"/>
    </row>
    <row r="1067" spans="12:13" x14ac:dyDescent="0.2">
      <c r="L1067" s="5"/>
      <c r="M1067" s="5"/>
    </row>
    <row r="1068" spans="12:13" x14ac:dyDescent="0.2">
      <c r="L1068" s="5"/>
      <c r="M1068" s="5"/>
    </row>
    <row r="1069" spans="12:13" x14ac:dyDescent="0.2">
      <c r="L1069" s="5"/>
      <c r="M1069" s="5"/>
    </row>
    <row r="1070" spans="12:13" x14ac:dyDescent="0.2">
      <c r="L1070" s="5"/>
      <c r="M1070" s="5"/>
    </row>
    <row r="1071" spans="12:13" x14ac:dyDescent="0.2">
      <c r="L1071" s="5"/>
      <c r="M1071" s="5"/>
    </row>
    <row r="1072" spans="12:13" x14ac:dyDescent="0.2">
      <c r="L1072" s="5"/>
      <c r="M1072" s="5"/>
    </row>
    <row r="1073" spans="12:13" x14ac:dyDescent="0.2">
      <c r="L1073" s="5"/>
      <c r="M1073" s="5"/>
    </row>
    <row r="1074" spans="12:13" x14ac:dyDescent="0.2">
      <c r="L1074" s="5"/>
      <c r="M1074" s="5"/>
    </row>
    <row r="1075" spans="12:13" x14ac:dyDescent="0.2">
      <c r="L1075" s="5"/>
      <c r="M1075" s="5"/>
    </row>
    <row r="1076" spans="12:13" x14ac:dyDescent="0.2">
      <c r="L1076" s="5"/>
      <c r="M1076" s="5"/>
    </row>
    <row r="1077" spans="12:13" x14ac:dyDescent="0.2">
      <c r="L1077" s="5"/>
      <c r="M1077" s="5"/>
    </row>
    <row r="1078" spans="12:13" x14ac:dyDescent="0.2">
      <c r="L1078" s="5"/>
      <c r="M1078" s="5"/>
    </row>
    <row r="1079" spans="12:13" x14ac:dyDescent="0.2">
      <c r="L1079" s="5"/>
      <c r="M1079" s="5"/>
    </row>
    <row r="1080" spans="12:13" x14ac:dyDescent="0.2">
      <c r="L1080" s="5"/>
      <c r="M1080" s="5"/>
    </row>
    <row r="1081" spans="12:13" x14ac:dyDescent="0.2">
      <c r="L1081" s="5"/>
      <c r="M1081" s="5"/>
    </row>
    <row r="1082" spans="12:13" x14ac:dyDescent="0.2">
      <c r="L1082" s="5"/>
      <c r="M1082" s="5"/>
    </row>
    <row r="1083" spans="12:13" x14ac:dyDescent="0.2">
      <c r="L1083" s="5"/>
      <c r="M1083" s="5"/>
    </row>
    <row r="1084" spans="12:13" x14ac:dyDescent="0.2">
      <c r="L1084" s="5"/>
      <c r="M1084" s="5"/>
    </row>
    <row r="1085" spans="12:13" x14ac:dyDescent="0.2">
      <c r="L1085" s="5"/>
      <c r="M1085" s="5"/>
    </row>
    <row r="1086" spans="12:13" x14ac:dyDescent="0.2">
      <c r="L1086" s="5"/>
      <c r="M1086" s="5"/>
    </row>
    <row r="1087" spans="12:13" x14ac:dyDescent="0.2">
      <c r="L1087" s="5"/>
      <c r="M1087" s="5"/>
    </row>
    <row r="1088" spans="12:13" x14ac:dyDescent="0.2">
      <c r="L1088" s="5"/>
      <c r="M1088" s="5"/>
    </row>
    <row r="1089" spans="12:13" x14ac:dyDescent="0.2">
      <c r="L1089" s="5"/>
      <c r="M1089" s="5"/>
    </row>
    <row r="1090" spans="12:13" x14ac:dyDescent="0.2">
      <c r="L1090" s="5"/>
      <c r="M1090" s="5"/>
    </row>
    <row r="1091" spans="12:13" x14ac:dyDescent="0.2">
      <c r="L1091" s="5"/>
      <c r="M1091" s="5"/>
    </row>
    <row r="1092" spans="12:13" x14ac:dyDescent="0.2">
      <c r="L1092" s="5"/>
      <c r="M1092" s="5"/>
    </row>
    <row r="1093" spans="12:13" x14ac:dyDescent="0.2">
      <c r="L1093" s="5"/>
      <c r="M1093" s="5"/>
    </row>
    <row r="1094" spans="12:13" x14ac:dyDescent="0.2">
      <c r="L1094" s="5"/>
      <c r="M1094" s="5"/>
    </row>
    <row r="1095" spans="12:13" x14ac:dyDescent="0.2">
      <c r="L1095" s="5"/>
      <c r="M1095" s="5"/>
    </row>
    <row r="1096" spans="12:13" x14ac:dyDescent="0.2">
      <c r="L1096" s="5"/>
      <c r="M1096" s="5"/>
    </row>
    <row r="1097" spans="12:13" x14ac:dyDescent="0.2">
      <c r="L1097" s="5"/>
      <c r="M1097" s="5"/>
    </row>
    <row r="1098" spans="12:13" x14ac:dyDescent="0.2">
      <c r="L1098" s="5"/>
      <c r="M1098" s="5"/>
    </row>
    <row r="1099" spans="12:13" x14ac:dyDescent="0.2">
      <c r="L1099" s="5"/>
      <c r="M1099" s="5"/>
    </row>
    <row r="1100" spans="12:13" x14ac:dyDescent="0.2">
      <c r="L1100" s="5"/>
      <c r="M1100" s="5"/>
    </row>
    <row r="1101" spans="12:13" x14ac:dyDescent="0.2">
      <c r="L1101" s="5"/>
      <c r="M1101" s="5"/>
    </row>
    <row r="1102" spans="12:13" x14ac:dyDescent="0.2">
      <c r="L1102" s="5"/>
      <c r="M1102" s="5"/>
    </row>
    <row r="1103" spans="12:13" x14ac:dyDescent="0.2">
      <c r="L1103" s="5"/>
      <c r="M1103" s="5"/>
    </row>
    <row r="1104" spans="12:13" x14ac:dyDescent="0.2">
      <c r="L1104" s="5"/>
      <c r="M1104" s="5"/>
    </row>
    <row r="1105" spans="12:13" x14ac:dyDescent="0.2">
      <c r="L1105" s="5"/>
      <c r="M1105" s="5"/>
    </row>
    <row r="1106" spans="12:13" x14ac:dyDescent="0.2">
      <c r="L1106" s="5"/>
      <c r="M1106" s="5"/>
    </row>
    <row r="1107" spans="12:13" x14ac:dyDescent="0.2">
      <c r="L1107" s="5"/>
      <c r="M1107" s="5"/>
    </row>
    <row r="1108" spans="12:13" x14ac:dyDescent="0.2">
      <c r="L1108" s="5"/>
      <c r="M1108" s="5"/>
    </row>
    <row r="1109" spans="12:13" x14ac:dyDescent="0.2">
      <c r="L1109" s="5"/>
      <c r="M1109" s="5"/>
    </row>
    <row r="1110" spans="12:13" x14ac:dyDescent="0.2">
      <c r="L1110" s="5"/>
      <c r="M1110" s="5"/>
    </row>
    <row r="1111" spans="12:13" x14ac:dyDescent="0.2">
      <c r="L1111" s="5"/>
      <c r="M1111" s="5"/>
    </row>
    <row r="1112" spans="12:13" x14ac:dyDescent="0.2">
      <c r="L1112" s="5"/>
      <c r="M1112" s="5"/>
    </row>
    <row r="1113" spans="12:13" x14ac:dyDescent="0.2">
      <c r="L1113" s="5"/>
      <c r="M1113" s="5"/>
    </row>
    <row r="1114" spans="12:13" x14ac:dyDescent="0.2">
      <c r="L1114" s="5"/>
      <c r="M1114" s="5"/>
    </row>
    <row r="1115" spans="12:13" x14ac:dyDescent="0.2">
      <c r="L1115" s="5"/>
      <c r="M1115" s="5"/>
    </row>
    <row r="1116" spans="12:13" x14ac:dyDescent="0.2">
      <c r="L1116" s="5"/>
      <c r="M1116" s="5"/>
    </row>
    <row r="1117" spans="12:13" x14ac:dyDescent="0.2">
      <c r="L1117" s="5"/>
      <c r="M1117" s="5"/>
    </row>
    <row r="1118" spans="12:13" x14ac:dyDescent="0.2">
      <c r="L1118" s="5"/>
      <c r="M1118" s="5"/>
    </row>
    <row r="1119" spans="12:13" x14ac:dyDescent="0.2">
      <c r="L1119" s="5"/>
      <c r="M1119" s="5"/>
    </row>
    <row r="1120" spans="12:13" x14ac:dyDescent="0.2">
      <c r="L1120" s="5"/>
      <c r="M1120" s="5"/>
    </row>
    <row r="1121" spans="12:13" x14ac:dyDescent="0.2">
      <c r="L1121" s="5"/>
      <c r="M1121" s="5"/>
    </row>
    <row r="1122" spans="12:13" x14ac:dyDescent="0.2">
      <c r="L1122" s="5"/>
      <c r="M1122" s="5"/>
    </row>
    <row r="1123" spans="12:13" x14ac:dyDescent="0.2">
      <c r="L1123" s="5"/>
      <c r="M1123" s="5"/>
    </row>
    <row r="1124" spans="12:13" x14ac:dyDescent="0.2">
      <c r="L1124" s="5"/>
      <c r="M1124" s="5"/>
    </row>
    <row r="1125" spans="12:13" x14ac:dyDescent="0.2">
      <c r="L1125" s="5"/>
      <c r="M1125" s="5"/>
    </row>
    <row r="1126" spans="12:13" x14ac:dyDescent="0.2">
      <c r="L1126" s="5"/>
      <c r="M1126" s="5"/>
    </row>
    <row r="1127" spans="12:13" x14ac:dyDescent="0.2">
      <c r="L1127" s="5"/>
      <c r="M1127" s="5"/>
    </row>
    <row r="1128" spans="12:13" x14ac:dyDescent="0.2">
      <c r="L1128" s="5"/>
      <c r="M1128" s="5"/>
    </row>
    <row r="1129" spans="12:13" x14ac:dyDescent="0.2">
      <c r="L1129" s="5"/>
      <c r="M1129" s="5"/>
    </row>
    <row r="1130" spans="12:13" x14ac:dyDescent="0.2">
      <c r="L1130" s="5"/>
      <c r="M1130" s="5"/>
    </row>
    <row r="1131" spans="12:13" x14ac:dyDescent="0.2">
      <c r="L1131" s="5"/>
      <c r="M1131" s="5"/>
    </row>
    <row r="1132" spans="12:13" x14ac:dyDescent="0.2">
      <c r="L1132" s="5"/>
      <c r="M1132" s="5"/>
    </row>
    <row r="1133" spans="12:13" x14ac:dyDescent="0.2">
      <c r="L1133" s="5"/>
      <c r="M1133" s="5"/>
    </row>
    <row r="1134" spans="12:13" x14ac:dyDescent="0.2">
      <c r="L1134" s="5"/>
      <c r="M1134" s="5"/>
    </row>
    <row r="1135" spans="12:13" x14ac:dyDescent="0.2">
      <c r="L1135" s="5"/>
      <c r="M1135" s="5"/>
    </row>
    <row r="1136" spans="12:13" x14ac:dyDescent="0.2">
      <c r="L1136" s="5"/>
      <c r="M1136" s="5"/>
    </row>
    <row r="1137" spans="12:13" x14ac:dyDescent="0.2">
      <c r="L1137" s="5"/>
      <c r="M1137" s="5"/>
    </row>
    <row r="1138" spans="12:13" x14ac:dyDescent="0.2">
      <c r="L1138" s="5"/>
      <c r="M1138" s="5"/>
    </row>
    <row r="1139" spans="12:13" x14ac:dyDescent="0.2">
      <c r="L1139" s="5"/>
      <c r="M1139" s="5"/>
    </row>
    <row r="1140" spans="12:13" x14ac:dyDescent="0.2">
      <c r="L1140" s="5"/>
      <c r="M1140" s="5"/>
    </row>
    <row r="1141" spans="12:13" x14ac:dyDescent="0.2">
      <c r="L1141" s="5"/>
      <c r="M1141" s="5"/>
    </row>
    <row r="1142" spans="12:13" x14ac:dyDescent="0.2">
      <c r="L1142" s="5"/>
      <c r="M1142" s="5"/>
    </row>
    <row r="1143" spans="12:13" x14ac:dyDescent="0.2">
      <c r="L1143" s="5"/>
      <c r="M1143" s="5"/>
    </row>
    <row r="1144" spans="12:13" x14ac:dyDescent="0.2">
      <c r="L1144" s="5"/>
      <c r="M1144" s="5"/>
    </row>
    <row r="1145" spans="12:13" x14ac:dyDescent="0.2">
      <c r="L1145" s="5"/>
      <c r="M1145" s="5"/>
    </row>
    <row r="1146" spans="12:13" x14ac:dyDescent="0.2">
      <c r="L1146" s="5"/>
      <c r="M1146" s="5"/>
    </row>
    <row r="1147" spans="12:13" x14ac:dyDescent="0.2">
      <c r="L1147" s="5"/>
      <c r="M1147" s="5"/>
    </row>
    <row r="1148" spans="12:13" x14ac:dyDescent="0.2">
      <c r="L1148" s="5"/>
      <c r="M1148" s="5"/>
    </row>
    <row r="1149" spans="12:13" x14ac:dyDescent="0.2">
      <c r="L1149" s="5"/>
      <c r="M1149" s="5"/>
    </row>
    <row r="1150" spans="12:13" x14ac:dyDescent="0.2">
      <c r="L1150" s="5"/>
      <c r="M1150" s="5"/>
    </row>
    <row r="1151" spans="12:13" x14ac:dyDescent="0.2">
      <c r="L1151" s="5"/>
      <c r="M1151" s="5"/>
    </row>
    <row r="1152" spans="12:13" x14ac:dyDescent="0.2">
      <c r="L1152" s="5"/>
      <c r="M1152" s="5"/>
    </row>
    <row r="1153" spans="12:13" x14ac:dyDescent="0.2">
      <c r="L1153" s="5"/>
      <c r="M1153" s="5"/>
    </row>
    <row r="1154" spans="12:13" x14ac:dyDescent="0.2">
      <c r="L1154" s="5"/>
      <c r="M1154" s="5"/>
    </row>
    <row r="1155" spans="12:13" x14ac:dyDescent="0.2">
      <c r="L1155" s="5"/>
      <c r="M1155" s="5"/>
    </row>
    <row r="1156" spans="12:13" x14ac:dyDescent="0.2">
      <c r="L1156" s="5"/>
      <c r="M1156" s="5"/>
    </row>
    <row r="1157" spans="12:13" x14ac:dyDescent="0.2">
      <c r="L1157" s="5"/>
      <c r="M1157" s="5"/>
    </row>
    <row r="1158" spans="12:13" x14ac:dyDescent="0.2">
      <c r="L1158" s="5"/>
      <c r="M1158" s="5"/>
    </row>
    <row r="1159" spans="12:13" x14ac:dyDescent="0.2">
      <c r="L1159" s="5"/>
      <c r="M1159" s="5"/>
    </row>
    <row r="1160" spans="12:13" x14ac:dyDescent="0.2">
      <c r="L1160" s="5"/>
      <c r="M1160" s="5"/>
    </row>
    <row r="1161" spans="12:13" x14ac:dyDescent="0.2">
      <c r="L1161" s="5"/>
      <c r="M1161" s="5"/>
    </row>
    <row r="1162" spans="12:13" x14ac:dyDescent="0.2">
      <c r="L1162" s="5"/>
      <c r="M1162" s="5"/>
    </row>
    <row r="1163" spans="12:13" x14ac:dyDescent="0.2">
      <c r="L1163" s="5"/>
      <c r="M1163" s="5"/>
    </row>
    <row r="1164" spans="12:13" x14ac:dyDescent="0.2">
      <c r="L1164" s="5"/>
      <c r="M1164" s="5"/>
    </row>
    <row r="1165" spans="12:13" x14ac:dyDescent="0.2">
      <c r="L1165" s="5"/>
      <c r="M1165" s="5"/>
    </row>
    <row r="1166" spans="12:13" x14ac:dyDescent="0.2">
      <c r="L1166" s="5"/>
      <c r="M1166" s="5"/>
    </row>
    <row r="1167" spans="12:13" x14ac:dyDescent="0.2">
      <c r="L1167" s="5"/>
      <c r="M1167" s="5"/>
    </row>
    <row r="1168" spans="12:13" x14ac:dyDescent="0.2">
      <c r="L1168" s="5"/>
      <c r="M1168" s="5"/>
    </row>
    <row r="1169" spans="12:13" x14ac:dyDescent="0.2">
      <c r="L1169" s="5"/>
      <c r="M1169" s="5"/>
    </row>
    <row r="1170" spans="12:13" x14ac:dyDescent="0.2">
      <c r="L1170" s="5"/>
      <c r="M1170" s="5"/>
    </row>
    <row r="1171" spans="12:13" x14ac:dyDescent="0.2">
      <c r="L1171" s="5"/>
      <c r="M1171" s="5"/>
    </row>
    <row r="1172" spans="12:13" x14ac:dyDescent="0.2">
      <c r="L1172" s="5"/>
      <c r="M1172" s="5"/>
    </row>
    <row r="1173" spans="12:13" x14ac:dyDescent="0.2">
      <c r="L1173" s="5"/>
      <c r="M1173" s="5"/>
    </row>
    <row r="1174" spans="12:13" x14ac:dyDescent="0.2">
      <c r="L1174" s="5"/>
      <c r="M1174" s="5"/>
    </row>
    <row r="1175" spans="12:13" x14ac:dyDescent="0.2">
      <c r="L1175" s="5"/>
      <c r="M1175" s="5"/>
    </row>
    <row r="1176" spans="12:13" x14ac:dyDescent="0.2">
      <c r="L1176" s="5"/>
      <c r="M1176" s="5"/>
    </row>
    <row r="1177" spans="12:13" x14ac:dyDescent="0.2">
      <c r="L1177" s="5"/>
      <c r="M1177" s="5"/>
    </row>
    <row r="1178" spans="12:13" x14ac:dyDescent="0.2">
      <c r="L1178" s="5"/>
      <c r="M1178" s="5"/>
    </row>
    <row r="1179" spans="12:13" x14ac:dyDescent="0.2">
      <c r="L1179" s="5"/>
      <c r="M1179" s="5"/>
    </row>
    <row r="1180" spans="12:13" x14ac:dyDescent="0.2">
      <c r="L1180" s="5"/>
      <c r="M1180" s="5"/>
    </row>
    <row r="1181" spans="12:13" x14ac:dyDescent="0.2">
      <c r="L1181" s="5"/>
      <c r="M1181" s="5"/>
    </row>
    <row r="1182" spans="12:13" x14ac:dyDescent="0.2">
      <c r="L1182" s="5"/>
      <c r="M1182" s="5"/>
    </row>
    <row r="1183" spans="12:13" x14ac:dyDescent="0.2">
      <c r="L1183" s="5"/>
      <c r="M1183" s="5"/>
    </row>
    <row r="1184" spans="12:13" x14ac:dyDescent="0.2">
      <c r="L1184" s="5"/>
      <c r="M1184" s="5"/>
    </row>
    <row r="1185" spans="12:13" x14ac:dyDescent="0.2">
      <c r="L1185" s="5"/>
      <c r="M1185" s="5"/>
    </row>
    <row r="1186" spans="12:13" x14ac:dyDescent="0.2">
      <c r="L1186" s="5"/>
      <c r="M1186" s="5"/>
    </row>
    <row r="1187" spans="12:13" x14ac:dyDescent="0.2">
      <c r="L1187" s="5"/>
      <c r="M1187" s="5"/>
    </row>
    <row r="1188" spans="12:13" x14ac:dyDescent="0.2">
      <c r="L1188" s="5"/>
      <c r="M1188" s="5"/>
    </row>
    <row r="1189" spans="12:13" x14ac:dyDescent="0.2">
      <c r="L1189" s="5"/>
      <c r="M1189" s="5"/>
    </row>
    <row r="1190" spans="12:13" x14ac:dyDescent="0.2">
      <c r="L1190" s="5"/>
      <c r="M1190" s="5"/>
    </row>
    <row r="1191" spans="12:13" x14ac:dyDescent="0.2">
      <c r="L1191" s="5"/>
      <c r="M1191" s="5"/>
    </row>
    <row r="1192" spans="12:13" x14ac:dyDescent="0.2">
      <c r="L1192" s="5"/>
      <c r="M1192" s="5"/>
    </row>
    <row r="1193" spans="12:13" x14ac:dyDescent="0.2">
      <c r="L1193" s="5"/>
      <c r="M1193" s="5"/>
    </row>
    <row r="1194" spans="12:13" x14ac:dyDescent="0.2">
      <c r="L1194" s="5"/>
      <c r="M1194" s="5"/>
    </row>
    <row r="1195" spans="12:13" x14ac:dyDescent="0.2">
      <c r="L1195" s="5"/>
      <c r="M1195" s="5"/>
    </row>
    <row r="1196" spans="12:13" x14ac:dyDescent="0.2">
      <c r="L1196" s="5"/>
      <c r="M1196" s="5"/>
    </row>
    <row r="1197" spans="12:13" x14ac:dyDescent="0.2">
      <c r="L1197" s="5"/>
      <c r="M1197" s="5"/>
    </row>
    <row r="1198" spans="12:13" x14ac:dyDescent="0.2">
      <c r="L1198" s="5"/>
      <c r="M1198" s="5"/>
    </row>
    <row r="1199" spans="12:13" x14ac:dyDescent="0.2">
      <c r="L1199" s="5"/>
      <c r="M1199" s="5"/>
    </row>
    <row r="1200" spans="12:13" x14ac:dyDescent="0.2">
      <c r="L1200" s="5"/>
      <c r="M1200" s="5"/>
    </row>
    <row r="1201" spans="12:13" x14ac:dyDescent="0.2">
      <c r="L1201" s="5"/>
      <c r="M1201" s="5"/>
    </row>
    <row r="1202" spans="12:13" x14ac:dyDescent="0.2">
      <c r="L1202" s="5"/>
      <c r="M1202" s="5"/>
    </row>
    <row r="1203" spans="12:13" x14ac:dyDescent="0.2">
      <c r="L1203" s="5"/>
      <c r="M1203" s="5"/>
    </row>
    <row r="1204" spans="12:13" x14ac:dyDescent="0.2">
      <c r="L1204" s="5"/>
      <c r="M1204" s="5"/>
    </row>
    <row r="1205" spans="12:13" x14ac:dyDescent="0.2">
      <c r="L1205" s="5"/>
      <c r="M1205" s="5"/>
    </row>
    <row r="1206" spans="12:13" x14ac:dyDescent="0.2">
      <c r="L1206" s="5"/>
      <c r="M1206" s="5"/>
    </row>
    <row r="1207" spans="12:13" x14ac:dyDescent="0.2">
      <c r="L1207" s="5"/>
      <c r="M1207" s="5"/>
    </row>
    <row r="1208" spans="12:13" x14ac:dyDescent="0.2">
      <c r="L1208" s="5"/>
      <c r="M1208" s="5"/>
    </row>
    <row r="1209" spans="12:13" x14ac:dyDescent="0.2">
      <c r="L1209" s="5"/>
      <c r="M1209" s="5"/>
    </row>
    <row r="1210" spans="12:13" x14ac:dyDescent="0.2">
      <c r="L1210" s="5"/>
      <c r="M1210" s="5"/>
    </row>
    <row r="1211" spans="12:13" x14ac:dyDescent="0.2">
      <c r="L1211" s="5"/>
      <c r="M1211" s="5"/>
    </row>
    <row r="1212" spans="12:13" x14ac:dyDescent="0.2">
      <c r="L1212" s="5"/>
      <c r="M1212" s="5"/>
    </row>
    <row r="1213" spans="12:13" x14ac:dyDescent="0.2">
      <c r="L1213" s="5"/>
      <c r="M1213" s="5"/>
    </row>
    <row r="1214" spans="12:13" x14ac:dyDescent="0.2">
      <c r="L1214" s="5"/>
      <c r="M1214" s="5"/>
    </row>
    <row r="1215" spans="12:13" x14ac:dyDescent="0.2">
      <c r="L1215" s="5"/>
      <c r="M1215" s="5"/>
    </row>
    <row r="1216" spans="12:13" x14ac:dyDescent="0.2">
      <c r="L1216" s="5"/>
      <c r="M1216" s="5"/>
    </row>
    <row r="1217" spans="12:13" x14ac:dyDescent="0.2">
      <c r="L1217" s="5"/>
      <c r="M1217" s="5"/>
    </row>
    <row r="1218" spans="12:13" x14ac:dyDescent="0.2">
      <c r="L1218" s="5"/>
      <c r="M1218" s="5"/>
    </row>
    <row r="1219" spans="12:13" x14ac:dyDescent="0.2">
      <c r="L1219" s="5"/>
      <c r="M1219" s="5"/>
    </row>
    <row r="1220" spans="12:13" x14ac:dyDescent="0.2">
      <c r="L1220" s="5"/>
      <c r="M1220" s="5"/>
    </row>
    <row r="1221" spans="12:13" x14ac:dyDescent="0.2">
      <c r="L1221" s="5"/>
      <c r="M1221" s="5"/>
    </row>
    <row r="1222" spans="12:13" x14ac:dyDescent="0.2">
      <c r="L1222" s="5"/>
      <c r="M1222" s="5"/>
    </row>
    <row r="1223" spans="12:13" x14ac:dyDescent="0.2">
      <c r="L1223" s="5"/>
      <c r="M1223" s="5"/>
    </row>
    <row r="1224" spans="12:13" x14ac:dyDescent="0.2">
      <c r="L1224" s="5"/>
      <c r="M1224" s="5"/>
    </row>
    <row r="1225" spans="12:13" x14ac:dyDescent="0.2">
      <c r="L1225" s="5"/>
      <c r="M1225" s="5"/>
    </row>
    <row r="1226" spans="12:13" x14ac:dyDescent="0.2">
      <c r="L1226" s="5"/>
      <c r="M1226" s="5"/>
    </row>
    <row r="1227" spans="12:13" x14ac:dyDescent="0.2">
      <c r="L1227" s="5"/>
      <c r="M1227" s="5"/>
    </row>
    <row r="1228" spans="12:13" x14ac:dyDescent="0.2">
      <c r="L1228" s="5"/>
      <c r="M1228" s="5"/>
    </row>
    <row r="1229" spans="12:13" x14ac:dyDescent="0.2">
      <c r="L1229" s="5"/>
      <c r="M1229" s="5"/>
    </row>
    <row r="1230" spans="12:13" x14ac:dyDescent="0.2">
      <c r="L1230" s="5"/>
      <c r="M1230" s="5"/>
    </row>
    <row r="1231" spans="12:13" x14ac:dyDescent="0.2">
      <c r="L1231" s="5"/>
      <c r="M1231" s="5"/>
    </row>
    <row r="1232" spans="12:13" x14ac:dyDescent="0.2">
      <c r="L1232" s="5"/>
      <c r="M1232" s="5"/>
    </row>
    <row r="1233" spans="12:13" x14ac:dyDescent="0.2">
      <c r="L1233" s="5"/>
      <c r="M1233" s="5"/>
    </row>
    <row r="1234" spans="12:13" x14ac:dyDescent="0.2">
      <c r="L1234" s="5"/>
      <c r="M1234" s="5"/>
    </row>
    <row r="1235" spans="12:13" x14ac:dyDescent="0.2">
      <c r="L1235" s="5"/>
      <c r="M1235" s="5"/>
    </row>
    <row r="1236" spans="12:13" x14ac:dyDescent="0.2">
      <c r="L1236" s="5"/>
      <c r="M1236" s="5"/>
    </row>
    <row r="1237" spans="12:13" x14ac:dyDescent="0.2">
      <c r="L1237" s="5"/>
      <c r="M1237" s="5"/>
    </row>
    <row r="1238" spans="12:13" x14ac:dyDescent="0.2">
      <c r="L1238" s="5"/>
      <c r="M1238" s="5"/>
    </row>
    <row r="1239" spans="12:13" x14ac:dyDescent="0.2">
      <c r="L1239" s="5"/>
      <c r="M1239" s="5"/>
    </row>
    <row r="1240" spans="12:13" x14ac:dyDescent="0.2">
      <c r="L1240" s="5"/>
      <c r="M1240" s="5"/>
    </row>
    <row r="1241" spans="12:13" x14ac:dyDescent="0.2">
      <c r="L1241" s="5"/>
      <c r="M1241" s="5"/>
    </row>
    <row r="1242" spans="12:13" x14ac:dyDescent="0.2">
      <c r="L1242" s="5"/>
      <c r="M1242" s="5"/>
    </row>
    <row r="1243" spans="12:13" x14ac:dyDescent="0.2">
      <c r="L1243" s="5"/>
      <c r="M1243" s="5"/>
    </row>
    <row r="1244" spans="12:13" x14ac:dyDescent="0.2">
      <c r="L1244" s="5"/>
      <c r="M1244" s="5"/>
    </row>
    <row r="1245" spans="12:13" x14ac:dyDescent="0.2">
      <c r="L1245" s="5"/>
      <c r="M1245" s="5"/>
    </row>
    <row r="1246" spans="12:13" x14ac:dyDescent="0.2">
      <c r="L1246" s="5"/>
      <c r="M1246" s="5"/>
    </row>
    <row r="1247" spans="12:13" x14ac:dyDescent="0.2">
      <c r="L1247" s="5"/>
      <c r="M1247" s="5"/>
    </row>
    <row r="1248" spans="12:13" x14ac:dyDescent="0.2">
      <c r="L1248" s="5"/>
      <c r="M1248" s="5"/>
    </row>
    <row r="1249" spans="12:13" x14ac:dyDescent="0.2">
      <c r="L1249" s="5"/>
      <c r="M1249" s="5"/>
    </row>
    <row r="1250" spans="12:13" x14ac:dyDescent="0.2">
      <c r="L1250" s="5"/>
      <c r="M1250" s="5"/>
    </row>
    <row r="1251" spans="12:13" x14ac:dyDescent="0.2">
      <c r="L1251" s="5"/>
      <c r="M1251" s="5"/>
    </row>
    <row r="1252" spans="12:13" x14ac:dyDescent="0.2">
      <c r="L1252" s="5"/>
      <c r="M1252" s="5"/>
    </row>
    <row r="1253" spans="12:13" x14ac:dyDescent="0.2">
      <c r="L1253" s="5"/>
      <c r="M1253" s="5"/>
    </row>
    <row r="1254" spans="12:13" x14ac:dyDescent="0.2">
      <c r="L1254" s="5"/>
      <c r="M1254" s="5"/>
    </row>
    <row r="1255" spans="12:13" x14ac:dyDescent="0.2">
      <c r="L1255" s="5"/>
      <c r="M1255" s="5"/>
    </row>
    <row r="1256" spans="12:13" x14ac:dyDescent="0.2">
      <c r="L1256" s="5"/>
      <c r="M1256" s="5"/>
    </row>
    <row r="1257" spans="12:13" x14ac:dyDescent="0.2">
      <c r="L1257" s="5"/>
      <c r="M1257" s="5"/>
    </row>
    <row r="1258" spans="12:13" x14ac:dyDescent="0.2">
      <c r="L1258" s="5"/>
      <c r="M1258" s="5"/>
    </row>
    <row r="1259" spans="12:13" x14ac:dyDescent="0.2">
      <c r="L1259" s="5"/>
      <c r="M1259" s="5"/>
    </row>
    <row r="1260" spans="12:13" x14ac:dyDescent="0.2">
      <c r="L1260" s="5"/>
      <c r="M1260" s="5"/>
    </row>
    <row r="1261" spans="12:13" x14ac:dyDescent="0.2">
      <c r="L1261" s="5"/>
      <c r="M1261" s="5"/>
    </row>
    <row r="1262" spans="12:13" x14ac:dyDescent="0.2">
      <c r="L1262" s="5"/>
      <c r="M1262" s="5"/>
    </row>
    <row r="1263" spans="12:13" x14ac:dyDescent="0.2">
      <c r="L1263" s="5"/>
      <c r="M1263" s="5"/>
    </row>
    <row r="1264" spans="12:13" x14ac:dyDescent="0.2">
      <c r="L1264" s="5"/>
      <c r="M1264" s="5"/>
    </row>
    <row r="1265" spans="12:13" x14ac:dyDescent="0.2">
      <c r="L1265" s="5"/>
      <c r="M1265" s="5"/>
    </row>
    <row r="1266" spans="12:13" x14ac:dyDescent="0.2">
      <c r="L1266" s="5"/>
      <c r="M1266" s="5"/>
    </row>
    <row r="1267" spans="12:13" x14ac:dyDescent="0.2">
      <c r="L1267" s="5"/>
      <c r="M1267" s="5"/>
    </row>
    <row r="1268" spans="12:13" x14ac:dyDescent="0.2">
      <c r="L1268" s="5"/>
      <c r="M1268" s="5"/>
    </row>
    <row r="1269" spans="12:13" x14ac:dyDescent="0.2">
      <c r="L1269" s="5"/>
      <c r="M1269" s="5"/>
    </row>
    <row r="1270" spans="12:13" x14ac:dyDescent="0.2">
      <c r="L1270" s="5"/>
      <c r="M1270" s="5"/>
    </row>
    <row r="1271" spans="12:13" x14ac:dyDescent="0.2">
      <c r="L1271" s="5"/>
      <c r="M1271" s="5"/>
    </row>
    <row r="1272" spans="12:13" x14ac:dyDescent="0.2">
      <c r="L1272" s="5"/>
      <c r="M1272" s="5"/>
    </row>
    <row r="1273" spans="12:13" x14ac:dyDescent="0.2">
      <c r="L1273" s="5"/>
      <c r="M1273" s="5"/>
    </row>
    <row r="1274" spans="12:13" x14ac:dyDescent="0.2">
      <c r="L1274" s="5"/>
      <c r="M1274" s="5"/>
    </row>
    <row r="1275" spans="12:13" x14ac:dyDescent="0.2">
      <c r="L1275" s="5"/>
      <c r="M1275" s="5"/>
    </row>
    <row r="1276" spans="12:13" x14ac:dyDescent="0.2">
      <c r="L1276" s="5"/>
      <c r="M1276" s="5"/>
    </row>
    <row r="1277" spans="12:13" x14ac:dyDescent="0.2">
      <c r="L1277" s="5"/>
      <c r="M1277" s="5"/>
    </row>
    <row r="1278" spans="12:13" x14ac:dyDescent="0.2">
      <c r="L1278" s="5"/>
      <c r="M1278" s="5"/>
    </row>
    <row r="1279" spans="12:13" x14ac:dyDescent="0.2">
      <c r="L1279" s="5"/>
      <c r="M1279" s="5"/>
    </row>
    <row r="1280" spans="12:13" x14ac:dyDescent="0.2">
      <c r="L1280" s="5"/>
      <c r="M1280" s="5"/>
    </row>
    <row r="1281" spans="12:13" x14ac:dyDescent="0.2">
      <c r="L1281" s="5"/>
      <c r="M1281" s="5"/>
    </row>
    <row r="1282" spans="12:13" x14ac:dyDescent="0.2">
      <c r="L1282" s="5"/>
      <c r="M1282" s="5"/>
    </row>
    <row r="1283" spans="12:13" x14ac:dyDescent="0.2">
      <c r="L1283" s="5"/>
      <c r="M1283" s="5"/>
    </row>
    <row r="1284" spans="12:13" x14ac:dyDescent="0.2">
      <c r="L1284" s="5"/>
      <c r="M1284" s="5"/>
    </row>
    <row r="1285" spans="12:13" x14ac:dyDescent="0.2">
      <c r="L1285" s="5"/>
      <c r="M1285" s="5"/>
    </row>
    <row r="1286" spans="12:13" x14ac:dyDescent="0.2">
      <c r="L1286" s="5"/>
      <c r="M1286" s="5"/>
    </row>
    <row r="1287" spans="12:13" x14ac:dyDescent="0.2">
      <c r="L1287" s="5"/>
      <c r="M1287" s="5"/>
    </row>
    <row r="1288" spans="12:13" x14ac:dyDescent="0.2">
      <c r="L1288" s="5"/>
      <c r="M1288" s="5"/>
    </row>
    <row r="1289" spans="12:13" x14ac:dyDescent="0.2">
      <c r="L1289" s="5"/>
      <c r="M1289" s="5"/>
    </row>
    <row r="1290" spans="12:13" x14ac:dyDescent="0.2">
      <c r="L1290" s="5"/>
      <c r="M1290" s="5"/>
    </row>
    <row r="1291" spans="12:13" x14ac:dyDescent="0.2">
      <c r="L1291" s="5"/>
      <c r="M1291" s="5"/>
    </row>
    <row r="1292" spans="12:13" x14ac:dyDescent="0.2">
      <c r="L1292" s="5"/>
      <c r="M1292" s="5"/>
    </row>
    <row r="1293" spans="12:13" x14ac:dyDescent="0.2">
      <c r="L1293" s="5"/>
      <c r="M1293" s="5"/>
    </row>
    <row r="1294" spans="12:13" x14ac:dyDescent="0.2">
      <c r="L1294" s="5"/>
      <c r="M1294" s="5"/>
    </row>
    <row r="1295" spans="12:13" x14ac:dyDescent="0.2">
      <c r="L1295" s="5"/>
      <c r="M1295" s="5"/>
    </row>
    <row r="1296" spans="12:13" x14ac:dyDescent="0.2">
      <c r="L1296" s="5"/>
      <c r="M1296" s="5"/>
    </row>
    <row r="1297" spans="12:13" x14ac:dyDescent="0.2">
      <c r="L1297" s="5"/>
      <c r="M1297" s="5"/>
    </row>
    <row r="1298" spans="12:13" x14ac:dyDescent="0.2">
      <c r="L1298" s="5"/>
      <c r="M1298" s="5"/>
    </row>
    <row r="1299" spans="12:13" x14ac:dyDescent="0.2">
      <c r="L1299" s="5"/>
      <c r="M1299" s="5"/>
    </row>
    <row r="1300" spans="12:13" x14ac:dyDescent="0.2">
      <c r="L1300" s="5"/>
      <c r="M1300" s="5"/>
    </row>
    <row r="1301" spans="12:13" x14ac:dyDescent="0.2">
      <c r="L1301" s="5"/>
      <c r="M1301" s="5"/>
    </row>
    <row r="1302" spans="12:13" x14ac:dyDescent="0.2">
      <c r="L1302" s="5"/>
      <c r="M1302" s="5"/>
    </row>
    <row r="1303" spans="12:13" x14ac:dyDescent="0.2">
      <c r="L1303" s="5"/>
      <c r="M1303" s="5"/>
    </row>
    <row r="1304" spans="12:13" x14ac:dyDescent="0.2">
      <c r="L1304" s="5"/>
      <c r="M1304" s="5"/>
    </row>
    <row r="1305" spans="12:13" x14ac:dyDescent="0.2">
      <c r="L1305" s="5"/>
      <c r="M1305" s="5"/>
    </row>
    <row r="1306" spans="12:13" x14ac:dyDescent="0.2">
      <c r="L1306" s="5"/>
      <c r="M1306" s="5"/>
    </row>
    <row r="1307" spans="12:13" x14ac:dyDescent="0.2">
      <c r="L1307" s="5"/>
      <c r="M1307" s="5"/>
    </row>
    <row r="1308" spans="12:13" x14ac:dyDescent="0.2">
      <c r="L1308" s="5"/>
      <c r="M1308" s="5"/>
    </row>
    <row r="1309" spans="12:13" x14ac:dyDescent="0.2">
      <c r="L1309" s="5"/>
      <c r="M1309" s="5"/>
    </row>
    <row r="1310" spans="12:13" x14ac:dyDescent="0.2">
      <c r="L1310" s="5"/>
      <c r="M1310" s="5"/>
    </row>
    <row r="1311" spans="12:13" x14ac:dyDescent="0.2">
      <c r="L1311" s="5"/>
      <c r="M1311" s="5"/>
    </row>
    <row r="1312" spans="12:13" x14ac:dyDescent="0.2">
      <c r="L1312" s="5"/>
      <c r="M1312" s="5"/>
    </row>
    <row r="1313" spans="12:13" x14ac:dyDescent="0.2">
      <c r="L1313" s="5"/>
      <c r="M1313" s="5"/>
    </row>
    <row r="1314" spans="12:13" x14ac:dyDescent="0.2">
      <c r="L1314" s="5"/>
      <c r="M1314" s="5"/>
    </row>
    <row r="1315" spans="12:13" x14ac:dyDescent="0.2">
      <c r="L1315" s="5"/>
      <c r="M1315" s="5"/>
    </row>
    <row r="1316" spans="12:13" x14ac:dyDescent="0.2">
      <c r="L1316" s="5"/>
      <c r="M1316" s="5"/>
    </row>
    <row r="1317" spans="12:13" x14ac:dyDescent="0.2">
      <c r="L1317" s="5"/>
      <c r="M1317" s="5"/>
    </row>
    <row r="1318" spans="12:13" x14ac:dyDescent="0.2">
      <c r="L1318" s="5"/>
      <c r="M1318" s="5"/>
    </row>
    <row r="1319" spans="12:13" x14ac:dyDescent="0.2">
      <c r="L1319" s="5"/>
      <c r="M1319" s="5"/>
    </row>
    <row r="1320" spans="12:13" x14ac:dyDescent="0.2">
      <c r="L1320" s="5"/>
      <c r="M1320" s="5"/>
    </row>
    <row r="1321" spans="12:13" x14ac:dyDescent="0.2">
      <c r="L1321" s="5"/>
      <c r="M1321" s="5"/>
    </row>
    <row r="1322" spans="12:13" x14ac:dyDescent="0.2">
      <c r="L1322" s="5"/>
      <c r="M1322" s="5"/>
    </row>
    <row r="1323" spans="12:13" x14ac:dyDescent="0.2">
      <c r="L1323" s="5"/>
      <c r="M1323" s="5"/>
    </row>
    <row r="1324" spans="12:13" x14ac:dyDescent="0.2">
      <c r="L1324" s="5"/>
      <c r="M1324" s="5"/>
    </row>
    <row r="1325" spans="12:13" x14ac:dyDescent="0.2">
      <c r="L1325" s="5"/>
      <c r="M1325" s="5"/>
    </row>
    <row r="1326" spans="12:13" x14ac:dyDescent="0.2">
      <c r="L1326" s="5"/>
      <c r="M1326" s="5"/>
    </row>
    <row r="1327" spans="12:13" x14ac:dyDescent="0.2">
      <c r="L1327" s="5"/>
      <c r="M1327" s="5"/>
    </row>
    <row r="1328" spans="12:13" x14ac:dyDescent="0.2">
      <c r="L1328" s="5"/>
      <c r="M1328" s="5"/>
    </row>
    <row r="1329" spans="12:13" x14ac:dyDescent="0.2">
      <c r="L1329" s="5"/>
      <c r="M1329" s="5"/>
    </row>
    <row r="1330" spans="12:13" x14ac:dyDescent="0.2">
      <c r="L1330" s="5"/>
      <c r="M1330" s="5"/>
    </row>
    <row r="1331" spans="12:13" x14ac:dyDescent="0.2">
      <c r="L1331" s="5"/>
      <c r="M1331" s="5"/>
    </row>
    <row r="1332" spans="12:13" x14ac:dyDescent="0.2">
      <c r="L1332" s="5"/>
      <c r="M1332" s="5"/>
    </row>
    <row r="1333" spans="12:13" x14ac:dyDescent="0.2">
      <c r="L1333" s="5"/>
      <c r="M1333" s="5"/>
    </row>
    <row r="1334" spans="12:13" x14ac:dyDescent="0.2">
      <c r="L1334" s="5"/>
      <c r="M1334" s="5"/>
    </row>
    <row r="1335" spans="12:13" x14ac:dyDescent="0.2">
      <c r="L1335" s="5"/>
      <c r="M1335" s="5"/>
    </row>
    <row r="1336" spans="12:13" x14ac:dyDescent="0.2">
      <c r="L1336" s="5"/>
      <c r="M1336" s="5"/>
    </row>
    <row r="1337" spans="12:13" x14ac:dyDescent="0.2">
      <c r="L1337" s="5"/>
      <c r="M1337" s="5"/>
    </row>
    <row r="1338" spans="12:13" x14ac:dyDescent="0.2">
      <c r="L1338" s="5"/>
      <c r="M1338" s="5"/>
    </row>
    <row r="1339" spans="12:13" x14ac:dyDescent="0.2">
      <c r="L1339" s="5"/>
      <c r="M1339" s="5"/>
    </row>
    <row r="1340" spans="12:13" x14ac:dyDescent="0.2">
      <c r="L1340" s="5"/>
      <c r="M1340" s="5"/>
    </row>
    <row r="1341" spans="12:13" x14ac:dyDescent="0.2">
      <c r="L1341" s="5"/>
      <c r="M1341" s="5"/>
    </row>
    <row r="1342" spans="12:13" x14ac:dyDescent="0.2">
      <c r="L1342" s="5"/>
      <c r="M1342" s="5"/>
    </row>
    <row r="1343" spans="12:13" x14ac:dyDescent="0.2">
      <c r="L1343" s="5"/>
      <c r="M1343" s="5"/>
    </row>
    <row r="1344" spans="12:13" x14ac:dyDescent="0.2">
      <c r="L1344" s="5"/>
      <c r="M1344" s="5"/>
    </row>
    <row r="1345" spans="12:13" x14ac:dyDescent="0.2">
      <c r="L1345" s="5"/>
      <c r="M1345" s="5"/>
    </row>
    <row r="1346" spans="12:13" x14ac:dyDescent="0.2">
      <c r="L1346" s="5"/>
      <c r="M1346" s="5"/>
    </row>
    <row r="1347" spans="12:13" x14ac:dyDescent="0.2">
      <c r="L1347" s="5"/>
      <c r="M1347" s="5"/>
    </row>
    <row r="1348" spans="12:13" x14ac:dyDescent="0.2">
      <c r="L1348" s="5"/>
      <c r="M1348" s="5"/>
    </row>
    <row r="1349" spans="12:13" x14ac:dyDescent="0.2">
      <c r="L1349" s="5"/>
      <c r="M1349" s="5"/>
    </row>
    <row r="1350" spans="12:13" x14ac:dyDescent="0.2">
      <c r="L1350" s="5"/>
      <c r="M1350" s="5"/>
    </row>
    <row r="1351" spans="12:13" x14ac:dyDescent="0.2">
      <c r="L1351" s="5"/>
      <c r="M1351" s="5"/>
    </row>
    <row r="1352" spans="12:13" x14ac:dyDescent="0.2">
      <c r="L1352" s="5"/>
      <c r="M1352" s="5"/>
    </row>
    <row r="1353" spans="12:13" x14ac:dyDescent="0.2">
      <c r="L1353" s="5"/>
      <c r="M1353" s="5"/>
    </row>
    <row r="1354" spans="12:13" x14ac:dyDescent="0.2">
      <c r="L1354" s="5"/>
      <c r="M1354" s="5"/>
    </row>
    <row r="1355" spans="12:13" x14ac:dyDescent="0.2">
      <c r="L1355" s="5"/>
      <c r="M1355" s="5"/>
    </row>
    <row r="1356" spans="12:13" x14ac:dyDescent="0.2">
      <c r="L1356" s="5"/>
      <c r="M1356" s="5"/>
    </row>
    <row r="1357" spans="12:13" x14ac:dyDescent="0.2">
      <c r="L1357" s="5"/>
      <c r="M1357" s="5"/>
    </row>
    <row r="1358" spans="12:13" x14ac:dyDescent="0.2">
      <c r="L1358" s="5"/>
      <c r="M1358" s="5"/>
    </row>
    <row r="1359" spans="12:13" x14ac:dyDescent="0.2">
      <c r="L1359" s="5"/>
      <c r="M1359" s="5"/>
    </row>
    <row r="1360" spans="12:13" x14ac:dyDescent="0.2">
      <c r="L1360" s="5"/>
      <c r="M1360" s="5"/>
    </row>
    <row r="1361" spans="12:13" x14ac:dyDescent="0.2">
      <c r="L1361" s="5"/>
      <c r="M1361" s="5"/>
    </row>
    <row r="1362" spans="12:13" x14ac:dyDescent="0.2">
      <c r="L1362" s="5"/>
      <c r="M1362" s="5"/>
    </row>
    <row r="1363" spans="12:13" x14ac:dyDescent="0.2">
      <c r="L1363" s="5"/>
      <c r="M1363" s="5"/>
    </row>
    <row r="1364" spans="12:13" x14ac:dyDescent="0.2">
      <c r="L1364" s="5"/>
      <c r="M1364" s="5"/>
    </row>
    <row r="1365" spans="12:13" x14ac:dyDescent="0.2">
      <c r="L1365" s="5"/>
      <c r="M1365" s="5"/>
    </row>
    <row r="1366" spans="12:13" x14ac:dyDescent="0.2">
      <c r="L1366" s="5"/>
      <c r="M1366" s="5"/>
    </row>
    <row r="1367" spans="12:13" x14ac:dyDescent="0.2">
      <c r="L1367" s="5"/>
      <c r="M1367" s="5"/>
    </row>
    <row r="1368" spans="12:13" x14ac:dyDescent="0.2">
      <c r="L1368" s="5"/>
      <c r="M1368" s="5"/>
    </row>
    <row r="1369" spans="12:13" x14ac:dyDescent="0.2">
      <c r="L1369" s="5"/>
      <c r="M1369" s="5"/>
    </row>
    <row r="1370" spans="12:13" x14ac:dyDescent="0.2">
      <c r="L1370" s="5"/>
      <c r="M1370" s="5"/>
    </row>
    <row r="1371" spans="12:13" x14ac:dyDescent="0.2">
      <c r="L1371" s="5"/>
      <c r="M1371" s="5"/>
    </row>
    <row r="1372" spans="12:13" x14ac:dyDescent="0.2">
      <c r="L1372" s="5"/>
      <c r="M1372" s="5"/>
    </row>
    <row r="1373" spans="12:13" x14ac:dyDescent="0.2">
      <c r="L1373" s="5"/>
      <c r="M1373" s="5"/>
    </row>
    <row r="1374" spans="12:13" x14ac:dyDescent="0.2">
      <c r="L1374" s="5"/>
      <c r="M1374" s="5"/>
    </row>
    <row r="1375" spans="12:13" x14ac:dyDescent="0.2">
      <c r="L1375" s="5"/>
      <c r="M1375" s="5"/>
    </row>
    <row r="1376" spans="12:13" x14ac:dyDescent="0.2">
      <c r="L1376" s="5"/>
      <c r="M1376" s="5"/>
    </row>
    <row r="1377" spans="12:13" x14ac:dyDescent="0.2">
      <c r="L1377" s="5"/>
      <c r="M1377" s="5"/>
    </row>
    <row r="1378" spans="12:13" x14ac:dyDescent="0.2">
      <c r="L1378" s="5"/>
      <c r="M1378" s="5"/>
    </row>
    <row r="1379" spans="12:13" x14ac:dyDescent="0.2">
      <c r="L1379" s="5"/>
      <c r="M1379" s="5"/>
    </row>
    <row r="1380" spans="12:13" x14ac:dyDescent="0.2">
      <c r="L1380" s="5"/>
      <c r="M1380" s="5"/>
    </row>
    <row r="1381" spans="12:13" x14ac:dyDescent="0.2">
      <c r="L1381" s="5"/>
      <c r="M1381" s="5"/>
    </row>
    <row r="1382" spans="12:13" x14ac:dyDescent="0.2">
      <c r="L1382" s="5"/>
      <c r="M1382" s="5"/>
    </row>
    <row r="1383" spans="12:13" x14ac:dyDescent="0.2">
      <c r="L1383" s="5"/>
      <c r="M1383" s="5"/>
    </row>
    <row r="1384" spans="12:13" x14ac:dyDescent="0.2">
      <c r="L1384" s="5"/>
      <c r="M1384" s="5"/>
    </row>
    <row r="1385" spans="12:13" x14ac:dyDescent="0.2">
      <c r="L1385" s="5"/>
      <c r="M1385" s="5"/>
    </row>
    <row r="1386" spans="12:13" x14ac:dyDescent="0.2">
      <c r="L1386" s="5"/>
      <c r="M1386" s="5"/>
    </row>
    <row r="1387" spans="12:13" x14ac:dyDescent="0.2">
      <c r="L1387" s="5"/>
      <c r="M1387" s="5"/>
    </row>
    <row r="1388" spans="12:13" x14ac:dyDescent="0.2">
      <c r="L1388" s="5"/>
      <c r="M1388" s="5"/>
    </row>
    <row r="1389" spans="12:13" x14ac:dyDescent="0.2">
      <c r="L1389" s="5"/>
      <c r="M1389" s="5"/>
    </row>
    <row r="1390" spans="12:13" x14ac:dyDescent="0.2">
      <c r="L1390" s="5"/>
      <c r="M1390" s="5"/>
    </row>
    <row r="1391" spans="12:13" x14ac:dyDescent="0.2">
      <c r="L1391" s="5"/>
      <c r="M1391" s="5"/>
    </row>
    <row r="1392" spans="12:13" x14ac:dyDescent="0.2">
      <c r="L1392" s="5"/>
      <c r="M1392" s="5"/>
    </row>
    <row r="1393" spans="12:13" x14ac:dyDescent="0.2">
      <c r="L1393" s="5"/>
      <c r="M1393" s="5"/>
    </row>
    <row r="1394" spans="12:13" x14ac:dyDescent="0.2">
      <c r="L1394" s="5"/>
      <c r="M1394" s="5"/>
    </row>
    <row r="1395" spans="12:13" x14ac:dyDescent="0.2">
      <c r="L1395" s="5"/>
      <c r="M1395" s="5"/>
    </row>
    <row r="1396" spans="12:13" x14ac:dyDescent="0.2">
      <c r="L1396" s="5"/>
      <c r="M1396" s="5"/>
    </row>
    <row r="1397" spans="12:13" x14ac:dyDescent="0.2">
      <c r="L1397" s="5"/>
      <c r="M1397" s="5"/>
    </row>
    <row r="1398" spans="12:13" x14ac:dyDescent="0.2">
      <c r="L1398" s="5"/>
      <c r="M1398" s="5"/>
    </row>
    <row r="1399" spans="12:13" x14ac:dyDescent="0.2">
      <c r="L1399" s="5"/>
      <c r="M1399" s="5"/>
    </row>
    <row r="1400" spans="12:13" x14ac:dyDescent="0.2">
      <c r="L1400" s="5"/>
      <c r="M1400" s="5"/>
    </row>
    <row r="1401" spans="12:13" x14ac:dyDescent="0.2">
      <c r="L1401" s="5"/>
      <c r="M1401" s="5"/>
    </row>
    <row r="1402" spans="12:13" x14ac:dyDescent="0.2">
      <c r="L1402" s="5"/>
      <c r="M1402" s="5"/>
    </row>
    <row r="1403" spans="12:13" x14ac:dyDescent="0.2">
      <c r="L1403" s="5"/>
      <c r="M1403" s="5"/>
    </row>
    <row r="1404" spans="12:13" x14ac:dyDescent="0.2">
      <c r="L1404" s="5"/>
      <c r="M1404" s="5"/>
    </row>
    <row r="1405" spans="12:13" x14ac:dyDescent="0.2">
      <c r="L1405" s="5"/>
      <c r="M1405" s="5"/>
    </row>
    <row r="1406" spans="12:13" x14ac:dyDescent="0.2">
      <c r="L1406" s="5"/>
      <c r="M1406" s="5"/>
    </row>
    <row r="1407" spans="12:13" x14ac:dyDescent="0.2">
      <c r="L1407" s="5"/>
      <c r="M1407" s="5"/>
    </row>
    <row r="1408" spans="12:13" x14ac:dyDescent="0.2">
      <c r="L1408" s="5"/>
      <c r="M1408" s="5"/>
    </row>
    <row r="1409" spans="12:13" x14ac:dyDescent="0.2">
      <c r="L1409" s="5"/>
      <c r="M1409" s="5"/>
    </row>
    <row r="1410" spans="12:13" x14ac:dyDescent="0.2">
      <c r="L1410" s="5"/>
      <c r="M1410" s="5"/>
    </row>
    <row r="1411" spans="12:13" x14ac:dyDescent="0.2">
      <c r="L1411" s="5"/>
      <c r="M1411" s="5"/>
    </row>
    <row r="1412" spans="12:13" x14ac:dyDescent="0.2">
      <c r="L1412" s="5"/>
      <c r="M1412" s="5"/>
    </row>
    <row r="1413" spans="12:13" x14ac:dyDescent="0.2">
      <c r="L1413" s="5"/>
      <c r="M1413" s="5"/>
    </row>
    <row r="1414" spans="12:13" x14ac:dyDescent="0.2">
      <c r="L1414" s="5"/>
      <c r="M1414" s="5"/>
    </row>
    <row r="1415" spans="12:13" x14ac:dyDescent="0.2">
      <c r="L1415" s="5"/>
      <c r="M1415" s="5"/>
    </row>
    <row r="1416" spans="12:13" x14ac:dyDescent="0.2">
      <c r="L1416" s="5"/>
      <c r="M1416" s="5"/>
    </row>
    <row r="1417" spans="12:13" x14ac:dyDescent="0.2">
      <c r="L1417" s="5"/>
      <c r="M1417" s="5"/>
    </row>
    <row r="1418" spans="12:13" x14ac:dyDescent="0.2">
      <c r="L1418" s="5"/>
      <c r="M1418" s="5"/>
    </row>
    <row r="1419" spans="12:13" x14ac:dyDescent="0.2">
      <c r="L1419" s="5"/>
      <c r="M1419" s="5"/>
    </row>
    <row r="1420" spans="12:13" x14ac:dyDescent="0.2">
      <c r="L1420" s="5"/>
      <c r="M1420" s="5"/>
    </row>
    <row r="1421" spans="12:13" x14ac:dyDescent="0.2">
      <c r="L1421" s="5"/>
      <c r="M1421" s="5"/>
    </row>
    <row r="1422" spans="12:13" x14ac:dyDescent="0.2">
      <c r="L1422" s="5"/>
      <c r="M1422" s="5"/>
    </row>
    <row r="1423" spans="12:13" x14ac:dyDescent="0.2">
      <c r="L1423" s="5"/>
      <c r="M1423" s="5"/>
    </row>
    <row r="1424" spans="12:13" x14ac:dyDescent="0.2">
      <c r="L1424" s="5"/>
      <c r="M1424" s="5"/>
    </row>
    <row r="1425" spans="12:13" x14ac:dyDescent="0.2">
      <c r="L1425" s="5"/>
      <c r="M1425" s="5"/>
    </row>
    <row r="1426" spans="12:13" x14ac:dyDescent="0.2">
      <c r="L1426" s="5"/>
      <c r="M1426" s="5"/>
    </row>
    <row r="1427" spans="12:13" x14ac:dyDescent="0.2">
      <c r="L1427" s="5"/>
      <c r="M1427" s="5"/>
    </row>
    <row r="1428" spans="12:13" x14ac:dyDescent="0.2">
      <c r="L1428" s="5"/>
      <c r="M1428" s="5"/>
    </row>
    <row r="1429" spans="12:13" x14ac:dyDescent="0.2">
      <c r="L1429" s="5"/>
      <c r="M1429" s="5"/>
    </row>
    <row r="1430" spans="12:13" x14ac:dyDescent="0.2">
      <c r="L1430" s="5"/>
      <c r="M1430" s="5"/>
    </row>
    <row r="1431" spans="12:13" x14ac:dyDescent="0.2">
      <c r="L1431" s="5"/>
      <c r="M1431" s="5"/>
    </row>
    <row r="1432" spans="12:13" x14ac:dyDescent="0.2">
      <c r="L1432" s="5"/>
      <c r="M1432" s="5"/>
    </row>
    <row r="1433" spans="12:13" x14ac:dyDescent="0.2">
      <c r="L1433" s="5"/>
      <c r="M1433" s="5"/>
    </row>
    <row r="1434" spans="12:13" x14ac:dyDescent="0.2">
      <c r="L1434" s="5"/>
      <c r="M1434" s="5"/>
    </row>
    <row r="1435" spans="12:13" x14ac:dyDescent="0.2">
      <c r="L1435" s="5"/>
      <c r="M1435" s="5"/>
    </row>
    <row r="1436" spans="12:13" x14ac:dyDescent="0.2">
      <c r="L1436" s="5"/>
      <c r="M1436" s="5"/>
    </row>
    <row r="1437" spans="12:13" x14ac:dyDescent="0.2">
      <c r="L1437" s="5"/>
      <c r="M1437" s="5"/>
    </row>
    <row r="1438" spans="12:13" x14ac:dyDescent="0.2">
      <c r="L1438" s="5"/>
      <c r="M1438" s="5"/>
    </row>
    <row r="1439" spans="12:13" x14ac:dyDescent="0.2">
      <c r="L1439" s="5"/>
      <c r="M1439" s="5"/>
    </row>
    <row r="1440" spans="12:13" x14ac:dyDescent="0.2">
      <c r="L1440" s="5"/>
      <c r="M1440" s="5"/>
    </row>
    <row r="1441" spans="12:13" x14ac:dyDescent="0.2">
      <c r="L1441" s="5"/>
      <c r="M1441" s="5"/>
    </row>
    <row r="1442" spans="12:13" x14ac:dyDescent="0.2">
      <c r="L1442" s="5"/>
      <c r="M1442" s="5"/>
    </row>
    <row r="1443" spans="12:13" x14ac:dyDescent="0.2">
      <c r="L1443" s="5"/>
      <c r="M1443" s="5"/>
    </row>
    <row r="1444" spans="12:13" x14ac:dyDescent="0.2">
      <c r="L1444" s="5"/>
      <c r="M1444" s="5"/>
    </row>
    <row r="1445" spans="12:13" x14ac:dyDescent="0.2">
      <c r="L1445" s="5"/>
      <c r="M1445" s="5"/>
    </row>
    <row r="1446" spans="12:13" x14ac:dyDescent="0.2">
      <c r="L1446" s="5"/>
      <c r="M1446" s="5"/>
    </row>
    <row r="1447" spans="12:13" x14ac:dyDescent="0.2">
      <c r="L1447" s="5"/>
      <c r="M1447" s="5"/>
    </row>
    <row r="1448" spans="12:13" x14ac:dyDescent="0.2">
      <c r="L1448" s="5"/>
      <c r="M1448" s="5"/>
    </row>
    <row r="1449" spans="12:13" x14ac:dyDescent="0.2">
      <c r="L1449" s="5"/>
      <c r="M1449" s="5"/>
    </row>
    <row r="1450" spans="12:13" x14ac:dyDescent="0.2">
      <c r="L1450" s="5"/>
      <c r="M1450" s="5"/>
    </row>
    <row r="1451" spans="12:13" x14ac:dyDescent="0.2">
      <c r="L1451" s="5"/>
      <c r="M1451" s="5"/>
    </row>
    <row r="1452" spans="12:13" x14ac:dyDescent="0.2">
      <c r="L1452" s="5"/>
      <c r="M1452" s="5"/>
    </row>
    <row r="1453" spans="12:13" x14ac:dyDescent="0.2">
      <c r="L1453" s="5"/>
      <c r="M1453" s="5"/>
    </row>
    <row r="1454" spans="12:13" x14ac:dyDescent="0.2">
      <c r="L1454" s="5"/>
      <c r="M1454" s="5"/>
    </row>
    <row r="1455" spans="12:13" x14ac:dyDescent="0.2">
      <c r="L1455" s="5"/>
      <c r="M1455" s="5"/>
    </row>
    <row r="1456" spans="12:13" x14ac:dyDescent="0.2">
      <c r="L1456" s="5"/>
      <c r="M1456" s="5"/>
    </row>
    <row r="1457" spans="12:13" x14ac:dyDescent="0.2">
      <c r="L1457" s="5"/>
      <c r="M1457" s="5"/>
    </row>
    <row r="1458" spans="12:13" x14ac:dyDescent="0.2">
      <c r="L1458" s="5"/>
      <c r="M1458" s="5"/>
    </row>
    <row r="1459" spans="12:13" x14ac:dyDescent="0.2">
      <c r="L1459" s="5"/>
      <c r="M1459" s="5"/>
    </row>
    <row r="1460" spans="12:13" x14ac:dyDescent="0.2">
      <c r="L1460" s="5"/>
      <c r="M1460" s="5"/>
    </row>
    <row r="1461" spans="12:13" x14ac:dyDescent="0.2">
      <c r="L1461" s="5"/>
      <c r="M1461" s="5"/>
    </row>
    <row r="1462" spans="12:13" x14ac:dyDescent="0.2">
      <c r="L1462" s="5"/>
      <c r="M1462" s="5"/>
    </row>
    <row r="1463" spans="12:13" x14ac:dyDescent="0.2">
      <c r="L1463" s="5"/>
      <c r="M1463" s="5"/>
    </row>
    <row r="1464" spans="12:13" x14ac:dyDescent="0.2">
      <c r="L1464" s="5"/>
      <c r="M1464" s="5"/>
    </row>
    <row r="1465" spans="12:13" x14ac:dyDescent="0.2">
      <c r="L1465" s="5"/>
      <c r="M1465" s="5"/>
    </row>
    <row r="1466" spans="12:13" x14ac:dyDescent="0.2">
      <c r="L1466" s="5"/>
      <c r="M1466" s="5"/>
    </row>
    <row r="1467" spans="12:13" x14ac:dyDescent="0.2">
      <c r="L1467" s="5"/>
      <c r="M1467" s="5"/>
    </row>
    <row r="1468" spans="12:13" x14ac:dyDescent="0.2">
      <c r="L1468" s="5"/>
      <c r="M1468" s="5"/>
    </row>
    <row r="1469" spans="12:13" x14ac:dyDescent="0.2">
      <c r="L1469" s="5"/>
      <c r="M1469" s="5"/>
    </row>
    <row r="1470" spans="12:13" x14ac:dyDescent="0.2">
      <c r="L1470" s="5"/>
      <c r="M1470" s="5"/>
    </row>
    <row r="1471" spans="12:13" x14ac:dyDescent="0.2">
      <c r="L1471" s="5"/>
      <c r="M1471" s="5"/>
    </row>
    <row r="1472" spans="12:13" x14ac:dyDescent="0.2">
      <c r="L1472" s="5"/>
      <c r="M1472" s="5"/>
    </row>
    <row r="1473" spans="12:13" x14ac:dyDescent="0.2">
      <c r="L1473" s="5"/>
      <c r="M1473" s="5"/>
    </row>
    <row r="1474" spans="12:13" x14ac:dyDescent="0.2">
      <c r="L1474" s="5"/>
      <c r="M1474" s="5"/>
    </row>
    <row r="1475" spans="12:13" x14ac:dyDescent="0.2">
      <c r="L1475" s="5"/>
      <c r="M1475" s="5"/>
    </row>
    <row r="1476" spans="12:13" x14ac:dyDescent="0.2">
      <c r="L1476" s="5"/>
      <c r="M1476" s="5"/>
    </row>
    <row r="1477" spans="12:13" x14ac:dyDescent="0.2">
      <c r="L1477" s="5"/>
      <c r="M1477" s="5"/>
    </row>
    <row r="1478" spans="12:13" x14ac:dyDescent="0.2">
      <c r="L1478" s="5"/>
      <c r="M1478" s="5"/>
    </row>
    <row r="1479" spans="12:13" x14ac:dyDescent="0.2">
      <c r="L1479" s="5"/>
      <c r="M1479" s="5"/>
    </row>
    <row r="1480" spans="12:13" x14ac:dyDescent="0.2">
      <c r="L1480" s="5"/>
      <c r="M1480" s="5"/>
    </row>
    <row r="1481" spans="12:13" x14ac:dyDescent="0.2">
      <c r="L1481" s="5"/>
      <c r="M1481" s="5"/>
    </row>
    <row r="1482" spans="12:13" x14ac:dyDescent="0.2">
      <c r="L1482" s="5"/>
      <c r="M1482" s="5"/>
    </row>
    <row r="1483" spans="12:13" x14ac:dyDescent="0.2">
      <c r="L1483" s="5"/>
      <c r="M1483" s="5"/>
    </row>
    <row r="1484" spans="12:13" x14ac:dyDescent="0.2">
      <c r="L1484" s="5"/>
      <c r="M1484" s="5"/>
    </row>
    <row r="1485" spans="12:13" x14ac:dyDescent="0.2">
      <c r="L1485" s="5"/>
      <c r="M1485" s="5"/>
    </row>
    <row r="1486" spans="12:13" x14ac:dyDescent="0.2">
      <c r="L1486" s="5"/>
      <c r="M1486" s="5"/>
    </row>
    <row r="1487" spans="12:13" x14ac:dyDescent="0.2">
      <c r="L1487" s="5"/>
      <c r="M1487" s="5"/>
    </row>
    <row r="1488" spans="12:13" x14ac:dyDescent="0.2">
      <c r="L1488" s="5"/>
      <c r="M1488" s="5"/>
    </row>
    <row r="1489" spans="12:13" x14ac:dyDescent="0.2">
      <c r="L1489" s="5"/>
      <c r="M1489" s="5"/>
    </row>
    <row r="1490" spans="12:13" x14ac:dyDescent="0.2">
      <c r="L1490" s="5"/>
      <c r="M1490" s="5"/>
    </row>
    <row r="1491" spans="12:13" x14ac:dyDescent="0.2">
      <c r="L1491" s="5"/>
      <c r="M1491" s="5"/>
    </row>
    <row r="1492" spans="12:13" x14ac:dyDescent="0.2">
      <c r="L1492" s="5"/>
      <c r="M1492" s="5"/>
    </row>
    <row r="1493" spans="12:13" x14ac:dyDescent="0.2">
      <c r="L1493" s="5"/>
      <c r="M1493" s="5"/>
    </row>
    <row r="1494" spans="12:13" x14ac:dyDescent="0.2">
      <c r="L1494" s="5"/>
      <c r="M1494" s="5"/>
    </row>
    <row r="1495" spans="12:13" x14ac:dyDescent="0.2">
      <c r="L1495" s="5"/>
      <c r="M1495" s="5"/>
    </row>
    <row r="1496" spans="12:13" x14ac:dyDescent="0.2">
      <c r="L1496" s="5"/>
      <c r="M1496" s="5"/>
    </row>
    <row r="1497" spans="12:13" x14ac:dyDescent="0.2">
      <c r="L1497" s="5"/>
      <c r="M1497" s="5"/>
    </row>
    <row r="1498" spans="12:13" x14ac:dyDescent="0.2">
      <c r="L1498" s="5"/>
      <c r="M1498" s="5"/>
    </row>
    <row r="1499" spans="12:13" x14ac:dyDescent="0.2">
      <c r="L1499" s="5"/>
      <c r="M1499" s="5"/>
    </row>
    <row r="1500" spans="12:13" x14ac:dyDescent="0.2">
      <c r="L1500" s="5"/>
      <c r="M1500" s="5"/>
    </row>
    <row r="1501" spans="12:13" x14ac:dyDescent="0.2">
      <c r="L1501" s="5"/>
      <c r="M1501" s="5"/>
    </row>
    <row r="1502" spans="12:13" x14ac:dyDescent="0.2">
      <c r="L1502" s="5"/>
      <c r="M1502" s="5"/>
    </row>
    <row r="1503" spans="12:13" x14ac:dyDescent="0.2">
      <c r="L1503" s="5"/>
      <c r="M1503" s="5"/>
    </row>
    <row r="1504" spans="12:13" x14ac:dyDescent="0.2">
      <c r="L1504" s="5"/>
      <c r="M1504" s="5"/>
    </row>
    <row r="1505" spans="12:13" x14ac:dyDescent="0.2">
      <c r="L1505" s="5"/>
      <c r="M1505" s="5"/>
    </row>
    <row r="1506" spans="12:13" x14ac:dyDescent="0.2">
      <c r="L1506" s="5"/>
      <c r="M1506" s="5"/>
    </row>
    <row r="1507" spans="12:13" x14ac:dyDescent="0.2">
      <c r="L1507" s="5"/>
      <c r="M1507" s="5"/>
    </row>
    <row r="1508" spans="12:13" x14ac:dyDescent="0.2">
      <c r="L1508" s="5"/>
      <c r="M1508" s="5"/>
    </row>
    <row r="1509" spans="12:13" x14ac:dyDescent="0.2">
      <c r="L1509" s="5"/>
      <c r="M1509" s="5"/>
    </row>
    <row r="1510" spans="12:13" x14ac:dyDescent="0.2">
      <c r="L1510" s="5"/>
      <c r="M1510" s="5"/>
    </row>
    <row r="1511" spans="12:13" x14ac:dyDescent="0.2">
      <c r="L1511" s="5"/>
      <c r="M1511" s="5"/>
    </row>
    <row r="1512" spans="12:13" x14ac:dyDescent="0.2">
      <c r="L1512" s="5"/>
      <c r="M1512" s="5"/>
    </row>
    <row r="1513" spans="12:13" x14ac:dyDescent="0.2">
      <c r="L1513" s="5"/>
      <c r="M1513" s="5"/>
    </row>
    <row r="1514" spans="12:13" x14ac:dyDescent="0.2">
      <c r="L1514" s="5"/>
      <c r="M1514" s="5"/>
    </row>
    <row r="1515" spans="12:13" x14ac:dyDescent="0.2">
      <c r="L1515" s="5"/>
      <c r="M1515" s="5"/>
    </row>
    <row r="1516" spans="12:13" x14ac:dyDescent="0.2">
      <c r="L1516" s="5"/>
      <c r="M1516" s="5"/>
    </row>
    <row r="1517" spans="12:13" x14ac:dyDescent="0.2">
      <c r="L1517" s="5"/>
      <c r="M1517" s="5"/>
    </row>
    <row r="1518" spans="12:13" x14ac:dyDescent="0.2">
      <c r="L1518" s="5"/>
      <c r="M1518" s="5"/>
    </row>
    <row r="1519" spans="12:13" x14ac:dyDescent="0.2">
      <c r="L1519" s="5"/>
      <c r="M1519" s="5"/>
    </row>
    <row r="1520" spans="12:13" x14ac:dyDescent="0.2">
      <c r="L1520" s="5"/>
      <c r="M1520" s="5"/>
    </row>
    <row r="1521" spans="12:13" x14ac:dyDescent="0.2">
      <c r="L1521" s="5"/>
      <c r="M1521" s="5"/>
    </row>
    <row r="1522" spans="12:13" x14ac:dyDescent="0.2">
      <c r="L1522" s="5"/>
      <c r="M1522" s="5"/>
    </row>
    <row r="1523" spans="12:13" x14ac:dyDescent="0.2">
      <c r="L1523" s="5"/>
      <c r="M1523" s="5"/>
    </row>
    <row r="1524" spans="12:13" x14ac:dyDescent="0.2">
      <c r="L1524" s="5"/>
      <c r="M1524" s="5"/>
    </row>
    <row r="1525" spans="12:13" x14ac:dyDescent="0.2">
      <c r="L1525" s="5"/>
      <c r="M1525" s="5"/>
    </row>
    <row r="1526" spans="12:13" x14ac:dyDescent="0.2">
      <c r="L1526" s="5"/>
      <c r="M1526" s="5"/>
    </row>
    <row r="1527" spans="12:13" x14ac:dyDescent="0.2">
      <c r="L1527" s="5"/>
      <c r="M1527" s="5"/>
    </row>
    <row r="1528" spans="12:13" x14ac:dyDescent="0.2">
      <c r="L1528" s="5"/>
      <c r="M1528" s="5"/>
    </row>
    <row r="1529" spans="12:13" x14ac:dyDescent="0.2">
      <c r="L1529" s="5"/>
      <c r="M1529" s="5"/>
    </row>
    <row r="1530" spans="12:13" x14ac:dyDescent="0.2">
      <c r="L1530" s="5"/>
      <c r="M1530" s="5"/>
    </row>
    <row r="1531" spans="12:13" x14ac:dyDescent="0.2">
      <c r="L1531" s="5"/>
      <c r="M1531" s="5"/>
    </row>
    <row r="1532" spans="12:13" x14ac:dyDescent="0.2">
      <c r="L1532" s="5"/>
      <c r="M1532" s="5"/>
    </row>
    <row r="1533" spans="12:13" x14ac:dyDescent="0.2">
      <c r="L1533" s="5"/>
      <c r="M1533" s="5"/>
    </row>
    <row r="1534" spans="12:13" x14ac:dyDescent="0.2">
      <c r="L1534" s="5"/>
      <c r="M1534" s="5"/>
    </row>
    <row r="1535" spans="12:13" x14ac:dyDescent="0.2">
      <c r="L1535" s="5"/>
      <c r="M1535" s="5"/>
    </row>
    <row r="1536" spans="12:13" x14ac:dyDescent="0.2">
      <c r="L1536" s="5"/>
      <c r="M1536" s="5"/>
    </row>
    <row r="1537" spans="12:13" x14ac:dyDescent="0.2">
      <c r="L1537" s="5"/>
      <c r="M1537" s="5"/>
    </row>
    <row r="1538" spans="12:13" x14ac:dyDescent="0.2">
      <c r="L1538" s="5"/>
      <c r="M1538" s="5"/>
    </row>
    <row r="1539" spans="12:13" x14ac:dyDescent="0.2">
      <c r="L1539" s="5"/>
      <c r="M1539" s="5"/>
    </row>
    <row r="1540" spans="12:13" x14ac:dyDescent="0.2">
      <c r="L1540" s="5"/>
      <c r="M1540" s="5"/>
    </row>
    <row r="1541" spans="12:13" x14ac:dyDescent="0.2">
      <c r="L1541" s="5"/>
      <c r="M1541" s="5"/>
    </row>
    <row r="1542" spans="12:13" x14ac:dyDescent="0.2">
      <c r="L1542" s="5"/>
      <c r="M1542" s="5"/>
    </row>
    <row r="1543" spans="12:13" x14ac:dyDescent="0.2">
      <c r="L1543" s="5"/>
      <c r="M1543" s="5"/>
    </row>
    <row r="1544" spans="12:13" x14ac:dyDescent="0.2">
      <c r="L1544" s="5"/>
      <c r="M1544" s="5"/>
    </row>
    <row r="1545" spans="12:13" x14ac:dyDescent="0.2">
      <c r="L1545" s="5"/>
      <c r="M1545" s="5"/>
    </row>
    <row r="1546" spans="12:13" x14ac:dyDescent="0.2">
      <c r="L1546" s="5"/>
      <c r="M1546" s="5"/>
    </row>
    <row r="1547" spans="12:13" x14ac:dyDescent="0.2">
      <c r="L1547" s="5"/>
      <c r="M1547" s="5"/>
    </row>
    <row r="1548" spans="12:13" x14ac:dyDescent="0.2">
      <c r="L1548" s="5"/>
      <c r="M1548" s="5"/>
    </row>
    <row r="1549" spans="12:13" x14ac:dyDescent="0.2">
      <c r="L1549" s="5"/>
      <c r="M1549" s="5"/>
    </row>
    <row r="1550" spans="12:13" x14ac:dyDescent="0.2">
      <c r="L1550" s="5"/>
      <c r="M1550" s="5"/>
    </row>
    <row r="1551" spans="12:13" x14ac:dyDescent="0.2">
      <c r="L1551" s="5"/>
      <c r="M1551" s="5"/>
    </row>
    <row r="1552" spans="12:13" x14ac:dyDescent="0.2">
      <c r="L1552" s="5"/>
      <c r="M1552" s="5"/>
    </row>
    <row r="1553" spans="12:13" x14ac:dyDescent="0.2">
      <c r="L1553" s="5"/>
      <c r="M1553" s="5"/>
    </row>
    <row r="1554" spans="12:13" x14ac:dyDescent="0.2">
      <c r="L1554" s="5"/>
      <c r="M1554" s="5"/>
    </row>
    <row r="1555" spans="12:13" x14ac:dyDescent="0.2">
      <c r="L1555" s="5"/>
      <c r="M1555" s="5"/>
    </row>
    <row r="1556" spans="12:13" x14ac:dyDescent="0.2">
      <c r="L1556" s="5"/>
      <c r="M1556" s="5"/>
    </row>
    <row r="1557" spans="12:13" x14ac:dyDescent="0.2">
      <c r="L1557" s="5"/>
      <c r="M1557" s="5"/>
    </row>
    <row r="1558" spans="12:13" x14ac:dyDescent="0.2">
      <c r="L1558" s="5"/>
      <c r="M1558" s="5"/>
    </row>
    <row r="1559" spans="12:13" x14ac:dyDescent="0.2">
      <c r="L1559" s="5"/>
      <c r="M1559" s="5"/>
    </row>
    <row r="1560" spans="12:13" x14ac:dyDescent="0.2">
      <c r="L1560" s="5"/>
      <c r="M1560" s="5"/>
    </row>
    <row r="1561" spans="12:13" x14ac:dyDescent="0.2">
      <c r="L1561" s="5"/>
      <c r="M1561" s="5"/>
    </row>
    <row r="1562" spans="12:13" x14ac:dyDescent="0.2">
      <c r="L1562" s="5"/>
      <c r="M1562" s="5"/>
    </row>
    <row r="1563" spans="12:13" x14ac:dyDescent="0.2">
      <c r="L1563" s="5"/>
      <c r="M1563" s="5"/>
    </row>
    <row r="1564" spans="12:13" x14ac:dyDescent="0.2">
      <c r="L1564" s="5"/>
      <c r="M1564" s="5"/>
    </row>
    <row r="1565" spans="12:13" x14ac:dyDescent="0.2">
      <c r="L1565" s="5"/>
      <c r="M1565" s="5"/>
    </row>
    <row r="1566" spans="12:13" x14ac:dyDescent="0.2">
      <c r="L1566" s="5"/>
      <c r="M1566" s="5"/>
    </row>
    <row r="1567" spans="12:13" x14ac:dyDescent="0.2">
      <c r="L1567" s="5"/>
      <c r="M1567" s="5"/>
    </row>
    <row r="1568" spans="12:13" x14ac:dyDescent="0.2">
      <c r="L1568" s="5"/>
      <c r="M1568" s="5"/>
    </row>
    <row r="1569" spans="12:13" x14ac:dyDescent="0.2">
      <c r="L1569" s="5"/>
      <c r="M1569" s="5"/>
    </row>
    <row r="1570" spans="12:13" x14ac:dyDescent="0.2">
      <c r="L1570" s="5"/>
      <c r="M1570" s="5"/>
    </row>
    <row r="1571" spans="12:13" x14ac:dyDescent="0.2">
      <c r="L1571" s="5"/>
      <c r="M1571" s="5"/>
    </row>
    <row r="1572" spans="12:13" x14ac:dyDescent="0.2">
      <c r="L1572" s="5"/>
      <c r="M1572" s="5"/>
    </row>
    <row r="1573" spans="12:13" x14ac:dyDescent="0.2">
      <c r="L1573" s="5"/>
      <c r="M1573" s="5"/>
    </row>
    <row r="1574" spans="12:13" x14ac:dyDescent="0.2">
      <c r="L1574" s="5"/>
      <c r="M1574" s="5"/>
    </row>
    <row r="1575" spans="12:13" x14ac:dyDescent="0.2">
      <c r="L1575" s="5"/>
      <c r="M1575" s="5"/>
    </row>
    <row r="1576" spans="12:13" x14ac:dyDescent="0.2">
      <c r="L1576" s="5"/>
      <c r="M1576" s="5"/>
    </row>
    <row r="1577" spans="12:13" x14ac:dyDescent="0.2">
      <c r="L1577" s="5"/>
      <c r="M1577" s="5"/>
    </row>
    <row r="1578" spans="12:13" x14ac:dyDescent="0.2">
      <c r="L1578" s="5"/>
      <c r="M1578" s="5"/>
    </row>
    <row r="1579" spans="12:13" x14ac:dyDescent="0.2">
      <c r="L1579" s="5"/>
      <c r="M1579" s="5"/>
    </row>
    <row r="1580" spans="12:13" x14ac:dyDescent="0.2">
      <c r="L1580" s="5"/>
      <c r="M1580" s="5"/>
    </row>
    <row r="1581" spans="12:13" x14ac:dyDescent="0.2">
      <c r="L1581" s="5"/>
      <c r="M1581" s="5"/>
    </row>
    <row r="1582" spans="12:13" x14ac:dyDescent="0.2">
      <c r="L1582" s="5"/>
      <c r="M1582" s="5"/>
    </row>
    <row r="1583" spans="12:13" x14ac:dyDescent="0.2">
      <c r="L1583" s="5"/>
      <c r="M1583" s="5"/>
    </row>
    <row r="1584" spans="12:13" x14ac:dyDescent="0.2">
      <c r="L1584" s="5"/>
      <c r="M1584" s="5"/>
    </row>
    <row r="1585" spans="12:13" x14ac:dyDescent="0.2">
      <c r="L1585" s="5"/>
      <c r="M1585" s="5"/>
    </row>
    <row r="1586" spans="12:13" x14ac:dyDescent="0.2">
      <c r="L1586" s="5"/>
      <c r="M1586" s="5"/>
    </row>
    <row r="1587" spans="12:13" x14ac:dyDescent="0.2">
      <c r="L1587" s="5"/>
      <c r="M1587" s="5"/>
    </row>
    <row r="1588" spans="12:13" x14ac:dyDescent="0.2">
      <c r="L1588" s="5"/>
      <c r="M1588" s="5"/>
    </row>
    <row r="1589" spans="12:13" x14ac:dyDescent="0.2">
      <c r="L1589" s="5"/>
      <c r="M1589" s="5"/>
    </row>
    <row r="1590" spans="12:13" x14ac:dyDescent="0.2">
      <c r="L1590" s="5"/>
      <c r="M1590" s="5"/>
    </row>
    <row r="1591" spans="12:13" x14ac:dyDescent="0.2">
      <c r="L1591" s="5"/>
      <c r="M1591" s="5"/>
    </row>
    <row r="1592" spans="12:13" x14ac:dyDescent="0.2">
      <c r="L1592" s="5"/>
      <c r="M1592" s="5"/>
    </row>
    <row r="1593" spans="12:13" x14ac:dyDescent="0.2">
      <c r="L1593" s="5"/>
      <c r="M1593" s="5"/>
    </row>
    <row r="1594" spans="12:13" x14ac:dyDescent="0.2">
      <c r="L1594" s="5"/>
      <c r="M1594" s="5"/>
    </row>
    <row r="1595" spans="12:13" x14ac:dyDescent="0.2">
      <c r="L1595" s="5"/>
      <c r="M1595" s="5"/>
    </row>
    <row r="1596" spans="12:13" x14ac:dyDescent="0.2">
      <c r="L1596" s="5"/>
      <c r="M1596" s="5"/>
    </row>
    <row r="1597" spans="12:13" x14ac:dyDescent="0.2">
      <c r="L1597" s="5"/>
      <c r="M1597" s="5"/>
    </row>
    <row r="1598" spans="12:13" x14ac:dyDescent="0.2">
      <c r="L1598" s="5"/>
      <c r="M1598" s="5"/>
    </row>
    <row r="1599" spans="12:13" x14ac:dyDescent="0.2">
      <c r="L1599" s="5"/>
      <c r="M1599" s="5"/>
    </row>
    <row r="1600" spans="12:13" x14ac:dyDescent="0.2">
      <c r="L1600" s="5"/>
      <c r="M1600" s="5"/>
    </row>
    <row r="1601" spans="12:13" x14ac:dyDescent="0.2">
      <c r="L1601" s="5"/>
      <c r="M1601" s="5"/>
    </row>
    <row r="1602" spans="12:13" x14ac:dyDescent="0.2">
      <c r="L1602" s="5"/>
      <c r="M1602" s="5"/>
    </row>
    <row r="1603" spans="12:13" x14ac:dyDescent="0.2">
      <c r="L1603" s="5"/>
      <c r="M1603" s="5"/>
    </row>
    <row r="1604" spans="12:13" x14ac:dyDescent="0.2">
      <c r="L1604" s="5"/>
      <c r="M1604" s="5"/>
    </row>
    <row r="1605" spans="12:13" x14ac:dyDescent="0.2">
      <c r="L1605" s="5"/>
      <c r="M1605" s="5"/>
    </row>
    <row r="1606" spans="12:13" x14ac:dyDescent="0.2">
      <c r="L1606" s="5"/>
      <c r="M1606" s="5"/>
    </row>
    <row r="1607" spans="12:13" x14ac:dyDescent="0.2">
      <c r="L1607" s="5"/>
      <c r="M1607" s="5"/>
    </row>
    <row r="1608" spans="12:13" x14ac:dyDescent="0.2">
      <c r="L1608" s="5"/>
      <c r="M1608" s="5"/>
    </row>
    <row r="1609" spans="12:13" x14ac:dyDescent="0.2">
      <c r="L1609" s="5"/>
      <c r="M1609" s="5"/>
    </row>
    <row r="1610" spans="12:13" x14ac:dyDescent="0.2">
      <c r="L1610" s="5"/>
      <c r="M1610" s="5"/>
    </row>
    <row r="1611" spans="12:13" x14ac:dyDescent="0.2">
      <c r="L1611" s="5"/>
      <c r="M1611" s="5"/>
    </row>
    <row r="1612" spans="12:13" x14ac:dyDescent="0.2">
      <c r="L1612" s="5"/>
      <c r="M1612" s="5"/>
    </row>
    <row r="1613" spans="12:13" x14ac:dyDescent="0.2">
      <c r="L1613" s="5"/>
      <c r="M1613" s="5"/>
    </row>
    <row r="1614" spans="12:13" x14ac:dyDescent="0.2">
      <c r="L1614" s="5"/>
      <c r="M1614" s="5"/>
    </row>
    <row r="1615" spans="12:13" x14ac:dyDescent="0.2">
      <c r="L1615" s="5"/>
      <c r="M1615" s="5"/>
    </row>
    <row r="1616" spans="12:13" x14ac:dyDescent="0.2">
      <c r="L1616" s="5"/>
      <c r="M1616" s="5"/>
    </row>
    <row r="1617" spans="12:13" x14ac:dyDescent="0.2">
      <c r="L1617" s="5"/>
      <c r="M1617" s="5"/>
    </row>
    <row r="1618" spans="12:13" x14ac:dyDescent="0.2">
      <c r="L1618" s="5"/>
      <c r="M1618" s="5"/>
    </row>
    <row r="1619" spans="12:13" x14ac:dyDescent="0.2">
      <c r="L1619" s="5"/>
      <c r="M1619" s="5"/>
    </row>
    <row r="1620" spans="12:13" x14ac:dyDescent="0.2">
      <c r="L1620" s="5"/>
      <c r="M1620" s="5"/>
    </row>
    <row r="1621" spans="12:13" x14ac:dyDescent="0.2">
      <c r="L1621" s="5"/>
      <c r="M1621" s="5"/>
    </row>
    <row r="1622" spans="12:13" x14ac:dyDescent="0.2">
      <c r="L1622" s="5"/>
      <c r="M1622" s="5"/>
    </row>
    <row r="1623" spans="12:13" x14ac:dyDescent="0.2">
      <c r="L1623" s="5"/>
      <c r="M1623" s="5"/>
    </row>
    <row r="1624" spans="12:13" x14ac:dyDescent="0.2">
      <c r="L1624" s="5"/>
      <c r="M1624" s="5"/>
    </row>
    <row r="1625" spans="12:13" x14ac:dyDescent="0.2">
      <c r="L1625" s="5"/>
      <c r="M1625" s="5"/>
    </row>
    <row r="1626" spans="12:13" x14ac:dyDescent="0.2">
      <c r="L1626" s="5"/>
      <c r="M1626" s="5"/>
    </row>
    <row r="1627" spans="12:13" x14ac:dyDescent="0.2">
      <c r="L1627" s="5"/>
      <c r="M1627" s="5"/>
    </row>
    <row r="1628" spans="12:13" x14ac:dyDescent="0.2">
      <c r="L1628" s="5"/>
      <c r="M1628" s="5"/>
    </row>
    <row r="1629" spans="12:13" x14ac:dyDescent="0.2">
      <c r="L1629" s="5"/>
      <c r="M1629" s="5"/>
    </row>
    <row r="1630" spans="12:13" x14ac:dyDescent="0.2">
      <c r="L1630" s="5"/>
      <c r="M1630" s="5"/>
    </row>
    <row r="1631" spans="12:13" x14ac:dyDescent="0.2">
      <c r="L1631" s="5"/>
      <c r="M1631" s="5"/>
    </row>
    <row r="1632" spans="12:13" x14ac:dyDescent="0.2">
      <c r="L1632" s="5"/>
      <c r="M1632" s="5"/>
    </row>
    <row r="1633" spans="12:13" x14ac:dyDescent="0.2">
      <c r="L1633" s="5"/>
      <c r="M1633" s="5"/>
    </row>
    <row r="1634" spans="12:13" x14ac:dyDescent="0.2">
      <c r="L1634" s="5"/>
      <c r="M1634" s="5"/>
    </row>
    <row r="1635" spans="12:13" x14ac:dyDescent="0.2">
      <c r="L1635" s="5"/>
      <c r="M1635" s="5"/>
    </row>
    <row r="1636" spans="12:13" x14ac:dyDescent="0.2">
      <c r="L1636" s="5"/>
      <c r="M1636" s="5"/>
    </row>
    <row r="1637" spans="12:13" x14ac:dyDescent="0.2">
      <c r="L1637" s="5"/>
      <c r="M1637" s="5"/>
    </row>
    <row r="1638" spans="12:13" x14ac:dyDescent="0.2">
      <c r="L1638" s="5"/>
      <c r="M1638" s="5"/>
    </row>
    <row r="1639" spans="12:13" x14ac:dyDescent="0.2">
      <c r="L1639" s="5"/>
      <c r="M1639" s="5"/>
    </row>
    <row r="1640" spans="12:13" x14ac:dyDescent="0.2">
      <c r="L1640" s="5"/>
      <c r="M1640" s="5"/>
    </row>
    <row r="1641" spans="12:13" x14ac:dyDescent="0.2">
      <c r="L1641" s="5"/>
      <c r="M1641" s="5"/>
    </row>
    <row r="1642" spans="12:13" x14ac:dyDescent="0.2">
      <c r="L1642" s="5"/>
      <c r="M1642" s="5"/>
    </row>
    <row r="1643" spans="12:13" x14ac:dyDescent="0.2">
      <c r="L1643" s="5"/>
      <c r="M1643" s="5"/>
    </row>
    <row r="1644" spans="12:13" x14ac:dyDescent="0.2">
      <c r="L1644" s="5"/>
      <c r="M1644" s="5"/>
    </row>
    <row r="1645" spans="12:13" x14ac:dyDescent="0.2">
      <c r="L1645" s="5"/>
      <c r="M1645" s="5"/>
    </row>
    <row r="1646" spans="12:13" x14ac:dyDescent="0.2">
      <c r="L1646" s="5"/>
      <c r="M1646" s="5"/>
    </row>
    <row r="1647" spans="12:13" x14ac:dyDescent="0.2">
      <c r="L1647" s="5"/>
      <c r="M1647" s="5"/>
    </row>
    <row r="1648" spans="12:13" x14ac:dyDescent="0.2">
      <c r="L1648" s="5"/>
      <c r="M1648" s="5"/>
    </row>
    <row r="1649" spans="12:13" x14ac:dyDescent="0.2">
      <c r="L1649" s="5"/>
      <c r="M1649" s="5"/>
    </row>
    <row r="1650" spans="12:13" x14ac:dyDescent="0.2">
      <c r="L1650" s="5"/>
      <c r="M1650" s="5"/>
    </row>
    <row r="1651" spans="12:13" x14ac:dyDescent="0.2">
      <c r="L1651" s="5"/>
      <c r="M1651" s="5"/>
    </row>
    <row r="1652" spans="12:13" x14ac:dyDescent="0.2">
      <c r="L1652" s="5"/>
      <c r="M1652" s="5"/>
    </row>
    <row r="1653" spans="12:13" x14ac:dyDescent="0.2">
      <c r="L1653" s="5"/>
      <c r="M1653" s="5"/>
    </row>
    <row r="1654" spans="12:13" x14ac:dyDescent="0.2">
      <c r="L1654" s="5"/>
      <c r="M1654" s="5"/>
    </row>
    <row r="1655" spans="12:13" x14ac:dyDescent="0.2">
      <c r="L1655" s="5"/>
      <c r="M1655" s="5"/>
    </row>
    <row r="1656" spans="12:13" x14ac:dyDescent="0.2">
      <c r="L1656" s="5"/>
      <c r="M1656" s="5"/>
    </row>
    <row r="1657" spans="12:13" x14ac:dyDescent="0.2">
      <c r="L1657" s="5"/>
      <c r="M1657" s="5"/>
    </row>
    <row r="1658" spans="12:13" x14ac:dyDescent="0.2">
      <c r="L1658" s="5"/>
      <c r="M1658" s="5"/>
    </row>
    <row r="1659" spans="12:13" x14ac:dyDescent="0.2">
      <c r="L1659" s="5"/>
      <c r="M1659" s="5"/>
    </row>
    <row r="1660" spans="12:13" x14ac:dyDescent="0.2">
      <c r="L1660" s="5"/>
      <c r="M1660" s="5"/>
    </row>
    <row r="1661" spans="12:13" x14ac:dyDescent="0.2">
      <c r="L1661" s="5"/>
      <c r="M1661" s="5"/>
    </row>
    <row r="1662" spans="12:13" x14ac:dyDescent="0.2">
      <c r="L1662" s="5"/>
      <c r="M1662" s="5"/>
    </row>
    <row r="1663" spans="12:13" x14ac:dyDescent="0.2">
      <c r="L1663" s="5"/>
      <c r="M1663" s="5"/>
    </row>
    <row r="1664" spans="12:13" x14ac:dyDescent="0.2">
      <c r="L1664" s="5"/>
      <c r="M1664" s="5"/>
    </row>
    <row r="1665" spans="12:13" x14ac:dyDescent="0.2">
      <c r="L1665" s="5"/>
      <c r="M1665" s="5"/>
    </row>
    <row r="1666" spans="12:13" x14ac:dyDescent="0.2">
      <c r="L1666" s="5"/>
      <c r="M1666" s="5"/>
    </row>
    <row r="1667" spans="12:13" x14ac:dyDescent="0.2">
      <c r="L1667" s="5"/>
      <c r="M1667" s="5"/>
    </row>
    <row r="1668" spans="12:13" x14ac:dyDescent="0.2">
      <c r="L1668" s="5"/>
      <c r="M1668" s="5"/>
    </row>
    <row r="1669" spans="12:13" x14ac:dyDescent="0.2">
      <c r="L1669" s="5"/>
      <c r="M1669" s="5"/>
    </row>
    <row r="1670" spans="12:13" x14ac:dyDescent="0.2">
      <c r="L1670" s="5"/>
      <c r="M1670" s="5"/>
    </row>
    <row r="1671" spans="12:13" x14ac:dyDescent="0.2">
      <c r="L1671" s="5"/>
      <c r="M1671" s="5"/>
    </row>
    <row r="1672" spans="12:13" x14ac:dyDescent="0.2">
      <c r="L1672" s="5"/>
      <c r="M1672" s="5"/>
    </row>
    <row r="1673" spans="12:13" x14ac:dyDescent="0.2">
      <c r="L1673" s="5"/>
      <c r="M1673" s="5"/>
    </row>
    <row r="1674" spans="12:13" x14ac:dyDescent="0.2">
      <c r="L1674" s="5"/>
      <c r="M1674" s="5"/>
    </row>
    <row r="1675" spans="12:13" x14ac:dyDescent="0.2">
      <c r="L1675" s="5"/>
      <c r="M1675" s="5"/>
    </row>
    <row r="1676" spans="12:13" x14ac:dyDescent="0.2">
      <c r="L1676" s="5"/>
      <c r="M1676" s="5"/>
    </row>
    <row r="1677" spans="12:13" x14ac:dyDescent="0.2">
      <c r="L1677" s="5"/>
      <c r="M1677" s="5"/>
    </row>
    <row r="1678" spans="12:13" x14ac:dyDescent="0.2">
      <c r="L1678" s="5"/>
      <c r="M1678" s="5"/>
    </row>
    <row r="1679" spans="12:13" x14ac:dyDescent="0.2">
      <c r="L1679" s="5"/>
      <c r="M1679" s="5"/>
    </row>
    <row r="1680" spans="12:13" x14ac:dyDescent="0.2">
      <c r="L1680" s="5"/>
      <c r="M1680" s="5"/>
    </row>
    <row r="1681" spans="12:13" x14ac:dyDescent="0.2">
      <c r="L1681" s="5"/>
      <c r="M1681" s="5"/>
    </row>
    <row r="1682" spans="12:13" x14ac:dyDescent="0.2">
      <c r="L1682" s="5"/>
      <c r="M1682" s="5"/>
    </row>
    <row r="1683" spans="12:13" x14ac:dyDescent="0.2">
      <c r="L1683" s="5"/>
      <c r="M1683" s="5"/>
    </row>
    <row r="1684" spans="12:13" x14ac:dyDescent="0.2">
      <c r="L1684" s="5"/>
      <c r="M1684" s="5"/>
    </row>
    <row r="1685" spans="12:13" x14ac:dyDescent="0.2">
      <c r="L1685" s="5"/>
      <c r="M1685" s="5"/>
    </row>
    <row r="1686" spans="12:13" x14ac:dyDescent="0.2">
      <c r="L1686" s="5"/>
      <c r="M1686" s="5"/>
    </row>
    <row r="1687" spans="12:13" x14ac:dyDescent="0.2">
      <c r="L1687" s="5"/>
      <c r="M1687" s="5"/>
    </row>
    <row r="1688" spans="12:13" x14ac:dyDescent="0.2">
      <c r="L1688" s="5"/>
      <c r="M1688" s="5"/>
    </row>
    <row r="1689" spans="12:13" x14ac:dyDescent="0.2">
      <c r="L1689" s="5"/>
      <c r="M1689" s="5"/>
    </row>
    <row r="1690" spans="12:13" x14ac:dyDescent="0.2">
      <c r="L1690" s="5"/>
      <c r="M1690" s="5"/>
    </row>
    <row r="1691" spans="12:13" x14ac:dyDescent="0.2">
      <c r="L1691" s="5"/>
      <c r="M1691" s="5"/>
    </row>
    <row r="1692" spans="12:13" x14ac:dyDescent="0.2">
      <c r="L1692" s="5"/>
      <c r="M1692" s="5"/>
    </row>
    <row r="1693" spans="12:13" x14ac:dyDescent="0.2">
      <c r="L1693" s="5"/>
      <c r="M1693" s="5"/>
    </row>
    <row r="1694" spans="12:13" x14ac:dyDescent="0.2">
      <c r="L1694" s="5"/>
      <c r="M1694" s="5"/>
    </row>
    <row r="1695" spans="12:13" x14ac:dyDescent="0.2">
      <c r="L1695" s="5"/>
      <c r="M1695" s="5"/>
    </row>
    <row r="1696" spans="12:13" x14ac:dyDescent="0.2">
      <c r="L1696" s="5"/>
      <c r="M1696" s="5"/>
    </row>
    <row r="1697" spans="12:13" x14ac:dyDescent="0.2">
      <c r="L1697" s="5"/>
      <c r="M1697" s="5"/>
    </row>
    <row r="1698" spans="12:13" x14ac:dyDescent="0.2">
      <c r="L1698" s="5"/>
      <c r="M1698" s="5"/>
    </row>
    <row r="1699" spans="12:13" x14ac:dyDescent="0.2">
      <c r="L1699" s="5"/>
      <c r="M1699" s="5"/>
    </row>
    <row r="1700" spans="12:13" x14ac:dyDescent="0.2">
      <c r="L1700" s="5"/>
      <c r="M1700" s="5"/>
    </row>
    <row r="1701" spans="12:13" x14ac:dyDescent="0.2">
      <c r="L1701" s="5"/>
      <c r="M1701" s="5"/>
    </row>
    <row r="1702" spans="12:13" x14ac:dyDescent="0.2">
      <c r="L1702" s="5"/>
      <c r="M1702" s="5"/>
    </row>
    <row r="1703" spans="12:13" x14ac:dyDescent="0.2">
      <c r="L1703" s="5"/>
      <c r="M1703" s="5"/>
    </row>
    <row r="1704" spans="12:13" x14ac:dyDescent="0.2">
      <c r="L1704" s="5"/>
      <c r="M1704" s="5"/>
    </row>
    <row r="1705" spans="12:13" x14ac:dyDescent="0.2">
      <c r="L1705" s="5"/>
      <c r="M1705" s="5"/>
    </row>
    <row r="1706" spans="12:13" x14ac:dyDescent="0.2">
      <c r="L1706" s="5"/>
      <c r="M1706" s="5"/>
    </row>
    <row r="1707" spans="12:13" x14ac:dyDescent="0.2">
      <c r="L1707" s="5"/>
      <c r="M1707" s="5"/>
    </row>
    <row r="1708" spans="12:13" x14ac:dyDescent="0.2">
      <c r="L1708" s="5"/>
      <c r="M1708" s="5"/>
    </row>
    <row r="1709" spans="12:13" x14ac:dyDescent="0.2">
      <c r="L1709" s="5"/>
      <c r="M1709" s="5"/>
    </row>
    <row r="1710" spans="12:13" x14ac:dyDescent="0.2">
      <c r="L1710" s="5"/>
      <c r="M1710" s="5"/>
    </row>
    <row r="1711" spans="12:13" x14ac:dyDescent="0.2">
      <c r="L1711" s="5"/>
      <c r="M1711" s="5"/>
    </row>
    <row r="1712" spans="12:13" x14ac:dyDescent="0.2">
      <c r="L1712" s="5"/>
      <c r="M1712" s="5"/>
    </row>
    <row r="1713" spans="12:13" x14ac:dyDescent="0.2">
      <c r="L1713" s="5"/>
      <c r="M1713" s="5"/>
    </row>
    <row r="1714" spans="12:13" x14ac:dyDescent="0.2">
      <c r="L1714" s="5"/>
      <c r="M1714" s="5"/>
    </row>
    <row r="1715" spans="12:13" x14ac:dyDescent="0.2">
      <c r="L1715" s="5"/>
      <c r="M1715" s="5"/>
    </row>
    <row r="1716" spans="12:13" x14ac:dyDescent="0.2">
      <c r="L1716" s="5"/>
      <c r="M1716" s="5"/>
    </row>
    <row r="1717" spans="12:13" x14ac:dyDescent="0.2">
      <c r="L1717" s="5"/>
      <c r="M1717" s="5"/>
    </row>
    <row r="1718" spans="12:13" x14ac:dyDescent="0.2">
      <c r="L1718" s="5"/>
      <c r="M1718" s="5"/>
    </row>
    <row r="1719" spans="12:13" x14ac:dyDescent="0.2">
      <c r="L1719" s="5"/>
      <c r="M1719" s="5"/>
    </row>
    <row r="1720" spans="12:13" x14ac:dyDescent="0.2">
      <c r="L1720" s="5"/>
      <c r="M1720" s="5"/>
    </row>
    <row r="1721" spans="12:13" x14ac:dyDescent="0.2">
      <c r="L1721" s="5"/>
      <c r="M1721" s="5"/>
    </row>
    <row r="1722" spans="12:13" x14ac:dyDescent="0.2">
      <c r="L1722" s="5"/>
      <c r="M1722" s="5"/>
    </row>
    <row r="1723" spans="12:13" x14ac:dyDescent="0.2">
      <c r="L1723" s="5"/>
      <c r="M1723" s="5"/>
    </row>
    <row r="1724" spans="12:13" x14ac:dyDescent="0.2">
      <c r="L1724" s="5"/>
      <c r="M1724" s="5"/>
    </row>
    <row r="1725" spans="12:13" x14ac:dyDescent="0.2">
      <c r="L1725" s="5"/>
      <c r="M1725" s="5"/>
    </row>
    <row r="1726" spans="12:13" x14ac:dyDescent="0.2">
      <c r="L1726" s="5"/>
      <c r="M1726" s="5"/>
    </row>
    <row r="1727" spans="12:13" x14ac:dyDescent="0.2">
      <c r="L1727" s="5"/>
      <c r="M1727" s="5"/>
    </row>
    <row r="1728" spans="12:13" x14ac:dyDescent="0.2">
      <c r="L1728" s="5"/>
      <c r="M1728" s="5"/>
    </row>
    <row r="1729" spans="12:13" x14ac:dyDescent="0.2">
      <c r="L1729" s="5"/>
      <c r="M1729" s="5"/>
    </row>
    <row r="1730" spans="12:13" x14ac:dyDescent="0.2">
      <c r="L1730" s="5"/>
      <c r="M1730" s="5"/>
    </row>
    <row r="1731" spans="12:13" x14ac:dyDescent="0.2">
      <c r="L1731" s="5"/>
      <c r="M1731" s="5"/>
    </row>
    <row r="1732" spans="12:13" x14ac:dyDescent="0.2">
      <c r="L1732" s="5"/>
      <c r="M1732" s="5"/>
    </row>
    <row r="1733" spans="12:13" x14ac:dyDescent="0.2">
      <c r="L1733" s="5"/>
      <c r="M1733" s="5"/>
    </row>
    <row r="1734" spans="12:13" x14ac:dyDescent="0.2">
      <c r="L1734" s="5"/>
      <c r="M1734" s="5"/>
    </row>
    <row r="1735" spans="12:13" x14ac:dyDescent="0.2">
      <c r="L1735" s="5"/>
      <c r="M1735" s="5"/>
    </row>
    <row r="1736" spans="12:13" x14ac:dyDescent="0.2">
      <c r="L1736" s="5"/>
      <c r="M1736" s="5"/>
    </row>
    <row r="1737" spans="12:13" x14ac:dyDescent="0.2">
      <c r="L1737" s="5"/>
      <c r="M1737" s="5"/>
    </row>
    <row r="1738" spans="12:13" x14ac:dyDescent="0.2">
      <c r="L1738" s="5"/>
      <c r="M1738" s="5"/>
    </row>
    <row r="1739" spans="12:13" x14ac:dyDescent="0.2">
      <c r="L1739" s="5"/>
      <c r="M1739" s="5"/>
    </row>
    <row r="1740" spans="12:13" x14ac:dyDescent="0.2">
      <c r="L1740" s="5"/>
      <c r="M1740" s="5"/>
    </row>
    <row r="1741" spans="12:13" x14ac:dyDescent="0.2">
      <c r="L1741" s="5"/>
      <c r="M1741" s="5"/>
    </row>
    <row r="1742" spans="12:13" x14ac:dyDescent="0.2">
      <c r="L1742" s="5"/>
      <c r="M1742" s="5"/>
    </row>
    <row r="1743" spans="12:13" x14ac:dyDescent="0.2">
      <c r="L1743" s="5"/>
      <c r="M1743" s="5"/>
    </row>
    <row r="1744" spans="12:13" x14ac:dyDescent="0.2">
      <c r="L1744" s="5"/>
      <c r="M1744" s="5"/>
    </row>
    <row r="1745" spans="12:13" x14ac:dyDescent="0.2">
      <c r="L1745" s="5"/>
      <c r="M1745" s="5"/>
    </row>
    <row r="1746" spans="12:13" x14ac:dyDescent="0.2">
      <c r="L1746" s="5"/>
      <c r="M1746" s="5"/>
    </row>
    <row r="1747" spans="12:13" x14ac:dyDescent="0.2">
      <c r="L1747" s="5"/>
      <c r="M1747" s="5"/>
    </row>
    <row r="1748" spans="12:13" x14ac:dyDescent="0.2">
      <c r="L1748" s="5"/>
      <c r="M1748" s="5"/>
    </row>
    <row r="1749" spans="12:13" x14ac:dyDescent="0.2">
      <c r="L1749" s="5"/>
      <c r="M1749" s="5"/>
    </row>
    <row r="1750" spans="12:13" x14ac:dyDescent="0.2">
      <c r="L1750" s="5"/>
      <c r="M1750" s="5"/>
    </row>
    <row r="1751" spans="12:13" x14ac:dyDescent="0.2">
      <c r="L1751" s="5"/>
      <c r="M1751" s="5"/>
    </row>
    <row r="1752" spans="12:13" x14ac:dyDescent="0.2">
      <c r="L1752" s="5"/>
      <c r="M1752" s="5"/>
    </row>
    <row r="1753" spans="12:13" x14ac:dyDescent="0.2">
      <c r="L1753" s="5"/>
      <c r="M1753" s="5"/>
    </row>
    <row r="1754" spans="12:13" x14ac:dyDescent="0.2">
      <c r="L1754" s="5"/>
      <c r="M1754" s="5"/>
    </row>
    <row r="1755" spans="12:13" x14ac:dyDescent="0.2">
      <c r="L1755" s="5"/>
      <c r="M1755" s="5"/>
    </row>
    <row r="1756" spans="12:13" x14ac:dyDescent="0.2">
      <c r="L1756" s="5"/>
      <c r="M1756" s="5"/>
    </row>
    <row r="1757" spans="12:13" x14ac:dyDescent="0.2">
      <c r="L1757" s="5"/>
      <c r="M1757" s="5"/>
    </row>
    <row r="1758" spans="12:13" x14ac:dyDescent="0.2">
      <c r="L1758" s="5"/>
      <c r="M1758" s="5"/>
    </row>
    <row r="1759" spans="12:13" x14ac:dyDescent="0.2">
      <c r="L1759" s="5"/>
      <c r="M1759" s="5"/>
    </row>
    <row r="1760" spans="12:13" x14ac:dyDescent="0.2">
      <c r="L1760" s="5"/>
      <c r="M1760" s="5"/>
    </row>
    <row r="1761" spans="12:13" x14ac:dyDescent="0.2">
      <c r="L1761" s="5"/>
      <c r="M1761" s="5"/>
    </row>
    <row r="1762" spans="12:13" x14ac:dyDescent="0.2">
      <c r="L1762" s="5"/>
      <c r="M1762" s="5"/>
    </row>
    <row r="1763" spans="12:13" x14ac:dyDescent="0.2">
      <c r="L1763" s="5"/>
      <c r="M1763" s="5"/>
    </row>
    <row r="1764" spans="12:13" x14ac:dyDescent="0.2">
      <c r="L1764" s="5"/>
      <c r="M1764" s="5"/>
    </row>
    <row r="1765" spans="12:13" x14ac:dyDescent="0.2">
      <c r="L1765" s="5"/>
      <c r="M1765" s="5"/>
    </row>
    <row r="1766" spans="12:13" x14ac:dyDescent="0.2">
      <c r="L1766" s="5"/>
      <c r="M1766" s="5"/>
    </row>
    <row r="1767" spans="12:13" x14ac:dyDescent="0.2">
      <c r="L1767" s="5"/>
      <c r="M1767" s="5"/>
    </row>
    <row r="1768" spans="12:13" x14ac:dyDescent="0.2">
      <c r="L1768" s="5"/>
      <c r="M1768" s="5"/>
    </row>
    <row r="1769" spans="12:13" x14ac:dyDescent="0.2">
      <c r="L1769" s="5"/>
      <c r="M1769" s="5"/>
    </row>
    <row r="1770" spans="12:13" x14ac:dyDescent="0.2">
      <c r="L1770" s="5"/>
      <c r="M1770" s="5"/>
    </row>
    <row r="1771" spans="12:13" x14ac:dyDescent="0.2">
      <c r="L1771" s="5"/>
      <c r="M1771" s="5"/>
    </row>
    <row r="1772" spans="12:13" x14ac:dyDescent="0.2">
      <c r="L1772" s="5"/>
      <c r="M1772" s="5"/>
    </row>
    <row r="1773" spans="12:13" x14ac:dyDescent="0.2">
      <c r="L1773" s="5"/>
      <c r="M1773" s="5"/>
    </row>
    <row r="1774" spans="12:13" x14ac:dyDescent="0.2">
      <c r="L1774" s="5"/>
      <c r="M1774" s="5"/>
    </row>
    <row r="1775" spans="12:13" x14ac:dyDescent="0.2">
      <c r="L1775" s="5"/>
      <c r="M1775" s="5"/>
    </row>
    <row r="1776" spans="12:13" x14ac:dyDescent="0.2">
      <c r="L1776" s="5"/>
      <c r="M1776" s="5"/>
    </row>
    <row r="1777" spans="12:13" x14ac:dyDescent="0.2">
      <c r="L1777" s="5"/>
      <c r="M1777" s="5"/>
    </row>
    <row r="1778" spans="12:13" x14ac:dyDescent="0.2">
      <c r="L1778" s="5"/>
      <c r="M1778" s="5"/>
    </row>
    <row r="1779" spans="12:13" x14ac:dyDescent="0.2">
      <c r="L1779" s="5"/>
      <c r="M1779" s="5"/>
    </row>
    <row r="1780" spans="12:13" x14ac:dyDescent="0.2">
      <c r="L1780" s="5"/>
      <c r="M1780" s="5"/>
    </row>
    <row r="1781" spans="12:13" x14ac:dyDescent="0.2">
      <c r="L1781" s="5"/>
      <c r="M1781" s="5"/>
    </row>
    <row r="1782" spans="12:13" x14ac:dyDescent="0.2">
      <c r="L1782" s="5"/>
      <c r="M1782" s="5"/>
    </row>
    <row r="1783" spans="12:13" x14ac:dyDescent="0.2">
      <c r="L1783" s="5"/>
      <c r="M1783" s="5"/>
    </row>
    <row r="1784" spans="12:13" x14ac:dyDescent="0.2">
      <c r="L1784" s="5"/>
      <c r="M1784" s="5"/>
    </row>
    <row r="1785" spans="12:13" x14ac:dyDescent="0.2">
      <c r="L1785" s="5"/>
      <c r="M1785" s="5"/>
    </row>
    <row r="1786" spans="12:13" x14ac:dyDescent="0.2">
      <c r="L1786" s="5"/>
      <c r="M1786" s="5"/>
    </row>
    <row r="1787" spans="12:13" x14ac:dyDescent="0.2">
      <c r="L1787" s="5"/>
      <c r="M1787" s="5"/>
    </row>
    <row r="1788" spans="12:13" x14ac:dyDescent="0.2">
      <c r="L1788" s="5"/>
      <c r="M1788" s="5"/>
    </row>
    <row r="1789" spans="12:13" x14ac:dyDescent="0.2">
      <c r="L1789" s="5"/>
      <c r="M1789" s="5"/>
    </row>
    <row r="1790" spans="12:13" x14ac:dyDescent="0.2">
      <c r="L1790" s="5"/>
      <c r="M1790" s="5"/>
    </row>
    <row r="1791" spans="12:13" x14ac:dyDescent="0.2">
      <c r="L1791" s="5"/>
      <c r="M1791" s="5"/>
    </row>
    <row r="1792" spans="12:13" x14ac:dyDescent="0.2">
      <c r="L1792" s="5"/>
      <c r="M1792" s="5"/>
    </row>
    <row r="1793" spans="12:13" x14ac:dyDescent="0.2">
      <c r="L1793" s="5"/>
      <c r="M1793" s="5"/>
    </row>
    <row r="1794" spans="12:13" x14ac:dyDescent="0.2">
      <c r="L1794" s="5"/>
      <c r="M1794" s="5"/>
    </row>
    <row r="1795" spans="12:13" x14ac:dyDescent="0.2">
      <c r="L1795" s="5"/>
      <c r="M1795" s="5"/>
    </row>
    <row r="1796" spans="12:13" x14ac:dyDescent="0.2">
      <c r="L1796" s="5"/>
      <c r="M1796" s="5"/>
    </row>
    <row r="1797" spans="12:13" x14ac:dyDescent="0.2">
      <c r="L1797" s="5"/>
      <c r="M1797" s="5"/>
    </row>
    <row r="1798" spans="12:13" x14ac:dyDescent="0.2">
      <c r="L1798" s="5"/>
      <c r="M1798" s="5"/>
    </row>
    <row r="1799" spans="12:13" x14ac:dyDescent="0.2">
      <c r="L1799" s="5"/>
      <c r="M1799" s="5"/>
    </row>
    <row r="1800" spans="12:13" x14ac:dyDescent="0.2">
      <c r="L1800" s="5"/>
      <c r="M1800" s="5"/>
    </row>
    <row r="1801" spans="12:13" x14ac:dyDescent="0.2">
      <c r="L1801" s="5"/>
      <c r="M1801" s="5"/>
    </row>
    <row r="1802" spans="12:13" x14ac:dyDescent="0.2">
      <c r="L1802" s="5"/>
      <c r="M1802" s="5"/>
    </row>
    <row r="1803" spans="12:13" x14ac:dyDescent="0.2">
      <c r="L1803" s="5"/>
      <c r="M1803" s="5"/>
    </row>
    <row r="1804" spans="12:13" x14ac:dyDescent="0.2">
      <c r="L1804" s="5"/>
      <c r="M1804" s="5"/>
    </row>
    <row r="1805" spans="12:13" x14ac:dyDescent="0.2">
      <c r="L1805" s="5"/>
      <c r="M1805" s="5"/>
    </row>
    <row r="1806" spans="12:13" x14ac:dyDescent="0.2">
      <c r="L1806" s="5"/>
      <c r="M1806" s="5"/>
    </row>
    <row r="1807" spans="12:13" x14ac:dyDescent="0.2">
      <c r="L1807" s="5"/>
      <c r="M1807" s="5"/>
    </row>
    <row r="1808" spans="12:13" x14ac:dyDescent="0.2">
      <c r="L1808" s="5"/>
      <c r="M1808" s="5"/>
    </row>
    <row r="1809" spans="12:13" x14ac:dyDescent="0.2">
      <c r="L1809" s="5"/>
      <c r="M1809" s="5"/>
    </row>
    <row r="1810" spans="12:13" x14ac:dyDescent="0.2">
      <c r="L1810" s="5"/>
      <c r="M1810" s="5"/>
    </row>
    <row r="1811" spans="12:13" x14ac:dyDescent="0.2">
      <c r="L1811" s="5"/>
      <c r="M1811" s="5"/>
    </row>
    <row r="1812" spans="12:13" x14ac:dyDescent="0.2">
      <c r="L1812" s="5"/>
      <c r="M1812" s="5"/>
    </row>
    <row r="1813" spans="12:13" x14ac:dyDescent="0.2">
      <c r="L1813" s="5"/>
      <c r="M1813" s="5"/>
    </row>
    <row r="1814" spans="12:13" x14ac:dyDescent="0.2">
      <c r="L1814" s="5"/>
      <c r="M1814" s="5"/>
    </row>
    <row r="1815" spans="12:13" x14ac:dyDescent="0.2">
      <c r="L1815" s="5"/>
      <c r="M1815" s="5"/>
    </row>
    <row r="1816" spans="12:13" x14ac:dyDescent="0.2">
      <c r="L1816" s="5"/>
      <c r="M1816" s="5"/>
    </row>
    <row r="1817" spans="12:13" x14ac:dyDescent="0.2">
      <c r="L1817" s="5"/>
      <c r="M1817" s="5"/>
    </row>
    <row r="1818" spans="12:13" x14ac:dyDescent="0.2">
      <c r="L1818" s="5"/>
      <c r="M1818" s="5"/>
    </row>
    <row r="1819" spans="12:13" x14ac:dyDescent="0.2">
      <c r="L1819" s="5"/>
      <c r="M1819" s="5"/>
    </row>
    <row r="1820" spans="12:13" x14ac:dyDescent="0.2">
      <c r="L1820" s="5"/>
      <c r="M1820" s="5"/>
    </row>
    <row r="1821" spans="12:13" x14ac:dyDescent="0.2">
      <c r="L1821" s="5"/>
      <c r="M1821" s="5"/>
    </row>
    <row r="1822" spans="12:13" x14ac:dyDescent="0.2">
      <c r="L1822" s="5"/>
      <c r="M1822" s="5"/>
    </row>
    <row r="1823" spans="12:13" x14ac:dyDescent="0.2">
      <c r="L1823" s="5"/>
      <c r="M1823" s="5"/>
    </row>
    <row r="1824" spans="12:13" x14ac:dyDescent="0.2">
      <c r="L1824" s="5"/>
      <c r="M1824" s="5"/>
    </row>
    <row r="1825" spans="12:13" x14ac:dyDescent="0.2">
      <c r="L1825" s="5"/>
      <c r="M1825" s="5"/>
    </row>
    <row r="1826" spans="12:13" x14ac:dyDescent="0.2">
      <c r="L1826" s="5"/>
      <c r="M1826" s="5"/>
    </row>
    <row r="1827" spans="12:13" x14ac:dyDescent="0.2">
      <c r="L1827" s="5"/>
      <c r="M1827" s="5"/>
    </row>
    <row r="1828" spans="12:13" x14ac:dyDescent="0.2">
      <c r="L1828" s="5"/>
      <c r="M1828" s="5"/>
    </row>
    <row r="1829" spans="12:13" x14ac:dyDescent="0.2">
      <c r="L1829" s="5"/>
      <c r="M1829" s="5"/>
    </row>
    <row r="1830" spans="12:13" x14ac:dyDescent="0.2">
      <c r="L1830" s="5"/>
      <c r="M1830" s="5"/>
    </row>
    <row r="1831" spans="12:13" x14ac:dyDescent="0.2">
      <c r="L1831" s="5"/>
      <c r="M1831" s="5"/>
    </row>
    <row r="1832" spans="12:13" x14ac:dyDescent="0.2">
      <c r="L1832" s="5"/>
      <c r="M1832" s="5"/>
    </row>
    <row r="1833" spans="12:13" x14ac:dyDescent="0.2">
      <c r="L1833" s="5"/>
      <c r="M1833" s="5"/>
    </row>
    <row r="1834" spans="12:13" x14ac:dyDescent="0.2">
      <c r="L1834" s="5"/>
      <c r="M1834" s="5"/>
    </row>
    <row r="1835" spans="12:13" x14ac:dyDescent="0.2">
      <c r="L1835" s="5"/>
      <c r="M1835" s="5"/>
    </row>
    <row r="1836" spans="12:13" x14ac:dyDescent="0.2">
      <c r="L1836" s="5"/>
      <c r="M1836" s="5"/>
    </row>
    <row r="1837" spans="12:13" x14ac:dyDescent="0.2">
      <c r="L1837" s="5"/>
      <c r="M1837" s="5"/>
    </row>
    <row r="1838" spans="12:13" x14ac:dyDescent="0.2">
      <c r="L1838" s="5"/>
      <c r="M1838" s="5"/>
    </row>
    <row r="1839" spans="12:13" x14ac:dyDescent="0.2">
      <c r="L1839" s="5"/>
      <c r="M1839" s="5"/>
    </row>
    <row r="1840" spans="12:13" x14ac:dyDescent="0.2">
      <c r="L1840" s="5"/>
      <c r="M1840" s="5"/>
    </row>
    <row r="1841" spans="12:13" x14ac:dyDescent="0.2">
      <c r="L1841" s="5"/>
      <c r="M1841" s="5"/>
    </row>
    <row r="1842" spans="12:13" x14ac:dyDescent="0.2">
      <c r="L1842" s="5"/>
      <c r="M1842" s="5"/>
    </row>
    <row r="1843" spans="12:13" x14ac:dyDescent="0.2">
      <c r="L1843" s="5"/>
      <c r="M1843" s="5"/>
    </row>
    <row r="1844" spans="12:13" x14ac:dyDescent="0.2">
      <c r="L1844" s="5"/>
      <c r="M1844" s="5"/>
    </row>
    <row r="1845" spans="12:13" x14ac:dyDescent="0.2">
      <c r="L1845" s="5"/>
      <c r="M1845" s="5"/>
    </row>
    <row r="1846" spans="12:13" x14ac:dyDescent="0.2">
      <c r="L1846" s="5"/>
      <c r="M1846" s="5"/>
    </row>
    <row r="1847" spans="12:13" x14ac:dyDescent="0.2">
      <c r="L1847" s="5"/>
      <c r="M1847" s="5"/>
    </row>
    <row r="1848" spans="12:13" x14ac:dyDescent="0.2">
      <c r="L1848" s="5"/>
      <c r="M1848" s="5"/>
    </row>
    <row r="1849" spans="12:13" x14ac:dyDescent="0.2">
      <c r="L1849" s="5"/>
      <c r="M1849" s="5"/>
    </row>
    <row r="1850" spans="12:13" x14ac:dyDescent="0.2">
      <c r="L1850" s="5"/>
      <c r="M1850" s="5"/>
    </row>
    <row r="1851" spans="12:13" x14ac:dyDescent="0.2">
      <c r="L1851" s="5"/>
      <c r="M1851" s="5"/>
    </row>
    <row r="1852" spans="12:13" x14ac:dyDescent="0.2">
      <c r="L1852" s="5"/>
      <c r="M1852" s="5"/>
    </row>
    <row r="1853" spans="12:13" x14ac:dyDescent="0.2">
      <c r="L1853" s="5"/>
      <c r="M1853" s="5"/>
    </row>
    <row r="1854" spans="12:13" x14ac:dyDescent="0.2">
      <c r="L1854" s="5"/>
      <c r="M1854" s="5"/>
    </row>
    <row r="1855" spans="12:13" x14ac:dyDescent="0.2">
      <c r="L1855" s="5"/>
      <c r="M1855" s="5"/>
    </row>
    <row r="1856" spans="12:13" x14ac:dyDescent="0.2">
      <c r="L1856" s="5"/>
      <c r="M1856" s="5"/>
    </row>
    <row r="1857" spans="12:13" x14ac:dyDescent="0.2">
      <c r="L1857" s="5"/>
      <c r="M1857" s="5"/>
    </row>
    <row r="1858" spans="12:13" x14ac:dyDescent="0.2">
      <c r="L1858" s="5"/>
      <c r="M1858" s="5"/>
    </row>
    <row r="1859" spans="12:13" x14ac:dyDescent="0.2">
      <c r="L1859" s="5"/>
      <c r="M1859" s="5"/>
    </row>
    <row r="1860" spans="12:13" x14ac:dyDescent="0.2">
      <c r="L1860" s="5"/>
      <c r="M1860" s="5"/>
    </row>
    <row r="1861" spans="12:13" x14ac:dyDescent="0.2">
      <c r="L1861" s="5"/>
      <c r="M1861" s="5"/>
    </row>
    <row r="1862" spans="12:13" x14ac:dyDescent="0.2">
      <c r="L1862" s="5"/>
      <c r="M1862" s="5"/>
    </row>
    <row r="1863" spans="12:13" x14ac:dyDescent="0.2">
      <c r="L1863" s="5"/>
      <c r="M1863" s="5"/>
    </row>
    <row r="1864" spans="12:13" x14ac:dyDescent="0.2">
      <c r="L1864" s="5"/>
      <c r="M1864" s="5"/>
    </row>
    <row r="1865" spans="12:13" x14ac:dyDescent="0.2">
      <c r="L1865" s="5"/>
      <c r="M1865" s="5"/>
    </row>
    <row r="1866" spans="12:13" x14ac:dyDescent="0.2">
      <c r="L1866" s="5"/>
      <c r="M1866" s="5"/>
    </row>
    <row r="1867" spans="12:13" x14ac:dyDescent="0.2">
      <c r="L1867" s="5"/>
      <c r="M1867" s="5"/>
    </row>
    <row r="1868" spans="12:13" x14ac:dyDescent="0.2">
      <c r="L1868" s="5"/>
      <c r="M1868" s="5"/>
    </row>
    <row r="1869" spans="12:13" x14ac:dyDescent="0.2">
      <c r="L1869" s="5"/>
      <c r="M1869" s="5"/>
    </row>
    <row r="1870" spans="12:13" x14ac:dyDescent="0.2">
      <c r="L1870" s="5"/>
      <c r="M1870" s="5"/>
    </row>
    <row r="1871" spans="12:13" x14ac:dyDescent="0.2">
      <c r="L1871" s="5"/>
      <c r="M1871" s="5"/>
    </row>
    <row r="1872" spans="12:13" x14ac:dyDescent="0.2">
      <c r="L1872" s="5"/>
      <c r="M1872" s="5"/>
    </row>
    <row r="1873" spans="12:13" x14ac:dyDescent="0.2">
      <c r="L1873" s="5"/>
      <c r="M1873" s="5"/>
    </row>
    <row r="1874" spans="12:13" x14ac:dyDescent="0.2">
      <c r="L1874" s="5"/>
      <c r="M1874" s="5"/>
    </row>
    <row r="1875" spans="12:13" x14ac:dyDescent="0.2">
      <c r="L1875" s="5"/>
      <c r="M1875" s="5"/>
    </row>
    <row r="1876" spans="12:13" x14ac:dyDescent="0.2">
      <c r="L1876" s="5"/>
      <c r="M1876" s="5"/>
    </row>
    <row r="1877" spans="12:13" x14ac:dyDescent="0.2">
      <c r="L1877" s="5"/>
      <c r="M1877" s="5"/>
    </row>
    <row r="1878" spans="12:13" x14ac:dyDescent="0.2">
      <c r="L1878" s="5"/>
      <c r="M1878" s="5"/>
    </row>
    <row r="1879" spans="12:13" x14ac:dyDescent="0.2">
      <c r="L1879" s="5"/>
      <c r="M1879" s="5"/>
    </row>
    <row r="1880" spans="12:13" x14ac:dyDescent="0.2">
      <c r="L1880" s="5"/>
      <c r="M1880" s="5"/>
    </row>
    <row r="1881" spans="12:13" x14ac:dyDescent="0.2">
      <c r="L1881" s="5"/>
      <c r="M1881" s="5"/>
    </row>
    <row r="1882" spans="12:13" x14ac:dyDescent="0.2">
      <c r="L1882" s="5"/>
      <c r="M1882" s="5"/>
    </row>
    <row r="1883" spans="12:13" x14ac:dyDescent="0.2">
      <c r="L1883" s="5"/>
      <c r="M1883" s="5"/>
    </row>
    <row r="1884" spans="12:13" x14ac:dyDescent="0.2">
      <c r="L1884" s="5"/>
      <c r="M1884" s="5"/>
    </row>
    <row r="1885" spans="12:13" x14ac:dyDescent="0.2">
      <c r="L1885" s="5"/>
      <c r="M1885" s="5"/>
    </row>
    <row r="1886" spans="12:13" x14ac:dyDescent="0.2">
      <c r="L1886" s="5"/>
      <c r="M1886" s="5"/>
    </row>
    <row r="1887" spans="12:13" x14ac:dyDescent="0.2">
      <c r="L1887" s="5"/>
      <c r="M1887" s="5"/>
    </row>
    <row r="1888" spans="12:13" x14ac:dyDescent="0.2">
      <c r="L1888" s="5"/>
      <c r="M1888" s="5"/>
    </row>
    <row r="1889" spans="12:13" x14ac:dyDescent="0.2">
      <c r="L1889" s="5"/>
      <c r="M1889" s="5"/>
    </row>
    <row r="1890" spans="12:13" x14ac:dyDescent="0.2">
      <c r="L1890" s="5"/>
      <c r="M1890" s="5"/>
    </row>
    <row r="1891" spans="12:13" x14ac:dyDescent="0.2">
      <c r="L1891" s="5"/>
      <c r="M1891" s="5"/>
    </row>
    <row r="1892" spans="12:13" x14ac:dyDescent="0.2">
      <c r="L1892" s="5"/>
      <c r="M1892" s="5"/>
    </row>
    <row r="1893" spans="12:13" x14ac:dyDescent="0.2">
      <c r="L1893" s="5"/>
      <c r="M1893" s="5"/>
    </row>
    <row r="1894" spans="12:13" x14ac:dyDescent="0.2">
      <c r="L1894" s="5"/>
      <c r="M1894" s="5"/>
    </row>
    <row r="1895" spans="12:13" x14ac:dyDescent="0.2">
      <c r="L1895" s="5"/>
      <c r="M1895" s="5"/>
    </row>
    <row r="1896" spans="12:13" x14ac:dyDescent="0.2">
      <c r="L1896" s="5"/>
      <c r="M1896" s="5"/>
    </row>
    <row r="1897" spans="12:13" x14ac:dyDescent="0.2">
      <c r="L1897" s="5"/>
      <c r="M1897" s="5"/>
    </row>
    <row r="1898" spans="12:13" x14ac:dyDescent="0.2">
      <c r="L1898" s="5"/>
      <c r="M1898" s="5"/>
    </row>
    <row r="1899" spans="12:13" x14ac:dyDescent="0.2">
      <c r="L1899" s="5"/>
      <c r="M1899" s="5"/>
    </row>
    <row r="1900" spans="12:13" x14ac:dyDescent="0.2">
      <c r="L1900" s="5"/>
      <c r="M1900" s="5"/>
    </row>
    <row r="1901" spans="12:13" x14ac:dyDescent="0.2">
      <c r="L1901" s="5"/>
      <c r="M1901" s="5"/>
    </row>
    <row r="1902" spans="12:13" x14ac:dyDescent="0.2">
      <c r="L1902" s="5"/>
      <c r="M1902" s="5"/>
    </row>
    <row r="1903" spans="12:13" x14ac:dyDescent="0.2">
      <c r="L1903" s="5"/>
      <c r="M1903" s="5"/>
    </row>
    <row r="1904" spans="12:13" x14ac:dyDescent="0.2">
      <c r="L1904" s="5"/>
      <c r="M1904" s="5"/>
    </row>
    <row r="1905" spans="12:13" x14ac:dyDescent="0.2">
      <c r="L1905" s="5"/>
      <c r="M1905" s="5"/>
    </row>
    <row r="1906" spans="12:13" x14ac:dyDescent="0.2">
      <c r="L1906" s="5"/>
      <c r="M1906" s="5"/>
    </row>
    <row r="1907" spans="12:13" x14ac:dyDescent="0.2">
      <c r="L1907" s="5"/>
      <c r="M1907" s="5"/>
    </row>
    <row r="1908" spans="12:13" x14ac:dyDescent="0.2">
      <c r="L1908" s="5"/>
      <c r="M1908" s="5"/>
    </row>
    <row r="1909" spans="12:13" x14ac:dyDescent="0.2">
      <c r="L1909" s="5"/>
      <c r="M1909" s="5"/>
    </row>
    <row r="1910" spans="12:13" x14ac:dyDescent="0.2">
      <c r="L1910" s="5"/>
      <c r="M1910" s="5"/>
    </row>
    <row r="1911" spans="12:13" x14ac:dyDescent="0.2">
      <c r="L1911" s="5"/>
      <c r="M1911" s="5"/>
    </row>
    <row r="1912" spans="12:13" x14ac:dyDescent="0.2">
      <c r="L1912" s="5"/>
      <c r="M1912" s="5"/>
    </row>
    <row r="1913" spans="12:13" x14ac:dyDescent="0.2">
      <c r="L1913" s="5"/>
      <c r="M1913" s="5"/>
    </row>
    <row r="1914" spans="12:13" x14ac:dyDescent="0.2">
      <c r="L1914" s="5"/>
      <c r="M1914" s="5"/>
    </row>
    <row r="1915" spans="12:13" x14ac:dyDescent="0.2">
      <c r="L1915" s="5"/>
      <c r="M1915" s="5"/>
    </row>
    <row r="1916" spans="12:13" x14ac:dyDescent="0.2">
      <c r="L1916" s="5"/>
      <c r="M1916" s="5"/>
    </row>
    <row r="1917" spans="12:13" x14ac:dyDescent="0.2">
      <c r="L1917" s="5"/>
      <c r="M1917" s="5"/>
    </row>
    <row r="1918" spans="12:13" x14ac:dyDescent="0.2">
      <c r="L1918" s="5"/>
      <c r="M1918" s="5"/>
    </row>
    <row r="1919" spans="12:13" x14ac:dyDescent="0.2">
      <c r="L1919" s="5"/>
      <c r="M1919" s="5"/>
    </row>
    <row r="1920" spans="12:13" x14ac:dyDescent="0.2">
      <c r="L1920" s="5"/>
      <c r="M1920" s="5"/>
    </row>
    <row r="1921" spans="12:13" x14ac:dyDescent="0.2">
      <c r="L1921" s="5"/>
      <c r="M1921" s="5"/>
    </row>
    <row r="1922" spans="12:13" x14ac:dyDescent="0.2">
      <c r="L1922" s="5"/>
      <c r="M1922" s="5"/>
    </row>
    <row r="1923" spans="12:13" x14ac:dyDescent="0.2">
      <c r="L1923" s="5"/>
      <c r="M1923" s="5"/>
    </row>
    <row r="1924" spans="12:13" x14ac:dyDescent="0.2">
      <c r="L1924" s="5"/>
      <c r="M1924" s="5"/>
    </row>
    <row r="1925" spans="12:13" x14ac:dyDescent="0.2">
      <c r="L1925" s="5"/>
      <c r="M1925" s="5"/>
    </row>
    <row r="1926" spans="12:13" x14ac:dyDescent="0.2">
      <c r="L1926" s="5"/>
      <c r="M1926" s="5"/>
    </row>
    <row r="1927" spans="12:13" x14ac:dyDescent="0.2">
      <c r="L1927" s="5"/>
      <c r="M1927" s="5"/>
    </row>
    <row r="1928" spans="12:13" x14ac:dyDescent="0.2">
      <c r="L1928" s="5"/>
      <c r="M1928" s="5"/>
    </row>
    <row r="1929" spans="12:13" x14ac:dyDescent="0.2">
      <c r="L1929" s="5"/>
      <c r="M1929" s="5"/>
    </row>
    <row r="1930" spans="12:13" x14ac:dyDescent="0.2">
      <c r="L1930" s="5"/>
      <c r="M1930" s="5"/>
    </row>
    <row r="1931" spans="12:13" x14ac:dyDescent="0.2">
      <c r="L1931" s="5"/>
      <c r="M1931" s="5"/>
    </row>
    <row r="1932" spans="12:13" x14ac:dyDescent="0.2">
      <c r="L1932" s="5"/>
      <c r="M1932" s="5"/>
    </row>
    <row r="1933" spans="12:13" x14ac:dyDescent="0.2">
      <c r="L1933" s="5"/>
      <c r="M1933" s="5"/>
    </row>
    <row r="1934" spans="12:13" x14ac:dyDescent="0.2">
      <c r="L1934" s="5"/>
      <c r="M1934" s="5"/>
    </row>
    <row r="1935" spans="12:13" x14ac:dyDescent="0.2">
      <c r="L1935" s="5"/>
      <c r="M1935" s="5"/>
    </row>
    <row r="1936" spans="12:13" x14ac:dyDescent="0.2">
      <c r="L1936" s="5"/>
      <c r="M1936" s="5"/>
    </row>
    <row r="1937" spans="12:13" x14ac:dyDescent="0.2">
      <c r="L1937" s="5"/>
      <c r="M1937" s="5"/>
    </row>
    <row r="1938" spans="12:13" x14ac:dyDescent="0.2">
      <c r="L1938" s="5"/>
      <c r="M1938" s="5"/>
    </row>
    <row r="1939" spans="12:13" x14ac:dyDescent="0.2">
      <c r="L1939" s="5"/>
      <c r="M1939" s="5"/>
    </row>
    <row r="1940" spans="12:13" x14ac:dyDescent="0.2">
      <c r="L1940" s="5"/>
      <c r="M1940" s="5"/>
    </row>
    <row r="1941" spans="12:13" x14ac:dyDescent="0.2">
      <c r="L1941" s="5"/>
      <c r="M1941" s="5"/>
    </row>
    <row r="1942" spans="12:13" x14ac:dyDescent="0.2">
      <c r="L1942" s="5"/>
      <c r="M1942" s="5"/>
    </row>
    <row r="1943" spans="12:13" x14ac:dyDescent="0.2">
      <c r="L1943" s="5"/>
      <c r="M1943" s="5"/>
    </row>
    <row r="1944" spans="12:13" x14ac:dyDescent="0.2">
      <c r="L1944" s="5"/>
      <c r="M1944" s="5"/>
    </row>
    <row r="1945" spans="12:13" x14ac:dyDescent="0.2">
      <c r="L1945" s="5"/>
      <c r="M1945" s="5"/>
    </row>
    <row r="1946" spans="12:13" x14ac:dyDescent="0.2">
      <c r="L1946" s="5"/>
      <c r="M1946" s="5"/>
    </row>
    <row r="1947" spans="12:13" x14ac:dyDescent="0.2">
      <c r="L1947" s="5"/>
      <c r="M1947" s="5"/>
    </row>
    <row r="1948" spans="12:13" x14ac:dyDescent="0.2">
      <c r="L1948" s="5"/>
      <c r="M1948" s="5"/>
    </row>
    <row r="1949" spans="12:13" x14ac:dyDescent="0.2">
      <c r="L1949" s="5"/>
      <c r="M1949" s="5"/>
    </row>
    <row r="1950" spans="12:13" x14ac:dyDescent="0.2">
      <c r="L1950" s="5"/>
      <c r="M1950" s="5"/>
    </row>
    <row r="1951" spans="12:13" x14ac:dyDescent="0.2">
      <c r="L1951" s="5"/>
      <c r="M1951" s="5"/>
    </row>
    <row r="1952" spans="12:13" x14ac:dyDescent="0.2">
      <c r="L1952" s="5"/>
      <c r="M1952" s="5"/>
    </row>
    <row r="1953" spans="12:13" x14ac:dyDescent="0.2">
      <c r="L1953" s="5"/>
      <c r="M1953" s="5"/>
    </row>
    <row r="1954" spans="12:13" x14ac:dyDescent="0.2">
      <c r="L1954" s="5"/>
      <c r="M1954" s="5"/>
    </row>
    <row r="1955" spans="12:13" x14ac:dyDescent="0.2">
      <c r="L1955" s="5"/>
      <c r="M1955" s="5"/>
    </row>
    <row r="1956" spans="12:13" x14ac:dyDescent="0.2">
      <c r="L1956" s="5"/>
      <c r="M1956" s="5"/>
    </row>
    <row r="1957" spans="12:13" x14ac:dyDescent="0.2">
      <c r="L1957" s="5"/>
      <c r="M1957" s="5"/>
    </row>
    <row r="1958" spans="12:13" x14ac:dyDescent="0.2">
      <c r="L1958" s="5"/>
      <c r="M1958" s="5"/>
    </row>
    <row r="1959" spans="12:13" x14ac:dyDescent="0.2">
      <c r="L1959" s="5"/>
      <c r="M1959" s="5"/>
    </row>
    <row r="1960" spans="12:13" x14ac:dyDescent="0.2">
      <c r="L1960" s="5"/>
      <c r="M1960" s="5"/>
    </row>
    <row r="1961" spans="12:13" x14ac:dyDescent="0.2">
      <c r="L1961" s="5"/>
      <c r="M1961" s="5"/>
    </row>
    <row r="1962" spans="12:13" x14ac:dyDescent="0.2">
      <c r="L1962" s="5"/>
      <c r="M1962" s="5"/>
    </row>
    <row r="1963" spans="12:13" x14ac:dyDescent="0.2">
      <c r="L1963" s="5"/>
      <c r="M1963" s="5"/>
    </row>
    <row r="1964" spans="12:13" x14ac:dyDescent="0.2">
      <c r="L1964" s="5"/>
      <c r="M1964" s="5"/>
    </row>
    <row r="1965" spans="12:13" x14ac:dyDescent="0.2">
      <c r="L1965" s="5"/>
      <c r="M1965" s="5"/>
    </row>
    <row r="1966" spans="12:13" x14ac:dyDescent="0.2">
      <c r="L1966" s="5"/>
      <c r="M1966" s="5"/>
    </row>
    <row r="1967" spans="12:13" x14ac:dyDescent="0.2">
      <c r="L1967" s="5"/>
      <c r="M1967" s="5"/>
    </row>
    <row r="1968" spans="12:13" x14ac:dyDescent="0.2">
      <c r="L1968" s="5"/>
      <c r="M1968" s="5"/>
    </row>
    <row r="1969" spans="12:13" x14ac:dyDescent="0.2">
      <c r="L1969" s="5"/>
      <c r="M1969" s="5"/>
    </row>
    <row r="1970" spans="12:13" x14ac:dyDescent="0.2">
      <c r="L1970" s="5"/>
      <c r="M1970" s="5"/>
    </row>
    <row r="1971" spans="12:13" x14ac:dyDescent="0.2">
      <c r="L1971" s="5"/>
      <c r="M1971" s="5"/>
    </row>
    <row r="1972" spans="12:13" x14ac:dyDescent="0.2">
      <c r="L1972" s="5"/>
      <c r="M1972" s="5"/>
    </row>
    <row r="1973" spans="12:13" x14ac:dyDescent="0.2">
      <c r="L1973" s="5"/>
      <c r="M1973" s="5"/>
    </row>
    <row r="1974" spans="12:13" x14ac:dyDescent="0.2">
      <c r="L1974" s="5"/>
      <c r="M1974" s="5"/>
    </row>
    <row r="1975" spans="12:13" x14ac:dyDescent="0.2">
      <c r="L1975" s="5"/>
      <c r="M1975" s="5"/>
    </row>
    <row r="1976" spans="12:13" x14ac:dyDescent="0.2">
      <c r="L1976" s="5"/>
      <c r="M1976" s="5"/>
    </row>
    <row r="1977" spans="12:13" x14ac:dyDescent="0.2">
      <c r="L1977" s="5"/>
      <c r="M1977" s="5"/>
    </row>
    <row r="1978" spans="12:13" x14ac:dyDescent="0.2">
      <c r="L1978" s="5"/>
      <c r="M1978" s="5"/>
    </row>
    <row r="1979" spans="12:13" x14ac:dyDescent="0.2">
      <c r="L1979" s="5"/>
      <c r="M1979" s="5"/>
    </row>
    <row r="1980" spans="12:13" x14ac:dyDescent="0.2">
      <c r="L1980" s="5"/>
      <c r="M1980" s="5"/>
    </row>
    <row r="1981" spans="12:13" x14ac:dyDescent="0.2">
      <c r="L1981" s="5"/>
      <c r="M1981" s="5"/>
    </row>
    <row r="1982" spans="12:13" x14ac:dyDescent="0.2">
      <c r="L1982" s="5"/>
      <c r="M1982" s="5"/>
    </row>
    <row r="1983" spans="12:13" x14ac:dyDescent="0.2">
      <c r="L1983" s="5"/>
      <c r="M1983" s="5"/>
    </row>
    <row r="1984" spans="12:13" x14ac:dyDescent="0.2">
      <c r="L1984" s="5"/>
      <c r="M1984" s="5"/>
    </row>
    <row r="1985" spans="12:13" x14ac:dyDescent="0.2">
      <c r="L1985" s="5"/>
      <c r="M1985" s="5"/>
    </row>
    <row r="1986" spans="12:13" x14ac:dyDescent="0.2">
      <c r="L1986" s="5"/>
      <c r="M1986" s="5"/>
    </row>
    <row r="1987" spans="12:13" x14ac:dyDescent="0.2">
      <c r="L1987" s="5"/>
      <c r="M1987" s="5"/>
    </row>
    <row r="1988" spans="12:13" x14ac:dyDescent="0.2">
      <c r="L1988" s="5"/>
      <c r="M1988" s="5"/>
    </row>
    <row r="1989" spans="12:13" x14ac:dyDescent="0.2">
      <c r="L1989" s="5"/>
      <c r="M1989" s="5"/>
    </row>
    <row r="1990" spans="12:13" x14ac:dyDescent="0.2">
      <c r="L1990" s="5"/>
      <c r="M1990" s="5"/>
    </row>
    <row r="1991" spans="12:13" x14ac:dyDescent="0.2">
      <c r="L1991" s="5"/>
      <c r="M1991" s="5"/>
    </row>
    <row r="1992" spans="12:13" x14ac:dyDescent="0.2">
      <c r="L1992" s="5"/>
      <c r="M1992" s="5"/>
    </row>
    <row r="1993" spans="12:13" x14ac:dyDescent="0.2">
      <c r="L1993" s="5"/>
      <c r="M1993" s="5"/>
    </row>
    <row r="1994" spans="12:13" x14ac:dyDescent="0.2">
      <c r="L1994" s="5"/>
      <c r="M1994" s="5"/>
    </row>
    <row r="1995" spans="12:13" x14ac:dyDescent="0.2">
      <c r="L1995" s="5"/>
      <c r="M1995" s="5"/>
    </row>
    <row r="1996" spans="12:13" x14ac:dyDescent="0.2">
      <c r="L1996" s="5"/>
      <c r="M1996" s="5"/>
    </row>
    <row r="1997" spans="12:13" x14ac:dyDescent="0.2">
      <c r="L1997" s="5"/>
      <c r="M1997" s="5"/>
    </row>
    <row r="1998" spans="12:13" x14ac:dyDescent="0.2">
      <c r="L1998" s="5"/>
      <c r="M1998" s="5"/>
    </row>
    <row r="1999" spans="12:13" x14ac:dyDescent="0.2">
      <c r="L1999" s="5"/>
      <c r="M1999" s="5"/>
    </row>
    <row r="2000" spans="12:13" x14ac:dyDescent="0.2">
      <c r="L2000" s="5"/>
      <c r="M2000" s="5"/>
    </row>
    <row r="2001" spans="12:13" x14ac:dyDescent="0.2">
      <c r="L2001" s="5"/>
      <c r="M2001" s="5"/>
    </row>
    <row r="2002" spans="12:13" x14ac:dyDescent="0.2">
      <c r="L2002" s="5"/>
      <c r="M2002" s="5"/>
    </row>
    <row r="2003" spans="12:13" x14ac:dyDescent="0.2">
      <c r="L2003" s="5"/>
      <c r="M2003" s="5"/>
    </row>
    <row r="2004" spans="12:13" x14ac:dyDescent="0.2">
      <c r="L2004" s="5"/>
      <c r="M2004" s="5"/>
    </row>
    <row r="2005" spans="12:13" x14ac:dyDescent="0.2">
      <c r="L2005" s="5"/>
      <c r="M2005" s="5"/>
    </row>
    <row r="2006" spans="12:13" x14ac:dyDescent="0.2">
      <c r="L2006" s="5"/>
      <c r="M2006" s="5"/>
    </row>
    <row r="2007" spans="12:13" x14ac:dyDescent="0.2">
      <c r="L2007" s="5"/>
      <c r="M2007" s="5"/>
    </row>
    <row r="2008" spans="12:13" x14ac:dyDescent="0.2">
      <c r="L2008" s="5"/>
      <c r="M2008" s="5"/>
    </row>
    <row r="2009" spans="12:13" x14ac:dyDescent="0.2">
      <c r="L2009" s="5"/>
      <c r="M2009" s="5"/>
    </row>
    <row r="2010" spans="12:13" x14ac:dyDescent="0.2">
      <c r="L2010" s="5"/>
      <c r="M2010" s="5"/>
    </row>
    <row r="2011" spans="12:13" x14ac:dyDescent="0.2">
      <c r="L2011" s="5"/>
      <c r="M2011" s="5"/>
    </row>
    <row r="2012" spans="12:13" x14ac:dyDescent="0.2">
      <c r="L2012" s="5"/>
      <c r="M2012" s="5"/>
    </row>
    <row r="2013" spans="12:13" x14ac:dyDescent="0.2">
      <c r="L2013" s="5"/>
      <c r="M2013" s="5"/>
    </row>
    <row r="2014" spans="12:13" x14ac:dyDescent="0.2">
      <c r="L2014" s="5"/>
      <c r="M2014" s="5"/>
    </row>
    <row r="2015" spans="12:13" x14ac:dyDescent="0.2">
      <c r="L2015" s="5"/>
      <c r="M2015" s="5"/>
    </row>
    <row r="2016" spans="12:13" x14ac:dyDescent="0.2">
      <c r="L2016" s="5"/>
      <c r="M2016" s="5"/>
    </row>
    <row r="2017" spans="12:13" x14ac:dyDescent="0.2">
      <c r="L2017" s="5"/>
      <c r="M2017" s="5"/>
    </row>
    <row r="2018" spans="12:13" x14ac:dyDescent="0.2">
      <c r="L2018" s="5"/>
      <c r="M2018" s="5"/>
    </row>
    <row r="2019" spans="12:13" x14ac:dyDescent="0.2">
      <c r="L2019" s="5"/>
      <c r="M2019" s="5"/>
    </row>
    <row r="2020" spans="12:13" x14ac:dyDescent="0.2">
      <c r="L2020" s="5"/>
      <c r="M2020" s="5"/>
    </row>
    <row r="2021" spans="12:13" x14ac:dyDescent="0.2">
      <c r="L2021" s="5"/>
      <c r="M2021" s="5"/>
    </row>
    <row r="2022" spans="12:13" x14ac:dyDescent="0.2">
      <c r="L2022" s="5"/>
      <c r="M2022" s="5"/>
    </row>
    <row r="2023" spans="12:13" x14ac:dyDescent="0.2">
      <c r="L2023" s="5"/>
      <c r="M2023" s="5"/>
    </row>
    <row r="2024" spans="12:13" x14ac:dyDescent="0.2">
      <c r="L2024" s="5"/>
      <c r="M2024" s="5"/>
    </row>
    <row r="2025" spans="12:13" x14ac:dyDescent="0.2">
      <c r="L2025" s="5"/>
      <c r="M2025" s="5"/>
    </row>
    <row r="2026" spans="12:13" x14ac:dyDescent="0.2">
      <c r="L2026" s="5"/>
      <c r="M2026" s="5"/>
    </row>
    <row r="2027" spans="12:13" x14ac:dyDescent="0.2">
      <c r="L2027" s="5"/>
      <c r="M2027" s="5"/>
    </row>
    <row r="2028" spans="12:13" x14ac:dyDescent="0.2">
      <c r="L2028" s="5"/>
      <c r="M2028" s="5"/>
    </row>
    <row r="2029" spans="12:13" x14ac:dyDescent="0.2">
      <c r="L2029" s="5"/>
      <c r="M2029" s="5"/>
    </row>
    <row r="2030" spans="12:13" x14ac:dyDescent="0.2">
      <c r="L2030" s="5"/>
      <c r="M2030" s="5"/>
    </row>
    <row r="2031" spans="12:13" x14ac:dyDescent="0.2">
      <c r="L2031" s="5"/>
      <c r="M2031" s="5"/>
    </row>
    <row r="2032" spans="12:13" x14ac:dyDescent="0.2">
      <c r="L2032" s="5"/>
      <c r="M2032" s="5"/>
    </row>
    <row r="2033" spans="12:13" x14ac:dyDescent="0.2">
      <c r="L2033" s="5"/>
      <c r="M2033" s="5"/>
    </row>
    <row r="2034" spans="12:13" x14ac:dyDescent="0.2">
      <c r="L2034" s="5"/>
      <c r="M2034" s="5"/>
    </row>
    <row r="2035" spans="12:13" x14ac:dyDescent="0.2">
      <c r="L2035" s="5"/>
      <c r="M2035" s="5"/>
    </row>
    <row r="2036" spans="12:13" x14ac:dyDescent="0.2">
      <c r="L2036" s="5"/>
      <c r="M2036" s="5"/>
    </row>
    <row r="2037" spans="12:13" x14ac:dyDescent="0.2">
      <c r="L2037" s="5"/>
      <c r="M2037" s="5"/>
    </row>
    <row r="2038" spans="12:13" x14ac:dyDescent="0.2">
      <c r="L2038" s="5"/>
      <c r="M2038" s="5"/>
    </row>
    <row r="2039" spans="12:13" x14ac:dyDescent="0.2">
      <c r="L2039" s="5"/>
      <c r="M2039" s="5"/>
    </row>
    <row r="2040" spans="12:13" x14ac:dyDescent="0.2">
      <c r="L2040" s="5"/>
      <c r="M2040" s="5"/>
    </row>
    <row r="2041" spans="12:13" x14ac:dyDescent="0.2">
      <c r="L2041" s="5"/>
      <c r="M2041" s="5"/>
    </row>
    <row r="2042" spans="12:13" x14ac:dyDescent="0.2">
      <c r="L2042" s="5"/>
      <c r="M2042" s="5"/>
    </row>
    <row r="2043" spans="12:13" x14ac:dyDescent="0.2">
      <c r="L2043" s="5"/>
      <c r="M2043" s="5"/>
    </row>
    <row r="2044" spans="12:13" x14ac:dyDescent="0.2">
      <c r="L2044" s="5"/>
      <c r="M2044" s="5"/>
    </row>
    <row r="2045" spans="12:13" x14ac:dyDescent="0.2">
      <c r="L2045" s="5"/>
      <c r="M2045" s="5"/>
    </row>
    <row r="2046" spans="12:13" x14ac:dyDescent="0.2">
      <c r="L2046" s="5"/>
      <c r="M2046" s="5"/>
    </row>
    <row r="2047" spans="12:13" x14ac:dyDescent="0.2">
      <c r="L2047" s="5"/>
      <c r="M2047" s="5"/>
    </row>
    <row r="2048" spans="12:13" x14ac:dyDescent="0.2">
      <c r="L2048" s="5"/>
      <c r="M2048" s="5"/>
    </row>
    <row r="2049" spans="12:13" x14ac:dyDescent="0.2">
      <c r="L2049" s="5"/>
      <c r="M2049" s="5"/>
    </row>
    <row r="2050" spans="12:13" x14ac:dyDescent="0.2">
      <c r="L2050" s="5"/>
      <c r="M2050" s="5"/>
    </row>
    <row r="2051" spans="12:13" x14ac:dyDescent="0.2">
      <c r="L2051" s="5"/>
      <c r="M2051" s="5"/>
    </row>
    <row r="2052" spans="12:13" x14ac:dyDescent="0.2">
      <c r="L2052" s="5"/>
      <c r="M2052" s="5"/>
    </row>
    <row r="2053" spans="12:13" x14ac:dyDescent="0.2">
      <c r="L2053" s="5"/>
      <c r="M2053" s="5"/>
    </row>
    <row r="2054" spans="12:13" x14ac:dyDescent="0.2">
      <c r="L2054" s="5"/>
      <c r="M2054" s="5"/>
    </row>
    <row r="2055" spans="12:13" x14ac:dyDescent="0.2">
      <c r="L2055" s="5"/>
      <c r="M2055" s="5"/>
    </row>
    <row r="2056" spans="12:13" x14ac:dyDescent="0.2">
      <c r="L2056" s="5"/>
      <c r="M2056" s="5"/>
    </row>
    <row r="2057" spans="12:13" x14ac:dyDescent="0.2">
      <c r="L2057" s="5"/>
      <c r="M2057" s="5"/>
    </row>
    <row r="2058" spans="12:13" x14ac:dyDescent="0.2">
      <c r="L2058" s="5"/>
      <c r="M2058" s="5"/>
    </row>
    <row r="2059" spans="12:13" x14ac:dyDescent="0.2">
      <c r="L2059" s="5"/>
      <c r="M2059" s="5"/>
    </row>
    <row r="2060" spans="12:13" x14ac:dyDescent="0.2">
      <c r="L2060" s="5"/>
      <c r="M2060" s="5"/>
    </row>
    <row r="2061" spans="12:13" x14ac:dyDescent="0.2">
      <c r="L2061" s="5"/>
      <c r="M2061" s="5"/>
    </row>
    <row r="2062" spans="12:13" x14ac:dyDescent="0.2">
      <c r="L2062" s="5"/>
      <c r="M2062" s="5"/>
    </row>
    <row r="2063" spans="12:13" x14ac:dyDescent="0.2">
      <c r="L2063" s="5"/>
      <c r="M2063" s="5"/>
    </row>
    <row r="2064" spans="12:13" x14ac:dyDescent="0.2">
      <c r="L2064" s="5"/>
      <c r="M2064" s="5"/>
    </row>
    <row r="2065" spans="12:13" x14ac:dyDescent="0.2">
      <c r="L2065" s="5"/>
      <c r="M2065" s="5"/>
    </row>
    <row r="2066" spans="12:13" x14ac:dyDescent="0.2">
      <c r="L2066" s="5"/>
      <c r="M2066" s="5"/>
    </row>
    <row r="2067" spans="12:13" x14ac:dyDescent="0.2">
      <c r="L2067" s="5"/>
      <c r="M2067" s="5"/>
    </row>
    <row r="2068" spans="12:13" x14ac:dyDescent="0.2">
      <c r="L2068" s="5"/>
      <c r="M2068" s="5"/>
    </row>
    <row r="2069" spans="12:13" x14ac:dyDescent="0.2">
      <c r="L2069" s="5"/>
      <c r="M2069" s="5"/>
    </row>
    <row r="2070" spans="12:13" x14ac:dyDescent="0.2">
      <c r="L2070" s="5"/>
      <c r="M2070" s="5"/>
    </row>
    <row r="2071" spans="12:13" x14ac:dyDescent="0.2">
      <c r="L2071" s="5"/>
      <c r="M2071" s="5"/>
    </row>
    <row r="2072" spans="12:13" x14ac:dyDescent="0.2">
      <c r="L2072" s="5"/>
      <c r="M2072" s="5"/>
    </row>
    <row r="2073" spans="12:13" x14ac:dyDescent="0.2">
      <c r="L2073" s="5"/>
      <c r="M2073" s="5"/>
    </row>
    <row r="2074" spans="12:13" x14ac:dyDescent="0.2">
      <c r="L2074" s="5"/>
      <c r="M2074" s="5"/>
    </row>
    <row r="2075" spans="12:13" x14ac:dyDescent="0.2">
      <c r="L2075" s="5"/>
      <c r="M2075" s="5"/>
    </row>
    <row r="2076" spans="12:13" x14ac:dyDescent="0.2">
      <c r="L2076" s="5"/>
      <c r="M2076" s="5"/>
    </row>
    <row r="2077" spans="12:13" x14ac:dyDescent="0.2">
      <c r="L2077" s="5"/>
      <c r="M2077" s="5"/>
    </row>
    <row r="2078" spans="12:13" x14ac:dyDescent="0.2">
      <c r="L2078" s="5"/>
      <c r="M2078" s="5"/>
    </row>
    <row r="2079" spans="12:13" x14ac:dyDescent="0.2">
      <c r="L2079" s="5"/>
      <c r="M2079" s="5"/>
    </row>
    <row r="2080" spans="12:13" x14ac:dyDescent="0.2">
      <c r="L2080" s="5"/>
      <c r="M2080" s="5"/>
    </row>
    <row r="2081" spans="12:13" x14ac:dyDescent="0.2">
      <c r="L2081" s="5"/>
      <c r="M2081" s="5"/>
    </row>
    <row r="2082" spans="12:13" x14ac:dyDescent="0.2">
      <c r="L2082" s="5"/>
      <c r="M2082" s="5"/>
    </row>
    <row r="2083" spans="12:13" x14ac:dyDescent="0.2">
      <c r="L2083" s="5"/>
      <c r="M2083" s="5"/>
    </row>
    <row r="2084" spans="12:13" x14ac:dyDescent="0.2">
      <c r="L2084" s="5"/>
      <c r="M2084" s="5"/>
    </row>
    <row r="2085" spans="12:13" x14ac:dyDescent="0.2">
      <c r="L2085" s="5"/>
      <c r="M2085" s="5"/>
    </row>
    <row r="2086" spans="12:13" x14ac:dyDescent="0.2">
      <c r="L2086" s="5"/>
      <c r="M2086" s="5"/>
    </row>
    <row r="2087" spans="12:13" x14ac:dyDescent="0.2">
      <c r="L2087" s="5"/>
      <c r="M2087" s="5"/>
    </row>
    <row r="2088" spans="12:13" x14ac:dyDescent="0.2">
      <c r="L2088" s="5"/>
      <c r="M2088" s="5"/>
    </row>
    <row r="2089" spans="12:13" x14ac:dyDescent="0.2">
      <c r="L2089" s="5"/>
      <c r="M2089" s="5"/>
    </row>
    <row r="2090" spans="12:13" x14ac:dyDescent="0.2">
      <c r="L2090" s="5"/>
      <c r="M2090" s="5"/>
    </row>
    <row r="2091" spans="12:13" x14ac:dyDescent="0.2">
      <c r="L2091" s="5"/>
      <c r="M2091" s="5"/>
    </row>
    <row r="2092" spans="12:13" x14ac:dyDescent="0.2">
      <c r="L2092" s="5"/>
      <c r="M2092" s="5"/>
    </row>
    <row r="2093" spans="12:13" x14ac:dyDescent="0.2">
      <c r="L2093" s="5"/>
      <c r="M2093" s="5"/>
    </row>
    <row r="2094" spans="12:13" x14ac:dyDescent="0.2">
      <c r="L2094" s="5"/>
      <c r="M2094" s="5"/>
    </row>
    <row r="2095" spans="12:13" x14ac:dyDescent="0.2">
      <c r="L2095" s="5"/>
      <c r="M2095" s="5"/>
    </row>
    <row r="2096" spans="12:13" x14ac:dyDescent="0.2">
      <c r="L2096" s="5"/>
      <c r="M2096" s="5"/>
    </row>
    <row r="2097" spans="12:13" x14ac:dyDescent="0.2">
      <c r="L2097" s="5"/>
      <c r="M2097" s="5"/>
    </row>
    <row r="2098" spans="12:13" x14ac:dyDescent="0.2">
      <c r="L2098" s="5"/>
      <c r="M2098" s="5"/>
    </row>
    <row r="2099" spans="12:13" x14ac:dyDescent="0.2">
      <c r="L2099" s="5"/>
      <c r="M2099" s="5"/>
    </row>
    <row r="2100" spans="12:13" x14ac:dyDescent="0.2">
      <c r="L2100" s="5"/>
      <c r="M2100" s="5"/>
    </row>
    <row r="2101" spans="12:13" x14ac:dyDescent="0.2">
      <c r="L2101" s="5"/>
      <c r="M2101" s="5"/>
    </row>
    <row r="2102" spans="12:13" x14ac:dyDescent="0.2">
      <c r="L2102" s="5"/>
      <c r="M2102" s="5"/>
    </row>
    <row r="2103" spans="12:13" x14ac:dyDescent="0.2">
      <c r="L2103" s="5"/>
      <c r="M2103" s="5"/>
    </row>
    <row r="2104" spans="12:13" x14ac:dyDescent="0.2">
      <c r="L2104" s="5"/>
      <c r="M2104" s="5"/>
    </row>
    <row r="2105" spans="12:13" x14ac:dyDescent="0.2">
      <c r="L2105" s="5"/>
      <c r="M2105" s="5"/>
    </row>
    <row r="2106" spans="12:13" x14ac:dyDescent="0.2">
      <c r="L2106" s="5"/>
      <c r="M2106" s="5"/>
    </row>
    <row r="2107" spans="12:13" x14ac:dyDescent="0.2">
      <c r="L2107" s="5"/>
      <c r="M2107" s="5"/>
    </row>
    <row r="2108" spans="12:13" x14ac:dyDescent="0.2">
      <c r="L2108" s="5"/>
      <c r="M2108" s="5"/>
    </row>
    <row r="2109" spans="12:13" x14ac:dyDescent="0.2">
      <c r="L2109" s="5"/>
      <c r="M2109" s="5"/>
    </row>
    <row r="2110" spans="12:13" x14ac:dyDescent="0.2">
      <c r="L2110" s="5"/>
      <c r="M2110" s="5"/>
    </row>
    <row r="2111" spans="12:13" x14ac:dyDescent="0.2">
      <c r="L2111" s="5"/>
      <c r="M2111" s="5"/>
    </row>
    <row r="2112" spans="12:13" x14ac:dyDescent="0.2">
      <c r="L2112" s="5"/>
      <c r="M2112" s="5"/>
    </row>
    <row r="2113" spans="12:13" x14ac:dyDescent="0.2">
      <c r="L2113" s="5"/>
      <c r="M2113" s="5"/>
    </row>
    <row r="2114" spans="12:13" x14ac:dyDescent="0.2">
      <c r="L2114" s="5"/>
      <c r="M2114" s="5"/>
    </row>
    <row r="2115" spans="12:13" x14ac:dyDescent="0.2">
      <c r="L2115" s="5"/>
      <c r="M2115" s="5"/>
    </row>
    <row r="2116" spans="12:13" x14ac:dyDescent="0.2">
      <c r="L2116" s="5"/>
      <c r="M2116" s="5"/>
    </row>
    <row r="2117" spans="12:13" x14ac:dyDescent="0.2">
      <c r="L2117" s="5"/>
      <c r="M2117" s="5"/>
    </row>
    <row r="2118" spans="12:13" x14ac:dyDescent="0.2">
      <c r="L2118" s="5"/>
      <c r="M2118" s="5"/>
    </row>
    <row r="2119" spans="12:13" x14ac:dyDescent="0.2">
      <c r="L2119" s="5"/>
      <c r="M2119" s="5"/>
    </row>
    <row r="2120" spans="12:13" x14ac:dyDescent="0.2">
      <c r="L2120" s="5"/>
      <c r="M2120" s="5"/>
    </row>
    <row r="2121" spans="12:13" x14ac:dyDescent="0.2">
      <c r="L2121" s="5"/>
      <c r="M2121" s="5"/>
    </row>
    <row r="2122" spans="12:13" x14ac:dyDescent="0.2">
      <c r="L2122" s="5"/>
      <c r="M2122" s="5"/>
    </row>
    <row r="2123" spans="12:13" x14ac:dyDescent="0.2">
      <c r="L2123" s="5"/>
      <c r="M2123" s="5"/>
    </row>
    <row r="2124" spans="12:13" x14ac:dyDescent="0.2">
      <c r="L2124" s="5"/>
      <c r="M2124" s="5"/>
    </row>
    <row r="2125" spans="12:13" x14ac:dyDescent="0.2">
      <c r="L2125" s="5"/>
      <c r="M2125" s="5"/>
    </row>
    <row r="2126" spans="12:13" x14ac:dyDescent="0.2">
      <c r="L2126" s="5"/>
      <c r="M2126" s="5"/>
    </row>
    <row r="2127" spans="12:13" x14ac:dyDescent="0.2">
      <c r="L2127" s="5"/>
      <c r="M2127" s="5"/>
    </row>
    <row r="2128" spans="12:13" x14ac:dyDescent="0.2">
      <c r="L2128" s="5"/>
      <c r="M2128" s="5"/>
    </row>
    <row r="2129" spans="12:13" x14ac:dyDescent="0.2">
      <c r="L2129" s="5"/>
      <c r="M2129" s="5"/>
    </row>
    <row r="2130" spans="12:13" x14ac:dyDescent="0.2">
      <c r="L2130" s="5"/>
      <c r="M2130" s="5"/>
    </row>
    <row r="2131" spans="12:13" x14ac:dyDescent="0.2">
      <c r="L2131" s="5"/>
      <c r="M2131" s="5"/>
    </row>
    <row r="2132" spans="12:13" x14ac:dyDescent="0.2">
      <c r="L2132" s="5"/>
      <c r="M2132" s="5"/>
    </row>
    <row r="2133" spans="12:13" x14ac:dyDescent="0.2">
      <c r="L2133" s="5"/>
      <c r="M2133" s="5"/>
    </row>
    <row r="2134" spans="12:13" x14ac:dyDescent="0.2">
      <c r="L2134" s="5"/>
      <c r="M2134" s="5"/>
    </row>
    <row r="2135" spans="12:13" x14ac:dyDescent="0.2">
      <c r="L2135" s="5"/>
      <c r="M2135" s="5"/>
    </row>
    <row r="2136" spans="12:13" x14ac:dyDescent="0.2">
      <c r="L2136" s="5"/>
      <c r="M2136" s="5"/>
    </row>
    <row r="2137" spans="12:13" x14ac:dyDescent="0.2">
      <c r="L2137" s="5"/>
      <c r="M2137" s="5"/>
    </row>
    <row r="2138" spans="12:13" x14ac:dyDescent="0.2">
      <c r="L2138" s="5"/>
      <c r="M2138" s="5"/>
    </row>
    <row r="2139" spans="12:13" x14ac:dyDescent="0.2">
      <c r="L2139" s="5"/>
      <c r="M2139" s="5"/>
    </row>
    <row r="2140" spans="12:13" x14ac:dyDescent="0.2">
      <c r="L2140" s="5"/>
      <c r="M2140" s="5"/>
    </row>
    <row r="2141" spans="12:13" x14ac:dyDescent="0.2">
      <c r="L2141" s="5"/>
      <c r="M2141" s="5"/>
    </row>
    <row r="2142" spans="12:13" x14ac:dyDescent="0.2">
      <c r="L2142" s="5"/>
      <c r="M2142" s="5"/>
    </row>
    <row r="2143" spans="12:13" x14ac:dyDescent="0.2">
      <c r="L2143" s="5"/>
      <c r="M2143" s="5"/>
    </row>
    <row r="2144" spans="12:13" x14ac:dyDescent="0.2">
      <c r="L2144" s="5"/>
      <c r="M2144" s="5"/>
    </row>
    <row r="2145" spans="12:13" x14ac:dyDescent="0.2">
      <c r="L2145" s="5"/>
      <c r="M2145" s="5"/>
    </row>
    <row r="2146" spans="12:13" x14ac:dyDescent="0.2">
      <c r="L2146" s="5"/>
      <c r="M2146" s="5"/>
    </row>
    <row r="2147" spans="12:13" x14ac:dyDescent="0.2">
      <c r="L2147" s="5"/>
      <c r="M2147" s="5"/>
    </row>
    <row r="2148" spans="12:13" x14ac:dyDescent="0.2">
      <c r="L2148" s="5"/>
      <c r="M2148" s="5"/>
    </row>
    <row r="2149" spans="12:13" x14ac:dyDescent="0.2">
      <c r="L2149" s="5"/>
      <c r="M2149" s="5"/>
    </row>
    <row r="2150" spans="12:13" x14ac:dyDescent="0.2">
      <c r="L2150" s="5"/>
      <c r="M2150" s="5"/>
    </row>
    <row r="2151" spans="12:13" x14ac:dyDescent="0.2">
      <c r="L2151" s="5"/>
      <c r="M2151" s="5"/>
    </row>
    <row r="2152" spans="12:13" x14ac:dyDescent="0.2">
      <c r="L2152" s="5"/>
      <c r="M2152" s="5"/>
    </row>
    <row r="2153" spans="12:13" x14ac:dyDescent="0.2">
      <c r="L2153" s="5"/>
      <c r="M2153" s="5"/>
    </row>
    <row r="2154" spans="12:13" x14ac:dyDescent="0.2">
      <c r="L2154" s="5"/>
      <c r="M2154" s="5"/>
    </row>
    <row r="2155" spans="12:13" x14ac:dyDescent="0.2">
      <c r="L2155" s="5"/>
      <c r="M2155" s="5"/>
    </row>
    <row r="2156" spans="12:13" x14ac:dyDescent="0.2">
      <c r="L2156" s="5"/>
      <c r="M2156" s="5"/>
    </row>
    <row r="2157" spans="12:13" x14ac:dyDescent="0.2">
      <c r="L2157" s="5"/>
      <c r="M2157" s="5"/>
    </row>
    <row r="2158" spans="12:13" x14ac:dyDescent="0.2">
      <c r="L2158" s="5"/>
      <c r="M2158" s="5"/>
    </row>
    <row r="2159" spans="12:13" x14ac:dyDescent="0.2">
      <c r="L2159" s="5"/>
      <c r="M2159" s="5"/>
    </row>
    <row r="2160" spans="12:13" x14ac:dyDescent="0.2">
      <c r="L2160" s="5"/>
      <c r="M2160" s="5"/>
    </row>
    <row r="2161" spans="12:13" x14ac:dyDescent="0.2">
      <c r="L2161" s="5"/>
      <c r="M2161" s="5"/>
    </row>
    <row r="2162" spans="12:13" x14ac:dyDescent="0.2">
      <c r="L2162" s="5"/>
      <c r="M2162" s="5"/>
    </row>
    <row r="2163" spans="12:13" x14ac:dyDescent="0.2">
      <c r="L2163" s="5"/>
      <c r="M2163" s="5"/>
    </row>
    <row r="2164" spans="12:13" x14ac:dyDescent="0.2">
      <c r="L2164" s="5"/>
      <c r="M2164" s="5"/>
    </row>
    <row r="2165" spans="12:13" x14ac:dyDescent="0.2">
      <c r="L2165" s="5"/>
      <c r="M2165" s="5"/>
    </row>
    <row r="2166" spans="12:13" x14ac:dyDescent="0.2">
      <c r="L2166" s="5"/>
      <c r="M2166" s="5"/>
    </row>
    <row r="2167" spans="12:13" x14ac:dyDescent="0.2">
      <c r="L2167" s="5"/>
      <c r="M2167" s="5"/>
    </row>
    <row r="2168" spans="12:13" x14ac:dyDescent="0.2">
      <c r="L2168" s="5"/>
      <c r="M2168" s="5"/>
    </row>
    <row r="2169" spans="12:13" x14ac:dyDescent="0.2">
      <c r="L2169" s="5"/>
      <c r="M2169" s="5"/>
    </row>
    <row r="2170" spans="12:13" x14ac:dyDescent="0.2">
      <c r="L2170" s="5"/>
      <c r="M2170" s="5"/>
    </row>
    <row r="2171" spans="12:13" x14ac:dyDescent="0.2">
      <c r="L2171" s="5"/>
      <c r="M2171" s="5"/>
    </row>
    <row r="2172" spans="12:13" x14ac:dyDescent="0.2">
      <c r="L2172" s="5"/>
      <c r="M2172" s="5"/>
    </row>
    <row r="2173" spans="12:13" x14ac:dyDescent="0.2">
      <c r="L2173" s="5"/>
      <c r="M2173" s="5"/>
    </row>
    <row r="2174" spans="12:13" x14ac:dyDescent="0.2">
      <c r="L2174" s="5"/>
      <c r="M2174" s="5"/>
    </row>
    <row r="2175" spans="12:13" x14ac:dyDescent="0.2">
      <c r="L2175" s="5"/>
      <c r="M2175" s="5"/>
    </row>
    <row r="2176" spans="12:13" x14ac:dyDescent="0.2">
      <c r="L2176" s="5"/>
      <c r="M2176" s="5"/>
    </row>
    <row r="2177" spans="12:13" x14ac:dyDescent="0.2">
      <c r="L2177" s="5"/>
      <c r="M2177" s="5"/>
    </row>
    <row r="2178" spans="12:13" x14ac:dyDescent="0.2">
      <c r="L2178" s="5"/>
      <c r="M2178" s="5"/>
    </row>
    <row r="2179" spans="12:13" x14ac:dyDescent="0.2">
      <c r="L2179" s="5"/>
      <c r="M2179" s="5"/>
    </row>
    <row r="2180" spans="12:13" x14ac:dyDescent="0.2">
      <c r="L2180" s="5"/>
      <c r="M2180" s="5"/>
    </row>
    <row r="2181" spans="12:13" x14ac:dyDescent="0.2">
      <c r="L2181" s="5"/>
      <c r="M2181" s="5"/>
    </row>
    <row r="2182" spans="12:13" x14ac:dyDescent="0.2">
      <c r="L2182" s="5"/>
      <c r="M2182" s="5"/>
    </row>
    <row r="2183" spans="12:13" x14ac:dyDescent="0.2">
      <c r="L2183" s="5"/>
      <c r="M2183" s="5"/>
    </row>
    <row r="2184" spans="12:13" x14ac:dyDescent="0.2">
      <c r="L2184" s="5"/>
      <c r="M2184" s="5"/>
    </row>
    <row r="2185" spans="12:13" x14ac:dyDescent="0.2">
      <c r="L2185" s="5"/>
      <c r="M2185" s="5"/>
    </row>
    <row r="2186" spans="12:13" x14ac:dyDescent="0.2">
      <c r="L2186" s="5"/>
      <c r="M2186" s="5"/>
    </row>
    <row r="2187" spans="12:13" x14ac:dyDescent="0.2">
      <c r="L2187" s="5"/>
      <c r="M2187" s="5"/>
    </row>
    <row r="2188" spans="12:13" x14ac:dyDescent="0.2">
      <c r="L2188" s="5"/>
      <c r="M2188" s="5"/>
    </row>
    <row r="2189" spans="12:13" x14ac:dyDescent="0.2">
      <c r="L2189" s="5"/>
      <c r="M2189" s="5"/>
    </row>
    <row r="2190" spans="12:13" x14ac:dyDescent="0.2">
      <c r="L2190" s="5"/>
      <c r="M2190" s="5"/>
    </row>
    <row r="2191" spans="12:13" x14ac:dyDescent="0.2">
      <c r="L2191" s="5"/>
      <c r="M2191" s="5"/>
    </row>
    <row r="2192" spans="12:13" x14ac:dyDescent="0.2">
      <c r="L2192" s="5"/>
      <c r="M2192" s="5"/>
    </row>
    <row r="2193" spans="12:13" x14ac:dyDescent="0.2">
      <c r="L2193" s="5"/>
      <c r="M2193" s="5"/>
    </row>
    <row r="2194" spans="12:13" x14ac:dyDescent="0.2">
      <c r="L2194" s="5"/>
      <c r="M2194" s="5"/>
    </row>
    <row r="2195" spans="12:13" x14ac:dyDescent="0.2">
      <c r="L2195" s="5"/>
      <c r="M2195" s="5"/>
    </row>
    <row r="2196" spans="12:13" x14ac:dyDescent="0.2">
      <c r="L2196" s="5"/>
      <c r="M2196" s="5"/>
    </row>
    <row r="2197" spans="12:13" x14ac:dyDescent="0.2">
      <c r="L2197" s="5"/>
      <c r="M2197" s="5"/>
    </row>
    <row r="2198" spans="12:13" x14ac:dyDescent="0.2">
      <c r="L2198" s="5"/>
      <c r="M2198" s="5"/>
    </row>
    <row r="2199" spans="12:13" x14ac:dyDescent="0.2">
      <c r="L2199" s="5"/>
      <c r="M2199" s="5"/>
    </row>
    <row r="2200" spans="12:13" x14ac:dyDescent="0.2">
      <c r="L2200" s="5"/>
      <c r="M2200" s="5"/>
    </row>
    <row r="2201" spans="12:13" x14ac:dyDescent="0.2">
      <c r="L2201" s="5"/>
      <c r="M2201" s="5"/>
    </row>
    <row r="2202" spans="12:13" x14ac:dyDescent="0.2">
      <c r="L2202" s="5"/>
      <c r="M2202" s="5"/>
    </row>
    <row r="2203" spans="12:13" x14ac:dyDescent="0.2">
      <c r="L2203" s="5"/>
      <c r="M2203" s="5"/>
    </row>
    <row r="2204" spans="12:13" x14ac:dyDescent="0.2">
      <c r="L2204" s="5"/>
      <c r="M2204" s="5"/>
    </row>
    <row r="2205" spans="12:13" x14ac:dyDescent="0.2">
      <c r="L2205" s="5"/>
      <c r="M2205" s="5"/>
    </row>
    <row r="2206" spans="12:13" x14ac:dyDescent="0.2">
      <c r="L2206" s="5"/>
      <c r="M2206" s="5"/>
    </row>
    <row r="2207" spans="12:13" x14ac:dyDescent="0.2">
      <c r="L2207" s="5"/>
      <c r="M2207" s="5"/>
    </row>
    <row r="2208" spans="12:13" x14ac:dyDescent="0.2">
      <c r="L2208" s="5"/>
      <c r="M2208" s="5"/>
    </row>
    <row r="2209" spans="12:13" x14ac:dyDescent="0.2">
      <c r="L2209" s="5"/>
      <c r="M2209" s="5"/>
    </row>
    <row r="2210" spans="12:13" x14ac:dyDescent="0.2">
      <c r="L2210" s="5"/>
      <c r="M2210" s="5"/>
    </row>
    <row r="2211" spans="12:13" x14ac:dyDescent="0.2">
      <c r="L2211" s="5"/>
      <c r="M2211" s="5"/>
    </row>
    <row r="2212" spans="12:13" x14ac:dyDescent="0.2">
      <c r="L2212" s="5"/>
      <c r="M2212" s="5"/>
    </row>
    <row r="2213" spans="12:13" x14ac:dyDescent="0.2">
      <c r="L2213" s="5"/>
      <c r="M2213" s="5"/>
    </row>
    <row r="2214" spans="12:13" x14ac:dyDescent="0.2">
      <c r="L2214" s="5"/>
      <c r="M2214" s="5"/>
    </row>
    <row r="2215" spans="12:13" x14ac:dyDescent="0.2">
      <c r="L2215" s="5"/>
      <c r="M2215" s="5"/>
    </row>
    <row r="2216" spans="12:13" x14ac:dyDescent="0.2">
      <c r="L2216" s="5"/>
      <c r="M2216" s="5"/>
    </row>
    <row r="2217" spans="12:13" x14ac:dyDescent="0.2">
      <c r="L2217" s="5"/>
      <c r="M2217" s="5"/>
    </row>
    <row r="2218" spans="12:13" x14ac:dyDescent="0.2">
      <c r="L2218" s="5"/>
      <c r="M2218" s="5"/>
    </row>
    <row r="2219" spans="12:13" x14ac:dyDescent="0.2">
      <c r="L2219" s="5"/>
      <c r="M2219" s="5"/>
    </row>
    <row r="2220" spans="12:13" x14ac:dyDescent="0.2">
      <c r="L2220" s="5"/>
      <c r="M2220" s="5"/>
    </row>
    <row r="2221" spans="12:13" x14ac:dyDescent="0.2">
      <c r="L2221" s="5"/>
      <c r="M2221" s="5"/>
    </row>
    <row r="2222" spans="12:13" x14ac:dyDescent="0.2">
      <c r="L2222" s="5"/>
      <c r="M2222" s="5"/>
    </row>
    <row r="2223" spans="12:13" x14ac:dyDescent="0.2">
      <c r="L2223" s="5"/>
      <c r="M2223" s="5"/>
    </row>
    <row r="2224" spans="12:13" x14ac:dyDescent="0.2">
      <c r="L2224" s="5"/>
      <c r="M2224" s="5"/>
    </row>
    <row r="2225" spans="12:13" x14ac:dyDescent="0.2">
      <c r="L2225" s="5"/>
      <c r="M2225" s="5"/>
    </row>
    <row r="2226" spans="12:13" x14ac:dyDescent="0.2">
      <c r="L2226" s="5"/>
      <c r="M2226" s="5"/>
    </row>
    <row r="2227" spans="12:13" x14ac:dyDescent="0.2">
      <c r="L2227" s="5"/>
      <c r="M2227" s="5"/>
    </row>
    <row r="2228" spans="12:13" x14ac:dyDescent="0.2">
      <c r="L2228" s="5"/>
      <c r="M2228" s="5"/>
    </row>
    <row r="2229" spans="12:13" x14ac:dyDescent="0.2">
      <c r="L2229" s="5"/>
      <c r="M2229" s="5"/>
    </row>
    <row r="2230" spans="12:13" x14ac:dyDescent="0.2">
      <c r="L2230" s="5"/>
      <c r="M2230" s="5"/>
    </row>
    <row r="2231" spans="12:13" x14ac:dyDescent="0.2">
      <c r="L2231" s="5"/>
      <c r="M2231" s="5"/>
    </row>
    <row r="2232" spans="12:13" x14ac:dyDescent="0.2">
      <c r="L2232" s="5"/>
      <c r="M2232" s="5"/>
    </row>
    <row r="2233" spans="12:13" x14ac:dyDescent="0.2">
      <c r="L2233" s="5"/>
      <c r="M2233" s="5"/>
    </row>
    <row r="2234" spans="12:13" x14ac:dyDescent="0.2">
      <c r="L2234" s="5"/>
      <c r="M2234" s="5"/>
    </row>
    <row r="2235" spans="12:13" x14ac:dyDescent="0.2">
      <c r="L2235" s="5"/>
      <c r="M2235" s="5"/>
    </row>
    <row r="2236" spans="12:13" x14ac:dyDescent="0.2">
      <c r="L2236" s="5"/>
      <c r="M2236" s="5"/>
    </row>
    <row r="2237" spans="12:13" x14ac:dyDescent="0.2">
      <c r="L2237" s="5"/>
      <c r="M2237" s="5"/>
    </row>
    <row r="2238" spans="12:13" x14ac:dyDescent="0.2">
      <c r="L2238" s="5"/>
      <c r="M2238" s="5"/>
    </row>
    <row r="2239" spans="12:13" x14ac:dyDescent="0.2">
      <c r="L2239" s="5"/>
      <c r="M2239" s="5"/>
    </row>
    <row r="2240" spans="12:13" x14ac:dyDescent="0.2">
      <c r="L2240" s="5"/>
      <c r="M2240" s="5"/>
    </row>
    <row r="2241" spans="12:13" x14ac:dyDescent="0.2">
      <c r="L2241" s="5"/>
      <c r="M2241" s="5"/>
    </row>
    <row r="2242" spans="12:13" x14ac:dyDescent="0.2">
      <c r="L2242" s="5"/>
      <c r="M2242" s="5"/>
    </row>
    <row r="2243" spans="12:13" x14ac:dyDescent="0.2">
      <c r="L2243" s="5"/>
      <c r="M2243" s="5"/>
    </row>
    <row r="2244" spans="12:13" x14ac:dyDescent="0.2">
      <c r="L2244" s="5"/>
      <c r="M2244" s="5"/>
    </row>
    <row r="2245" spans="12:13" x14ac:dyDescent="0.2">
      <c r="L2245" s="5"/>
      <c r="M2245" s="5"/>
    </row>
    <row r="2246" spans="12:13" x14ac:dyDescent="0.2">
      <c r="L2246" s="5"/>
      <c r="M2246" s="5"/>
    </row>
    <row r="2247" spans="12:13" x14ac:dyDescent="0.2">
      <c r="L2247" s="5"/>
      <c r="M2247" s="5"/>
    </row>
    <row r="2248" spans="12:13" x14ac:dyDescent="0.2">
      <c r="L2248" s="5"/>
      <c r="M2248" s="5"/>
    </row>
    <row r="2249" spans="12:13" x14ac:dyDescent="0.2">
      <c r="L2249" s="5"/>
      <c r="M2249" s="5"/>
    </row>
    <row r="2250" spans="12:13" x14ac:dyDescent="0.2">
      <c r="L2250" s="5"/>
      <c r="M2250" s="5"/>
    </row>
    <row r="2251" spans="12:13" x14ac:dyDescent="0.2">
      <c r="L2251" s="5"/>
      <c r="M2251" s="5"/>
    </row>
    <row r="2252" spans="12:13" x14ac:dyDescent="0.2">
      <c r="L2252" s="5"/>
      <c r="M2252" s="5"/>
    </row>
    <row r="2253" spans="12:13" x14ac:dyDescent="0.2">
      <c r="L2253" s="5"/>
      <c r="M2253" s="5"/>
    </row>
    <row r="2254" spans="12:13" x14ac:dyDescent="0.2">
      <c r="L2254" s="5"/>
      <c r="M2254" s="5"/>
    </row>
    <row r="2255" spans="12:13" x14ac:dyDescent="0.2">
      <c r="L2255" s="5"/>
      <c r="M2255" s="5"/>
    </row>
    <row r="2256" spans="12:13" x14ac:dyDescent="0.2">
      <c r="L2256" s="5"/>
      <c r="M2256" s="5"/>
    </row>
    <row r="2257" spans="12:13" x14ac:dyDescent="0.2">
      <c r="L2257" s="5"/>
      <c r="M2257" s="5"/>
    </row>
    <row r="2258" spans="12:13" x14ac:dyDescent="0.2">
      <c r="L2258" s="5"/>
      <c r="M2258" s="5"/>
    </row>
    <row r="2259" spans="12:13" x14ac:dyDescent="0.2">
      <c r="L2259" s="5"/>
      <c r="M2259" s="5"/>
    </row>
    <row r="2260" spans="12:13" x14ac:dyDescent="0.2">
      <c r="L2260" s="5"/>
      <c r="M2260" s="5"/>
    </row>
    <row r="2261" spans="12:13" x14ac:dyDescent="0.2">
      <c r="L2261" s="5"/>
      <c r="M2261" s="5"/>
    </row>
    <row r="2262" spans="12:13" x14ac:dyDescent="0.2">
      <c r="L2262" s="5"/>
      <c r="M2262" s="5"/>
    </row>
    <row r="2263" spans="12:13" x14ac:dyDescent="0.2">
      <c r="L2263" s="5"/>
      <c r="M2263" s="5"/>
    </row>
    <row r="2264" spans="12:13" x14ac:dyDescent="0.2">
      <c r="L2264" s="5"/>
      <c r="M2264" s="5"/>
    </row>
    <row r="2265" spans="12:13" x14ac:dyDescent="0.2">
      <c r="L2265" s="5"/>
      <c r="M2265" s="5"/>
    </row>
    <row r="2266" spans="12:13" x14ac:dyDescent="0.2">
      <c r="L2266" s="5"/>
      <c r="M2266" s="5"/>
    </row>
    <row r="2267" spans="12:13" x14ac:dyDescent="0.2">
      <c r="L2267" s="5"/>
      <c r="M2267" s="5"/>
    </row>
    <row r="2268" spans="12:13" x14ac:dyDescent="0.2">
      <c r="L2268" s="5"/>
      <c r="M2268" s="5"/>
    </row>
    <row r="2269" spans="12:13" x14ac:dyDescent="0.2">
      <c r="L2269" s="5"/>
      <c r="M2269" s="5"/>
    </row>
    <row r="2270" spans="12:13" x14ac:dyDescent="0.2">
      <c r="L2270" s="5"/>
      <c r="M2270" s="5"/>
    </row>
    <row r="2271" spans="12:13" x14ac:dyDescent="0.2">
      <c r="L2271" s="5"/>
      <c r="M2271" s="5"/>
    </row>
    <row r="2272" spans="12:13" x14ac:dyDescent="0.2">
      <c r="L2272" s="5"/>
      <c r="M2272" s="5"/>
    </row>
    <row r="2273" spans="12:13" x14ac:dyDescent="0.2">
      <c r="L2273" s="5"/>
      <c r="M2273" s="5"/>
    </row>
    <row r="2274" spans="12:13" x14ac:dyDescent="0.2">
      <c r="L2274" s="5"/>
      <c r="M2274" s="5"/>
    </row>
    <row r="2275" spans="12:13" x14ac:dyDescent="0.2">
      <c r="L2275" s="5"/>
      <c r="M2275" s="5"/>
    </row>
    <row r="2276" spans="12:13" x14ac:dyDescent="0.2">
      <c r="L2276" s="5"/>
      <c r="M2276" s="5"/>
    </row>
    <row r="2277" spans="12:13" x14ac:dyDescent="0.2">
      <c r="L2277" s="5"/>
      <c r="M2277" s="5"/>
    </row>
    <row r="2278" spans="12:13" x14ac:dyDescent="0.2">
      <c r="L2278" s="5"/>
      <c r="M2278" s="5"/>
    </row>
    <row r="2279" spans="12:13" x14ac:dyDescent="0.2">
      <c r="L2279" s="5"/>
      <c r="M2279" s="5"/>
    </row>
    <row r="2280" spans="12:13" x14ac:dyDescent="0.2">
      <c r="L2280" s="5"/>
      <c r="M2280" s="5"/>
    </row>
    <row r="2281" spans="12:13" x14ac:dyDescent="0.2">
      <c r="L2281" s="5"/>
      <c r="M2281" s="5"/>
    </row>
    <row r="2282" spans="12:13" x14ac:dyDescent="0.2">
      <c r="L2282" s="5"/>
      <c r="M2282" s="5"/>
    </row>
    <row r="2283" spans="12:13" x14ac:dyDescent="0.2">
      <c r="L2283" s="5"/>
      <c r="M2283" s="5"/>
    </row>
    <row r="2284" spans="12:13" x14ac:dyDescent="0.2">
      <c r="L2284" s="5"/>
      <c r="M2284" s="5"/>
    </row>
    <row r="2285" spans="12:13" x14ac:dyDescent="0.2">
      <c r="L2285" s="5"/>
      <c r="M2285" s="5"/>
    </row>
    <row r="2286" spans="12:13" x14ac:dyDescent="0.2">
      <c r="L2286" s="5"/>
      <c r="M2286" s="5"/>
    </row>
    <row r="2287" spans="12:13" x14ac:dyDescent="0.2">
      <c r="L2287" s="5"/>
      <c r="M2287" s="5"/>
    </row>
    <row r="2288" spans="12:13" x14ac:dyDescent="0.2">
      <c r="L2288" s="5"/>
      <c r="M2288" s="5"/>
    </row>
    <row r="2289" spans="12:13" x14ac:dyDescent="0.2">
      <c r="L2289" s="5"/>
      <c r="M2289" s="5"/>
    </row>
    <row r="2290" spans="12:13" x14ac:dyDescent="0.2">
      <c r="L2290" s="5"/>
      <c r="M2290" s="5"/>
    </row>
    <row r="2291" spans="12:13" x14ac:dyDescent="0.2">
      <c r="L2291" s="5"/>
      <c r="M2291" s="5"/>
    </row>
    <row r="2292" spans="12:13" x14ac:dyDescent="0.2">
      <c r="L2292" s="5"/>
      <c r="M2292" s="5"/>
    </row>
    <row r="2293" spans="12:13" x14ac:dyDescent="0.2">
      <c r="L2293" s="5"/>
      <c r="M2293" s="5"/>
    </row>
    <row r="2294" spans="12:13" x14ac:dyDescent="0.2">
      <c r="L2294" s="5"/>
      <c r="M2294" s="5"/>
    </row>
    <row r="2295" spans="12:13" x14ac:dyDescent="0.2">
      <c r="L2295" s="5"/>
      <c r="M2295" s="5"/>
    </row>
    <row r="2296" spans="12:13" x14ac:dyDescent="0.2">
      <c r="L2296" s="5"/>
      <c r="M2296" s="5"/>
    </row>
    <row r="2297" spans="12:13" x14ac:dyDescent="0.2">
      <c r="L2297" s="5"/>
      <c r="M2297" s="5"/>
    </row>
    <row r="2298" spans="12:13" x14ac:dyDescent="0.2">
      <c r="L2298" s="5"/>
      <c r="M2298" s="5"/>
    </row>
    <row r="2299" spans="12:13" x14ac:dyDescent="0.2">
      <c r="L2299" s="5"/>
      <c r="M2299" s="5"/>
    </row>
    <row r="2300" spans="12:13" x14ac:dyDescent="0.2">
      <c r="L2300" s="5"/>
      <c r="M2300" s="5"/>
    </row>
    <row r="2301" spans="12:13" x14ac:dyDescent="0.2">
      <c r="L2301" s="5"/>
      <c r="M2301" s="5"/>
    </row>
    <row r="2302" spans="12:13" x14ac:dyDescent="0.2">
      <c r="L2302" s="5"/>
      <c r="M2302" s="5"/>
    </row>
    <row r="2303" spans="12:13" x14ac:dyDescent="0.2">
      <c r="L2303" s="5"/>
      <c r="M2303" s="5"/>
    </row>
    <row r="2304" spans="12:13" x14ac:dyDescent="0.2">
      <c r="L2304" s="5"/>
      <c r="M2304" s="5"/>
    </row>
    <row r="2305" spans="12:13" x14ac:dyDescent="0.2">
      <c r="L2305" s="5"/>
      <c r="M2305" s="5"/>
    </row>
    <row r="2306" spans="12:13" x14ac:dyDescent="0.2">
      <c r="L2306" s="5"/>
      <c r="M2306" s="5"/>
    </row>
    <row r="2307" spans="12:13" x14ac:dyDescent="0.2">
      <c r="L2307" s="5"/>
      <c r="M2307" s="5"/>
    </row>
    <row r="2308" spans="12:13" x14ac:dyDescent="0.2">
      <c r="L2308" s="5"/>
      <c r="M2308" s="5"/>
    </row>
    <row r="2309" spans="12:13" x14ac:dyDescent="0.2">
      <c r="L2309" s="5"/>
      <c r="M2309" s="5"/>
    </row>
    <row r="2310" spans="12:13" x14ac:dyDescent="0.2">
      <c r="L2310" s="5"/>
      <c r="M2310" s="5"/>
    </row>
    <row r="2311" spans="12:13" x14ac:dyDescent="0.2">
      <c r="L2311" s="5"/>
      <c r="M2311" s="5"/>
    </row>
    <row r="2312" spans="12:13" x14ac:dyDescent="0.2">
      <c r="L2312" s="5"/>
      <c r="M2312" s="5"/>
    </row>
    <row r="2313" spans="12:13" x14ac:dyDescent="0.2">
      <c r="L2313" s="5"/>
      <c r="M2313" s="5"/>
    </row>
    <row r="2314" spans="12:13" x14ac:dyDescent="0.2">
      <c r="L2314" s="5"/>
      <c r="M2314" s="5"/>
    </row>
    <row r="2315" spans="12:13" x14ac:dyDescent="0.2">
      <c r="L2315" s="5"/>
      <c r="M2315" s="5"/>
    </row>
    <row r="2316" spans="12:13" x14ac:dyDescent="0.2">
      <c r="L2316" s="5"/>
      <c r="M2316" s="5"/>
    </row>
    <row r="2317" spans="12:13" x14ac:dyDescent="0.2">
      <c r="L2317" s="5"/>
      <c r="M2317" s="5"/>
    </row>
    <row r="2318" spans="12:13" x14ac:dyDescent="0.2">
      <c r="L2318" s="5"/>
      <c r="M2318" s="5"/>
    </row>
    <row r="2319" spans="12:13" x14ac:dyDescent="0.2">
      <c r="L2319" s="5"/>
      <c r="M2319" s="5"/>
    </row>
    <row r="2320" spans="12:13" x14ac:dyDescent="0.2">
      <c r="L2320" s="5"/>
      <c r="M2320" s="5"/>
    </row>
    <row r="2321" spans="12:13" x14ac:dyDescent="0.2">
      <c r="L2321" s="5"/>
      <c r="M2321" s="5"/>
    </row>
    <row r="2322" spans="12:13" x14ac:dyDescent="0.2">
      <c r="L2322" s="5"/>
      <c r="M2322" s="5"/>
    </row>
    <row r="2323" spans="12:13" x14ac:dyDescent="0.2">
      <c r="L2323" s="5"/>
      <c r="M2323" s="5"/>
    </row>
    <row r="2324" spans="12:13" x14ac:dyDescent="0.2">
      <c r="L2324" s="5"/>
      <c r="M2324" s="5"/>
    </row>
    <row r="2325" spans="12:13" x14ac:dyDescent="0.2">
      <c r="L2325" s="5"/>
      <c r="M2325" s="5"/>
    </row>
    <row r="2326" spans="12:13" x14ac:dyDescent="0.2">
      <c r="L2326" s="5"/>
      <c r="M2326" s="5"/>
    </row>
    <row r="2327" spans="12:13" x14ac:dyDescent="0.2">
      <c r="L2327" s="5"/>
      <c r="M2327" s="5"/>
    </row>
    <row r="2328" spans="12:13" x14ac:dyDescent="0.2">
      <c r="L2328" s="5"/>
      <c r="M2328" s="5"/>
    </row>
    <row r="2329" spans="12:13" x14ac:dyDescent="0.2">
      <c r="L2329" s="5"/>
      <c r="M2329" s="5"/>
    </row>
    <row r="2330" spans="12:13" x14ac:dyDescent="0.2">
      <c r="L2330" s="5"/>
      <c r="M2330" s="5"/>
    </row>
    <row r="2331" spans="12:13" x14ac:dyDescent="0.2">
      <c r="L2331" s="5"/>
      <c r="M2331" s="5"/>
    </row>
    <row r="2332" spans="12:13" x14ac:dyDescent="0.2">
      <c r="L2332" s="5"/>
      <c r="M2332" s="5"/>
    </row>
    <row r="2333" spans="12:13" x14ac:dyDescent="0.2">
      <c r="L2333" s="5"/>
      <c r="M2333" s="5"/>
    </row>
    <row r="2334" spans="12:13" x14ac:dyDescent="0.2">
      <c r="L2334" s="5"/>
      <c r="M2334" s="5"/>
    </row>
    <row r="2335" spans="12:13" x14ac:dyDescent="0.2">
      <c r="L2335" s="5"/>
      <c r="M2335" s="5"/>
    </row>
    <row r="2336" spans="12:13" x14ac:dyDescent="0.2">
      <c r="L2336" s="5"/>
      <c r="M2336" s="5"/>
    </row>
    <row r="2337" spans="12:13" x14ac:dyDescent="0.2">
      <c r="L2337" s="5"/>
      <c r="M2337" s="5"/>
    </row>
    <row r="2338" spans="12:13" x14ac:dyDescent="0.2">
      <c r="L2338" s="5"/>
      <c r="M2338" s="5"/>
    </row>
    <row r="2339" spans="12:13" x14ac:dyDescent="0.2">
      <c r="L2339" s="5"/>
      <c r="M2339" s="5"/>
    </row>
    <row r="2340" spans="12:13" x14ac:dyDescent="0.2">
      <c r="L2340" s="5"/>
      <c r="M2340" s="5"/>
    </row>
    <row r="2341" spans="12:13" x14ac:dyDescent="0.2">
      <c r="L2341" s="5"/>
      <c r="M2341" s="5"/>
    </row>
    <row r="2342" spans="12:13" x14ac:dyDescent="0.2">
      <c r="L2342" s="5"/>
      <c r="M2342" s="5"/>
    </row>
    <row r="2343" spans="12:13" x14ac:dyDescent="0.2">
      <c r="L2343" s="5"/>
      <c r="M2343" s="5"/>
    </row>
    <row r="2344" spans="12:13" x14ac:dyDescent="0.2">
      <c r="L2344" s="5"/>
      <c r="M2344" s="5"/>
    </row>
    <row r="2345" spans="12:13" x14ac:dyDescent="0.2">
      <c r="L2345" s="5"/>
      <c r="M2345" s="5"/>
    </row>
    <row r="2346" spans="12:13" x14ac:dyDescent="0.2">
      <c r="L2346" s="5"/>
      <c r="M2346" s="5"/>
    </row>
    <row r="2347" spans="12:13" x14ac:dyDescent="0.2">
      <c r="L2347" s="5"/>
      <c r="M2347" s="5"/>
    </row>
    <row r="2348" spans="12:13" x14ac:dyDescent="0.2">
      <c r="L2348" s="5"/>
      <c r="M2348" s="5"/>
    </row>
    <row r="2349" spans="12:13" x14ac:dyDescent="0.2">
      <c r="L2349" s="5"/>
      <c r="M2349" s="5"/>
    </row>
    <row r="2350" spans="12:13" x14ac:dyDescent="0.2">
      <c r="L2350" s="5"/>
      <c r="M2350" s="5"/>
    </row>
    <row r="2351" spans="12:13" x14ac:dyDescent="0.2">
      <c r="L2351" s="5"/>
      <c r="M2351" s="5"/>
    </row>
    <row r="2352" spans="12:13" x14ac:dyDescent="0.2">
      <c r="L2352" s="5"/>
      <c r="M2352" s="5"/>
    </row>
    <row r="2353" spans="12:13" x14ac:dyDescent="0.2">
      <c r="L2353" s="5"/>
      <c r="M2353" s="5"/>
    </row>
    <row r="2354" spans="12:13" x14ac:dyDescent="0.2">
      <c r="L2354" s="5"/>
      <c r="M2354" s="5"/>
    </row>
    <row r="2355" spans="12:13" x14ac:dyDescent="0.2">
      <c r="L2355" s="5"/>
      <c r="M2355" s="5"/>
    </row>
    <row r="2356" spans="12:13" x14ac:dyDescent="0.2">
      <c r="L2356" s="5"/>
      <c r="M2356" s="5"/>
    </row>
    <row r="2357" spans="12:13" x14ac:dyDescent="0.2">
      <c r="L2357" s="5"/>
      <c r="M2357" s="5"/>
    </row>
    <row r="2358" spans="12:13" x14ac:dyDescent="0.2">
      <c r="L2358" s="5"/>
      <c r="M2358" s="5"/>
    </row>
    <row r="2359" spans="12:13" x14ac:dyDescent="0.2">
      <c r="L2359" s="5"/>
      <c r="M2359" s="5"/>
    </row>
    <row r="2360" spans="12:13" x14ac:dyDescent="0.2">
      <c r="L2360" s="5"/>
      <c r="M2360" s="5"/>
    </row>
    <row r="2361" spans="12:13" x14ac:dyDescent="0.2">
      <c r="L2361" s="5"/>
      <c r="M2361" s="5"/>
    </row>
    <row r="2362" spans="12:13" x14ac:dyDescent="0.2">
      <c r="L2362" s="5"/>
      <c r="M2362" s="5"/>
    </row>
    <row r="2363" spans="12:13" x14ac:dyDescent="0.2">
      <c r="L2363" s="5"/>
      <c r="M2363" s="5"/>
    </row>
    <row r="2364" spans="12:13" x14ac:dyDescent="0.2">
      <c r="L2364" s="5"/>
      <c r="M2364" s="5"/>
    </row>
    <row r="2365" spans="12:13" x14ac:dyDescent="0.2">
      <c r="L2365" s="5"/>
      <c r="M2365" s="5"/>
    </row>
    <row r="2366" spans="12:13" x14ac:dyDescent="0.2">
      <c r="L2366" s="5"/>
      <c r="M2366" s="5"/>
    </row>
    <row r="2367" spans="12:13" x14ac:dyDescent="0.2">
      <c r="L2367" s="5"/>
      <c r="M2367" s="5"/>
    </row>
    <row r="2368" spans="12:13" x14ac:dyDescent="0.2">
      <c r="L2368" s="5"/>
      <c r="M2368" s="5"/>
    </row>
    <row r="2369" spans="12:13" x14ac:dyDescent="0.2">
      <c r="L2369" s="5"/>
      <c r="M2369" s="5"/>
    </row>
    <row r="2370" spans="12:13" x14ac:dyDescent="0.2">
      <c r="L2370" s="5"/>
      <c r="M2370" s="5"/>
    </row>
    <row r="2371" spans="12:13" x14ac:dyDescent="0.2">
      <c r="L2371" s="5"/>
      <c r="M2371" s="5"/>
    </row>
    <row r="2372" spans="12:13" x14ac:dyDescent="0.2">
      <c r="L2372" s="5"/>
      <c r="M2372" s="5"/>
    </row>
    <row r="2373" spans="12:13" x14ac:dyDescent="0.2">
      <c r="L2373" s="5"/>
      <c r="M2373" s="5"/>
    </row>
    <row r="2374" spans="12:13" x14ac:dyDescent="0.2">
      <c r="L2374" s="5"/>
      <c r="M2374" s="5"/>
    </row>
    <row r="2375" spans="12:13" x14ac:dyDescent="0.2">
      <c r="L2375" s="5"/>
      <c r="M2375" s="5"/>
    </row>
    <row r="2376" spans="12:13" x14ac:dyDescent="0.2">
      <c r="L2376" s="5"/>
      <c r="M2376" s="5"/>
    </row>
    <row r="2377" spans="12:13" x14ac:dyDescent="0.2">
      <c r="L2377" s="5"/>
      <c r="M2377" s="5"/>
    </row>
    <row r="2378" spans="12:13" x14ac:dyDescent="0.2">
      <c r="L2378" s="5"/>
      <c r="M2378" s="5"/>
    </row>
    <row r="2379" spans="12:13" x14ac:dyDescent="0.2">
      <c r="L2379" s="5"/>
      <c r="M2379" s="5"/>
    </row>
    <row r="2380" spans="12:13" x14ac:dyDescent="0.2">
      <c r="L2380" s="5"/>
      <c r="M2380" s="5"/>
    </row>
    <row r="2381" spans="12:13" x14ac:dyDescent="0.2">
      <c r="L2381" s="5"/>
      <c r="M2381" s="5"/>
    </row>
    <row r="2382" spans="12:13" x14ac:dyDescent="0.2">
      <c r="L2382" s="5"/>
      <c r="M2382" s="5"/>
    </row>
    <row r="2383" spans="12:13" x14ac:dyDescent="0.2">
      <c r="L2383" s="5"/>
      <c r="M2383" s="5"/>
    </row>
    <row r="2384" spans="12:13" x14ac:dyDescent="0.2">
      <c r="L2384" s="5"/>
      <c r="M2384" s="5"/>
    </row>
    <row r="2385" spans="12:13" x14ac:dyDescent="0.2">
      <c r="L2385" s="5"/>
      <c r="M2385" s="5"/>
    </row>
    <row r="2386" spans="12:13" x14ac:dyDescent="0.2">
      <c r="L2386" s="5"/>
      <c r="M2386" s="5"/>
    </row>
    <row r="2387" spans="12:13" x14ac:dyDescent="0.2">
      <c r="L2387" s="5"/>
      <c r="M2387" s="5"/>
    </row>
    <row r="2388" spans="12:13" x14ac:dyDescent="0.2">
      <c r="L2388" s="5"/>
      <c r="M2388" s="5"/>
    </row>
    <row r="2389" spans="12:13" x14ac:dyDescent="0.2">
      <c r="L2389" s="5"/>
      <c r="M2389" s="5"/>
    </row>
    <row r="2390" spans="12:13" x14ac:dyDescent="0.2">
      <c r="L2390" s="5"/>
      <c r="M2390" s="5"/>
    </row>
    <row r="2391" spans="12:13" x14ac:dyDescent="0.2">
      <c r="L2391" s="5"/>
      <c r="M2391" s="5"/>
    </row>
    <row r="2392" spans="12:13" x14ac:dyDescent="0.2">
      <c r="L2392" s="5"/>
      <c r="M2392" s="5"/>
    </row>
    <row r="2393" spans="12:13" x14ac:dyDescent="0.2">
      <c r="L2393" s="5"/>
      <c r="M2393" s="5"/>
    </row>
    <row r="2394" spans="12:13" x14ac:dyDescent="0.2">
      <c r="L2394" s="5"/>
      <c r="M2394" s="5"/>
    </row>
    <row r="2395" spans="12:13" x14ac:dyDescent="0.2">
      <c r="L2395" s="5"/>
      <c r="M2395" s="5"/>
    </row>
    <row r="2396" spans="12:13" x14ac:dyDescent="0.2">
      <c r="L2396" s="5"/>
      <c r="M2396" s="5"/>
    </row>
    <row r="2397" spans="12:13" x14ac:dyDescent="0.2">
      <c r="L2397" s="5"/>
      <c r="M2397" s="5"/>
    </row>
    <row r="2398" spans="12:13" x14ac:dyDescent="0.2">
      <c r="L2398" s="5"/>
      <c r="M2398" s="5"/>
    </row>
    <row r="2399" spans="12:13" x14ac:dyDescent="0.2">
      <c r="L2399" s="5"/>
      <c r="M2399" s="5"/>
    </row>
    <row r="2400" spans="12:13" x14ac:dyDescent="0.2">
      <c r="L2400" s="5"/>
      <c r="M2400" s="5"/>
    </row>
    <row r="2401" spans="12:13" x14ac:dyDescent="0.2">
      <c r="L2401" s="5"/>
      <c r="M2401" s="5"/>
    </row>
    <row r="2402" spans="12:13" x14ac:dyDescent="0.2">
      <c r="L2402" s="5"/>
      <c r="M2402" s="5"/>
    </row>
    <row r="2403" spans="12:13" x14ac:dyDescent="0.2">
      <c r="L2403" s="5"/>
      <c r="M2403" s="5"/>
    </row>
    <row r="2404" spans="12:13" x14ac:dyDescent="0.2">
      <c r="L2404" s="5"/>
      <c r="M2404" s="5"/>
    </row>
    <row r="2405" spans="12:13" x14ac:dyDescent="0.2">
      <c r="L2405" s="5"/>
      <c r="M2405" s="5"/>
    </row>
    <row r="2406" spans="12:13" x14ac:dyDescent="0.2">
      <c r="L2406" s="5"/>
      <c r="M2406" s="5"/>
    </row>
    <row r="2407" spans="12:13" x14ac:dyDescent="0.2">
      <c r="L2407" s="5"/>
      <c r="M2407" s="5"/>
    </row>
    <row r="2408" spans="12:13" x14ac:dyDescent="0.2">
      <c r="L2408" s="5"/>
      <c r="M2408" s="5"/>
    </row>
    <row r="2409" spans="12:13" x14ac:dyDescent="0.2">
      <c r="L2409" s="5"/>
      <c r="M2409" s="5"/>
    </row>
    <row r="2410" spans="12:13" x14ac:dyDescent="0.2">
      <c r="L2410" s="5"/>
      <c r="M2410" s="5"/>
    </row>
    <row r="2411" spans="12:13" x14ac:dyDescent="0.2">
      <c r="L2411" s="5"/>
      <c r="M2411" s="5"/>
    </row>
    <row r="2412" spans="12:13" x14ac:dyDescent="0.2">
      <c r="L2412" s="5"/>
      <c r="M2412" s="5"/>
    </row>
    <row r="2413" spans="12:13" x14ac:dyDescent="0.2">
      <c r="L2413" s="5"/>
      <c r="M2413" s="5"/>
    </row>
    <row r="2414" spans="12:13" x14ac:dyDescent="0.2">
      <c r="L2414" s="5"/>
      <c r="M2414" s="5"/>
    </row>
    <row r="2415" spans="12:13" x14ac:dyDescent="0.2">
      <c r="L2415" s="5"/>
      <c r="M2415" s="5"/>
    </row>
    <row r="2416" spans="12:13" x14ac:dyDescent="0.2">
      <c r="L2416" s="5"/>
      <c r="M2416" s="5"/>
    </row>
    <row r="2417" spans="12:13" x14ac:dyDescent="0.2">
      <c r="L2417" s="5"/>
      <c r="M2417" s="5"/>
    </row>
    <row r="2418" spans="12:13" x14ac:dyDescent="0.2">
      <c r="L2418" s="5"/>
      <c r="M2418" s="5"/>
    </row>
    <row r="2419" spans="12:13" x14ac:dyDescent="0.2">
      <c r="L2419" s="5"/>
      <c r="M2419" s="5"/>
    </row>
    <row r="2420" spans="12:13" x14ac:dyDescent="0.2">
      <c r="L2420" s="5"/>
      <c r="M2420" s="5"/>
    </row>
    <row r="2421" spans="12:13" x14ac:dyDescent="0.2">
      <c r="L2421" s="5"/>
      <c r="M2421" s="5"/>
    </row>
    <row r="2422" spans="12:13" x14ac:dyDescent="0.2">
      <c r="L2422" s="5"/>
      <c r="M2422" s="5"/>
    </row>
    <row r="2423" spans="12:13" x14ac:dyDescent="0.2">
      <c r="L2423" s="5"/>
      <c r="M2423" s="5"/>
    </row>
    <row r="2424" spans="12:13" x14ac:dyDescent="0.2">
      <c r="L2424" s="5"/>
      <c r="M2424" s="5"/>
    </row>
    <row r="2425" spans="12:13" x14ac:dyDescent="0.2">
      <c r="L2425" s="5"/>
      <c r="M2425" s="5"/>
    </row>
    <row r="2426" spans="12:13" x14ac:dyDescent="0.2">
      <c r="L2426" s="5"/>
      <c r="M2426" s="5"/>
    </row>
    <row r="2427" spans="12:13" x14ac:dyDescent="0.2">
      <c r="L2427" s="5"/>
      <c r="M2427" s="5"/>
    </row>
    <row r="2428" spans="12:13" x14ac:dyDescent="0.2">
      <c r="L2428" s="5"/>
      <c r="M2428" s="5"/>
    </row>
    <row r="2429" spans="12:13" x14ac:dyDescent="0.2">
      <c r="L2429" s="5"/>
      <c r="M2429" s="5"/>
    </row>
    <row r="2430" spans="12:13" x14ac:dyDescent="0.2">
      <c r="L2430" s="5"/>
      <c r="M2430" s="5"/>
    </row>
    <row r="2431" spans="12:13" x14ac:dyDescent="0.2">
      <c r="L2431" s="5"/>
      <c r="M2431" s="5"/>
    </row>
    <row r="2432" spans="12:13" x14ac:dyDescent="0.2">
      <c r="L2432" s="5"/>
      <c r="M2432" s="5"/>
    </row>
    <row r="2433" spans="12:13" x14ac:dyDescent="0.2">
      <c r="L2433" s="5"/>
      <c r="M2433" s="5"/>
    </row>
    <row r="2434" spans="12:13" x14ac:dyDescent="0.2">
      <c r="L2434" s="5"/>
      <c r="M2434" s="5"/>
    </row>
    <row r="2435" spans="12:13" x14ac:dyDescent="0.2">
      <c r="L2435" s="5"/>
      <c r="M2435" s="5"/>
    </row>
    <row r="2436" spans="12:13" x14ac:dyDescent="0.2">
      <c r="L2436" s="5"/>
      <c r="M2436" s="5"/>
    </row>
    <row r="2437" spans="12:13" x14ac:dyDescent="0.2">
      <c r="L2437" s="5"/>
      <c r="M2437" s="5"/>
    </row>
    <row r="2438" spans="12:13" x14ac:dyDescent="0.2">
      <c r="L2438" s="5"/>
      <c r="M2438" s="5"/>
    </row>
    <row r="2439" spans="12:13" x14ac:dyDescent="0.2">
      <c r="L2439" s="5"/>
      <c r="M2439" s="5"/>
    </row>
    <row r="2440" spans="12:13" x14ac:dyDescent="0.2">
      <c r="L2440" s="5"/>
      <c r="M2440" s="5"/>
    </row>
    <row r="2441" spans="12:13" x14ac:dyDescent="0.2">
      <c r="L2441" s="5"/>
      <c r="M2441" s="5"/>
    </row>
    <row r="2442" spans="12:13" x14ac:dyDescent="0.2">
      <c r="L2442" s="5"/>
      <c r="M2442" s="5"/>
    </row>
    <row r="2443" spans="12:13" x14ac:dyDescent="0.2">
      <c r="L2443" s="5"/>
      <c r="M2443" s="5"/>
    </row>
    <row r="2444" spans="12:13" x14ac:dyDescent="0.2">
      <c r="L2444" s="5"/>
      <c r="M2444" s="5"/>
    </row>
    <row r="2445" spans="12:13" x14ac:dyDescent="0.2">
      <c r="L2445" s="5"/>
      <c r="M2445" s="5"/>
    </row>
    <row r="2446" spans="12:13" x14ac:dyDescent="0.2">
      <c r="L2446" s="5"/>
      <c r="M2446" s="5"/>
    </row>
    <row r="2447" spans="12:13" x14ac:dyDescent="0.2">
      <c r="L2447" s="5"/>
      <c r="M2447" s="5"/>
    </row>
    <row r="2448" spans="12:13" x14ac:dyDescent="0.2">
      <c r="L2448" s="5"/>
      <c r="M2448" s="5"/>
    </row>
    <row r="2449" spans="12:13" x14ac:dyDescent="0.2">
      <c r="L2449" s="5"/>
      <c r="M2449" s="5"/>
    </row>
    <row r="2450" spans="12:13" x14ac:dyDescent="0.2">
      <c r="L2450" s="5"/>
      <c r="M2450" s="5"/>
    </row>
    <row r="2451" spans="12:13" x14ac:dyDescent="0.2">
      <c r="L2451" s="5"/>
      <c r="M2451" s="5"/>
    </row>
    <row r="2452" spans="12:13" x14ac:dyDescent="0.2">
      <c r="L2452" s="5"/>
      <c r="M2452" s="5"/>
    </row>
    <row r="2453" spans="12:13" x14ac:dyDescent="0.2">
      <c r="L2453" s="5"/>
      <c r="M2453" s="5"/>
    </row>
    <row r="2454" spans="12:13" x14ac:dyDescent="0.2">
      <c r="L2454" s="5"/>
      <c r="M2454" s="5"/>
    </row>
    <row r="2455" spans="12:13" x14ac:dyDescent="0.2">
      <c r="L2455" s="5"/>
      <c r="M2455" s="5"/>
    </row>
    <row r="2456" spans="12:13" x14ac:dyDescent="0.2">
      <c r="L2456" s="5"/>
      <c r="M2456" s="5"/>
    </row>
    <row r="2457" spans="12:13" x14ac:dyDescent="0.2">
      <c r="L2457" s="5"/>
      <c r="M2457" s="5"/>
    </row>
    <row r="2458" spans="12:13" x14ac:dyDescent="0.2">
      <c r="L2458" s="5"/>
      <c r="M2458" s="5"/>
    </row>
    <row r="2459" spans="12:13" x14ac:dyDescent="0.2">
      <c r="L2459" s="5"/>
      <c r="M2459" s="5"/>
    </row>
    <row r="2460" spans="12:13" x14ac:dyDescent="0.2">
      <c r="L2460" s="5"/>
      <c r="M2460" s="5"/>
    </row>
    <row r="2461" spans="12:13" x14ac:dyDescent="0.2">
      <c r="L2461" s="5"/>
      <c r="M2461" s="5"/>
    </row>
    <row r="2462" spans="12:13" x14ac:dyDescent="0.2">
      <c r="L2462" s="5"/>
      <c r="M2462" s="5"/>
    </row>
    <row r="2463" spans="12:13" x14ac:dyDescent="0.2">
      <c r="L2463" s="5"/>
      <c r="M2463" s="5"/>
    </row>
    <row r="2464" spans="12:13" x14ac:dyDescent="0.2">
      <c r="L2464" s="5"/>
      <c r="M2464" s="5"/>
    </row>
    <row r="2465" spans="12:13" x14ac:dyDescent="0.2">
      <c r="L2465" s="5"/>
      <c r="M2465" s="5"/>
    </row>
    <row r="2466" spans="12:13" x14ac:dyDescent="0.2">
      <c r="L2466" s="5"/>
      <c r="M2466" s="5"/>
    </row>
    <row r="2467" spans="12:13" x14ac:dyDescent="0.2">
      <c r="L2467" s="5"/>
      <c r="M2467" s="5"/>
    </row>
    <row r="2468" spans="12:13" x14ac:dyDescent="0.2">
      <c r="L2468" s="5"/>
      <c r="M2468" s="5"/>
    </row>
    <row r="2469" spans="12:13" x14ac:dyDescent="0.2">
      <c r="L2469" s="5"/>
      <c r="M2469" s="5"/>
    </row>
    <row r="2470" spans="12:13" x14ac:dyDescent="0.2">
      <c r="L2470" s="5"/>
      <c r="M2470" s="5"/>
    </row>
    <row r="2471" spans="12:13" x14ac:dyDescent="0.2">
      <c r="L2471" s="5"/>
      <c r="M2471" s="5"/>
    </row>
    <row r="2472" spans="12:13" x14ac:dyDescent="0.2">
      <c r="L2472" s="5"/>
      <c r="M2472" s="5"/>
    </row>
    <row r="2473" spans="12:13" x14ac:dyDescent="0.2">
      <c r="L2473" s="5"/>
      <c r="M2473" s="5"/>
    </row>
    <row r="2474" spans="12:13" x14ac:dyDescent="0.2">
      <c r="L2474" s="5"/>
      <c r="M2474" s="5"/>
    </row>
    <row r="2475" spans="12:13" x14ac:dyDescent="0.2">
      <c r="L2475" s="5"/>
      <c r="M2475" s="5"/>
    </row>
    <row r="2476" spans="12:13" x14ac:dyDescent="0.2">
      <c r="L2476" s="5"/>
      <c r="M2476" s="5"/>
    </row>
    <row r="2477" spans="12:13" x14ac:dyDescent="0.2">
      <c r="L2477" s="5"/>
      <c r="M2477" s="5"/>
    </row>
    <row r="2478" spans="12:13" x14ac:dyDescent="0.2">
      <c r="L2478" s="5"/>
      <c r="M2478" s="5"/>
    </row>
    <row r="2479" spans="12:13" x14ac:dyDescent="0.2">
      <c r="L2479" s="5"/>
      <c r="M2479" s="5"/>
    </row>
    <row r="2480" spans="12:13" x14ac:dyDescent="0.2">
      <c r="L2480" s="5"/>
      <c r="M2480" s="5"/>
    </row>
    <row r="2481" spans="12:13" x14ac:dyDescent="0.2">
      <c r="L2481" s="5"/>
      <c r="M2481" s="5"/>
    </row>
    <row r="2482" spans="12:13" x14ac:dyDescent="0.2">
      <c r="L2482" s="5"/>
      <c r="M2482" s="5"/>
    </row>
    <row r="2483" spans="12:13" x14ac:dyDescent="0.2">
      <c r="L2483" s="5"/>
      <c r="M2483" s="5"/>
    </row>
    <row r="2484" spans="12:13" x14ac:dyDescent="0.2">
      <c r="L2484" s="5"/>
      <c r="M2484" s="5"/>
    </row>
    <row r="2485" spans="12:13" x14ac:dyDescent="0.2">
      <c r="L2485" s="5"/>
      <c r="M2485" s="5"/>
    </row>
    <row r="2486" spans="12:13" x14ac:dyDescent="0.2">
      <c r="L2486" s="5"/>
      <c r="M2486" s="5"/>
    </row>
    <row r="2487" spans="12:13" x14ac:dyDescent="0.2">
      <c r="L2487" s="5"/>
      <c r="M2487" s="5"/>
    </row>
    <row r="2488" spans="12:13" x14ac:dyDescent="0.2">
      <c r="L2488" s="5"/>
      <c r="M2488" s="5"/>
    </row>
    <row r="2489" spans="12:13" x14ac:dyDescent="0.2">
      <c r="L2489" s="5"/>
      <c r="M2489" s="5"/>
    </row>
    <row r="2490" spans="12:13" x14ac:dyDescent="0.2">
      <c r="L2490" s="5"/>
      <c r="M2490" s="5"/>
    </row>
    <row r="2491" spans="12:13" x14ac:dyDescent="0.2">
      <c r="L2491" s="5"/>
      <c r="M2491" s="5"/>
    </row>
    <row r="2492" spans="12:13" x14ac:dyDescent="0.2">
      <c r="L2492" s="5"/>
      <c r="M2492" s="5"/>
    </row>
    <row r="2493" spans="12:13" x14ac:dyDescent="0.2">
      <c r="L2493" s="5"/>
      <c r="M2493" s="5"/>
    </row>
    <row r="2494" spans="12:13" x14ac:dyDescent="0.2">
      <c r="L2494" s="5"/>
      <c r="M2494" s="5"/>
    </row>
    <row r="2495" spans="12:13" x14ac:dyDescent="0.2">
      <c r="L2495" s="5"/>
      <c r="M2495" s="5"/>
    </row>
    <row r="2496" spans="12:13" x14ac:dyDescent="0.2">
      <c r="L2496" s="5"/>
      <c r="M2496" s="5"/>
    </row>
    <row r="2497" spans="12:13" x14ac:dyDescent="0.2">
      <c r="L2497" s="5"/>
      <c r="M2497" s="5"/>
    </row>
    <row r="2498" spans="12:13" x14ac:dyDescent="0.2">
      <c r="L2498" s="5"/>
      <c r="M2498" s="5"/>
    </row>
    <row r="2499" spans="12:13" x14ac:dyDescent="0.2">
      <c r="L2499" s="5"/>
      <c r="M2499" s="5"/>
    </row>
    <row r="2500" spans="12:13" x14ac:dyDescent="0.2">
      <c r="L2500" s="5"/>
      <c r="M2500" s="5"/>
    </row>
    <row r="2501" spans="12:13" x14ac:dyDescent="0.2">
      <c r="L2501" s="5"/>
      <c r="M2501" s="5"/>
    </row>
    <row r="2502" spans="12:13" x14ac:dyDescent="0.2">
      <c r="L2502" s="5"/>
      <c r="M2502" s="5"/>
    </row>
    <row r="2503" spans="12:13" x14ac:dyDescent="0.2">
      <c r="L2503" s="5"/>
      <c r="M2503" s="5"/>
    </row>
    <row r="2504" spans="12:13" x14ac:dyDescent="0.2">
      <c r="L2504" s="5"/>
      <c r="M2504" s="5"/>
    </row>
    <row r="2505" spans="12:13" x14ac:dyDescent="0.2">
      <c r="L2505" s="5"/>
      <c r="M2505" s="5"/>
    </row>
    <row r="2506" spans="12:13" x14ac:dyDescent="0.2">
      <c r="L2506" s="5"/>
      <c r="M2506" s="5"/>
    </row>
    <row r="2507" spans="12:13" x14ac:dyDescent="0.2">
      <c r="L2507" s="5"/>
      <c r="M2507" s="5"/>
    </row>
    <row r="2508" spans="12:13" x14ac:dyDescent="0.2">
      <c r="L2508" s="5"/>
      <c r="M2508" s="5"/>
    </row>
    <row r="2509" spans="12:13" x14ac:dyDescent="0.2">
      <c r="L2509" s="5"/>
      <c r="M2509" s="5"/>
    </row>
    <row r="2510" spans="12:13" x14ac:dyDescent="0.2">
      <c r="L2510" s="5"/>
      <c r="M2510" s="5"/>
    </row>
    <row r="2511" spans="12:13" x14ac:dyDescent="0.2">
      <c r="L2511" s="5"/>
      <c r="M2511" s="5"/>
    </row>
    <row r="2512" spans="12:13" x14ac:dyDescent="0.2">
      <c r="L2512" s="5"/>
      <c r="M2512" s="5"/>
    </row>
    <row r="2513" spans="12:13" x14ac:dyDescent="0.2">
      <c r="L2513" s="5"/>
      <c r="M2513" s="5"/>
    </row>
    <row r="2514" spans="12:13" x14ac:dyDescent="0.2">
      <c r="L2514" s="5"/>
      <c r="M2514" s="5"/>
    </row>
    <row r="2515" spans="12:13" x14ac:dyDescent="0.2">
      <c r="L2515" s="5"/>
      <c r="M2515" s="5"/>
    </row>
    <row r="2516" spans="12:13" x14ac:dyDescent="0.2">
      <c r="L2516" s="5"/>
      <c r="M2516" s="5"/>
    </row>
    <row r="2517" spans="12:13" x14ac:dyDescent="0.2">
      <c r="L2517" s="5"/>
      <c r="M2517" s="5"/>
    </row>
    <row r="2518" spans="12:13" x14ac:dyDescent="0.2">
      <c r="L2518" s="5"/>
      <c r="M2518" s="5"/>
    </row>
    <row r="2519" spans="12:13" x14ac:dyDescent="0.2">
      <c r="L2519" s="5"/>
      <c r="M2519" s="5"/>
    </row>
    <row r="2520" spans="12:13" x14ac:dyDescent="0.2">
      <c r="L2520" s="5"/>
      <c r="M2520" s="5"/>
    </row>
    <row r="2521" spans="12:13" x14ac:dyDescent="0.2">
      <c r="L2521" s="5"/>
      <c r="M2521" s="5"/>
    </row>
    <row r="2522" spans="12:13" x14ac:dyDescent="0.2">
      <c r="L2522" s="5"/>
      <c r="M2522" s="5"/>
    </row>
    <row r="2523" spans="12:13" x14ac:dyDescent="0.2">
      <c r="L2523" s="5"/>
      <c r="M2523" s="5"/>
    </row>
    <row r="2524" spans="12:13" x14ac:dyDescent="0.2">
      <c r="L2524" s="5"/>
      <c r="M2524" s="5"/>
    </row>
    <row r="2525" spans="12:13" x14ac:dyDescent="0.2">
      <c r="L2525" s="5"/>
      <c r="M2525" s="5"/>
    </row>
    <row r="2526" spans="12:13" x14ac:dyDescent="0.2">
      <c r="L2526" s="5"/>
      <c r="M2526" s="5"/>
    </row>
    <row r="2527" spans="12:13" x14ac:dyDescent="0.2">
      <c r="L2527" s="5"/>
      <c r="M2527" s="5"/>
    </row>
    <row r="2528" spans="12:13" x14ac:dyDescent="0.2">
      <c r="L2528" s="5"/>
      <c r="M2528" s="5"/>
    </row>
    <row r="2529" spans="12:13" x14ac:dyDescent="0.2">
      <c r="L2529" s="5"/>
      <c r="M2529" s="5"/>
    </row>
    <row r="2530" spans="12:13" x14ac:dyDescent="0.2">
      <c r="L2530" s="5"/>
      <c r="M2530" s="5"/>
    </row>
    <row r="2531" spans="12:13" x14ac:dyDescent="0.2">
      <c r="L2531" s="5"/>
      <c r="M2531" s="5"/>
    </row>
    <row r="2532" spans="12:13" x14ac:dyDescent="0.2">
      <c r="L2532" s="5"/>
      <c r="M2532" s="5"/>
    </row>
    <row r="2533" spans="12:13" x14ac:dyDescent="0.2">
      <c r="L2533" s="5"/>
      <c r="M2533" s="5"/>
    </row>
    <row r="2534" spans="12:13" x14ac:dyDescent="0.2">
      <c r="L2534" s="5"/>
      <c r="M2534" s="5"/>
    </row>
    <row r="2535" spans="12:13" x14ac:dyDescent="0.2">
      <c r="L2535" s="5"/>
      <c r="M2535" s="5"/>
    </row>
    <row r="2536" spans="12:13" x14ac:dyDescent="0.2">
      <c r="L2536" s="5"/>
      <c r="M2536" s="5"/>
    </row>
    <row r="2537" spans="12:13" x14ac:dyDescent="0.2">
      <c r="L2537" s="5"/>
      <c r="M2537" s="5"/>
    </row>
    <row r="2538" spans="12:13" x14ac:dyDescent="0.2">
      <c r="L2538" s="5"/>
      <c r="M2538" s="5"/>
    </row>
    <row r="2539" spans="12:13" x14ac:dyDescent="0.2">
      <c r="L2539" s="5"/>
      <c r="M2539" s="5"/>
    </row>
    <row r="2540" spans="12:13" x14ac:dyDescent="0.2">
      <c r="L2540" s="5"/>
      <c r="M2540" s="5"/>
    </row>
    <row r="2541" spans="12:13" x14ac:dyDescent="0.2">
      <c r="L2541" s="5"/>
      <c r="M2541" s="5"/>
    </row>
    <row r="2542" spans="12:13" x14ac:dyDescent="0.2">
      <c r="L2542" s="5"/>
      <c r="M2542" s="5"/>
    </row>
    <row r="2543" spans="12:13" x14ac:dyDescent="0.2">
      <c r="L2543" s="5"/>
      <c r="M2543" s="5"/>
    </row>
    <row r="2544" spans="12:13" x14ac:dyDescent="0.2">
      <c r="L2544" s="5"/>
      <c r="M2544" s="5"/>
    </row>
    <row r="2545" spans="12:13" x14ac:dyDescent="0.2">
      <c r="L2545" s="5"/>
      <c r="M2545" s="5"/>
    </row>
    <row r="2546" spans="12:13" x14ac:dyDescent="0.2">
      <c r="L2546" s="5"/>
      <c r="M2546" s="5"/>
    </row>
    <row r="2547" spans="12:13" x14ac:dyDescent="0.2">
      <c r="L2547" s="5"/>
      <c r="M2547" s="5"/>
    </row>
    <row r="2548" spans="12:13" x14ac:dyDescent="0.2">
      <c r="L2548" s="5"/>
      <c r="M2548" s="5"/>
    </row>
    <row r="2549" spans="12:13" x14ac:dyDescent="0.2">
      <c r="L2549" s="5"/>
      <c r="M2549" s="5"/>
    </row>
    <row r="2550" spans="12:13" x14ac:dyDescent="0.2">
      <c r="L2550" s="5"/>
      <c r="M2550" s="5"/>
    </row>
    <row r="2551" spans="12:13" x14ac:dyDescent="0.2">
      <c r="L2551" s="5"/>
      <c r="M2551" s="5"/>
    </row>
    <row r="2552" spans="12:13" x14ac:dyDescent="0.2">
      <c r="L2552" s="5"/>
      <c r="M2552" s="5"/>
    </row>
    <row r="2553" spans="12:13" x14ac:dyDescent="0.2">
      <c r="L2553" s="5"/>
      <c r="M2553" s="5"/>
    </row>
    <row r="2554" spans="12:13" x14ac:dyDescent="0.2">
      <c r="L2554" s="5"/>
      <c r="M2554" s="5"/>
    </row>
    <row r="2555" spans="12:13" x14ac:dyDescent="0.2">
      <c r="L2555" s="5"/>
      <c r="M2555" s="5"/>
    </row>
    <row r="2556" spans="12:13" x14ac:dyDescent="0.2">
      <c r="L2556" s="5"/>
      <c r="M2556" s="5"/>
    </row>
    <row r="2557" spans="12:13" x14ac:dyDescent="0.2">
      <c r="L2557" s="5"/>
      <c r="M2557" s="5"/>
    </row>
    <row r="2558" spans="12:13" x14ac:dyDescent="0.2">
      <c r="L2558" s="5"/>
      <c r="M2558" s="5"/>
    </row>
    <row r="2559" spans="12:13" x14ac:dyDescent="0.2">
      <c r="L2559" s="5"/>
      <c r="M2559" s="5"/>
    </row>
    <row r="2560" spans="12:13" x14ac:dyDescent="0.2">
      <c r="L2560" s="5"/>
      <c r="M2560" s="5"/>
    </row>
    <row r="2561" spans="12:13" x14ac:dyDescent="0.2">
      <c r="L2561" s="5"/>
      <c r="M2561" s="5"/>
    </row>
    <row r="2562" spans="12:13" x14ac:dyDescent="0.2">
      <c r="L2562" s="5"/>
      <c r="M2562" s="5"/>
    </row>
    <row r="2563" spans="12:13" x14ac:dyDescent="0.2">
      <c r="L2563" s="5"/>
      <c r="M2563" s="5"/>
    </row>
    <row r="2564" spans="12:13" x14ac:dyDescent="0.2">
      <c r="L2564" s="5"/>
      <c r="M2564" s="5"/>
    </row>
    <row r="2565" spans="12:13" x14ac:dyDescent="0.2">
      <c r="L2565" s="5"/>
      <c r="M2565" s="5"/>
    </row>
    <row r="2566" spans="12:13" x14ac:dyDescent="0.2">
      <c r="L2566" s="5"/>
      <c r="M2566" s="5"/>
    </row>
    <row r="2567" spans="12:13" x14ac:dyDescent="0.2">
      <c r="L2567" s="5"/>
      <c r="M2567" s="5"/>
    </row>
    <row r="2568" spans="12:13" x14ac:dyDescent="0.2">
      <c r="L2568" s="5"/>
      <c r="M2568" s="5"/>
    </row>
    <row r="2569" spans="12:13" x14ac:dyDescent="0.2">
      <c r="L2569" s="5"/>
      <c r="M2569" s="5"/>
    </row>
    <row r="2570" spans="12:13" x14ac:dyDescent="0.2">
      <c r="L2570" s="5"/>
      <c r="M2570" s="5"/>
    </row>
    <row r="2571" spans="12:13" x14ac:dyDescent="0.2">
      <c r="L2571" s="5"/>
      <c r="M2571" s="5"/>
    </row>
    <row r="2572" spans="12:13" x14ac:dyDescent="0.2">
      <c r="L2572" s="5"/>
      <c r="M2572" s="5"/>
    </row>
    <row r="2573" spans="12:13" x14ac:dyDescent="0.2">
      <c r="L2573" s="5"/>
      <c r="M2573" s="5"/>
    </row>
    <row r="2574" spans="12:13" x14ac:dyDescent="0.2">
      <c r="L2574" s="5"/>
      <c r="M2574" s="5"/>
    </row>
    <row r="2575" spans="12:13" x14ac:dyDescent="0.2">
      <c r="L2575" s="5"/>
      <c r="M2575" s="5"/>
    </row>
    <row r="2576" spans="12:13" x14ac:dyDescent="0.2">
      <c r="L2576" s="5"/>
      <c r="M2576" s="5"/>
    </row>
    <row r="2577" spans="12:13" x14ac:dyDescent="0.2">
      <c r="L2577" s="5"/>
      <c r="M2577" s="5"/>
    </row>
    <row r="2578" spans="12:13" x14ac:dyDescent="0.2">
      <c r="L2578" s="5"/>
      <c r="M2578" s="5"/>
    </row>
    <row r="2579" spans="12:13" x14ac:dyDescent="0.2">
      <c r="L2579" s="5"/>
      <c r="M2579" s="5"/>
    </row>
    <row r="2580" spans="12:13" x14ac:dyDescent="0.2">
      <c r="L2580" s="5"/>
      <c r="M2580" s="5"/>
    </row>
    <row r="2581" spans="12:13" x14ac:dyDescent="0.2">
      <c r="L2581" s="5"/>
      <c r="M2581" s="5"/>
    </row>
    <row r="2582" spans="12:13" x14ac:dyDescent="0.2">
      <c r="L2582" s="5"/>
      <c r="M2582" s="5"/>
    </row>
    <row r="2583" spans="12:13" x14ac:dyDescent="0.2">
      <c r="L2583" s="5"/>
      <c r="M2583" s="5"/>
    </row>
    <row r="2584" spans="12:13" x14ac:dyDescent="0.2">
      <c r="L2584" s="5"/>
      <c r="M2584" s="5"/>
    </row>
    <row r="2585" spans="12:13" x14ac:dyDescent="0.2">
      <c r="L2585" s="5"/>
      <c r="M2585" s="5"/>
    </row>
    <row r="2586" spans="12:13" x14ac:dyDescent="0.2">
      <c r="L2586" s="5"/>
      <c r="M2586" s="5"/>
    </row>
    <row r="2587" spans="12:13" x14ac:dyDescent="0.2">
      <c r="L2587" s="5"/>
      <c r="M2587" s="5"/>
    </row>
    <row r="2588" spans="12:13" x14ac:dyDescent="0.2">
      <c r="L2588" s="5"/>
      <c r="M2588" s="5"/>
    </row>
    <row r="2589" spans="12:13" x14ac:dyDescent="0.2">
      <c r="L2589" s="5"/>
      <c r="M2589" s="5"/>
    </row>
    <row r="2590" spans="12:13" x14ac:dyDescent="0.2">
      <c r="L2590" s="5"/>
      <c r="M2590" s="5"/>
    </row>
    <row r="2591" spans="12:13" x14ac:dyDescent="0.2">
      <c r="L2591" s="5"/>
      <c r="M2591" s="5"/>
    </row>
    <row r="2592" spans="12:13" x14ac:dyDescent="0.2">
      <c r="L2592" s="5"/>
      <c r="M2592" s="5"/>
    </row>
    <row r="2593" spans="12:13" x14ac:dyDescent="0.2">
      <c r="L2593" s="5"/>
      <c r="M2593" s="5"/>
    </row>
    <row r="2594" spans="12:13" x14ac:dyDescent="0.2">
      <c r="L2594" s="5"/>
      <c r="M2594" s="5"/>
    </row>
    <row r="2595" spans="12:13" x14ac:dyDescent="0.2">
      <c r="L2595" s="5"/>
      <c r="M2595" s="5"/>
    </row>
    <row r="2596" spans="12:13" x14ac:dyDescent="0.2">
      <c r="L2596" s="5"/>
      <c r="M2596" s="5"/>
    </row>
    <row r="2597" spans="12:13" x14ac:dyDescent="0.2">
      <c r="L2597" s="5"/>
      <c r="M2597" s="5"/>
    </row>
    <row r="2598" spans="12:13" x14ac:dyDescent="0.2">
      <c r="L2598" s="5"/>
      <c r="M2598" s="5"/>
    </row>
    <row r="2599" spans="12:13" x14ac:dyDescent="0.2">
      <c r="L2599" s="5"/>
      <c r="M2599" s="5"/>
    </row>
    <row r="2600" spans="12:13" x14ac:dyDescent="0.2">
      <c r="L2600" s="5"/>
      <c r="M2600" s="5"/>
    </row>
    <row r="2601" spans="12:13" x14ac:dyDescent="0.2">
      <c r="L2601" s="5"/>
      <c r="M2601" s="5"/>
    </row>
    <row r="2602" spans="12:13" x14ac:dyDescent="0.2">
      <c r="L2602" s="5"/>
      <c r="M2602" s="5"/>
    </row>
    <row r="2603" spans="12:13" x14ac:dyDescent="0.2">
      <c r="L2603" s="5"/>
      <c r="M2603" s="5"/>
    </row>
    <row r="2604" spans="12:13" x14ac:dyDescent="0.2">
      <c r="L2604" s="5"/>
      <c r="M2604" s="5"/>
    </row>
    <row r="2605" spans="12:13" x14ac:dyDescent="0.2">
      <c r="L2605" s="5"/>
      <c r="M2605" s="5"/>
    </row>
    <row r="2606" spans="12:13" x14ac:dyDescent="0.2">
      <c r="L2606" s="5"/>
      <c r="M2606" s="5"/>
    </row>
    <row r="2607" spans="12:13" x14ac:dyDescent="0.2">
      <c r="L2607" s="5"/>
      <c r="M2607" s="5"/>
    </row>
    <row r="2608" spans="12:13" x14ac:dyDescent="0.2">
      <c r="L2608" s="5"/>
      <c r="M2608" s="5"/>
    </row>
    <row r="2609" spans="12:13" x14ac:dyDescent="0.2">
      <c r="L2609" s="5"/>
      <c r="M2609" s="5"/>
    </row>
    <row r="2610" spans="12:13" x14ac:dyDescent="0.2">
      <c r="L2610" s="5"/>
      <c r="M2610" s="5"/>
    </row>
    <row r="2611" spans="12:13" x14ac:dyDescent="0.2">
      <c r="L2611" s="5"/>
      <c r="M2611" s="5"/>
    </row>
    <row r="2612" spans="12:13" x14ac:dyDescent="0.2">
      <c r="L2612" s="5"/>
      <c r="M2612" s="5"/>
    </row>
    <row r="2613" spans="12:13" x14ac:dyDescent="0.2">
      <c r="L2613" s="5"/>
      <c r="M2613" s="5"/>
    </row>
    <row r="2614" spans="12:13" x14ac:dyDescent="0.2">
      <c r="L2614" s="5"/>
      <c r="M2614" s="5"/>
    </row>
    <row r="2615" spans="12:13" x14ac:dyDescent="0.2">
      <c r="L2615" s="5"/>
      <c r="M2615" s="5"/>
    </row>
    <row r="2616" spans="12:13" x14ac:dyDescent="0.2">
      <c r="L2616" s="5"/>
      <c r="M2616" s="5"/>
    </row>
    <row r="2617" spans="12:13" x14ac:dyDescent="0.2">
      <c r="L2617" s="5"/>
      <c r="M2617" s="5"/>
    </row>
    <row r="2618" spans="12:13" x14ac:dyDescent="0.2">
      <c r="L2618" s="5"/>
      <c r="M2618" s="5"/>
    </row>
    <row r="2619" spans="12:13" x14ac:dyDescent="0.2">
      <c r="L2619" s="5"/>
      <c r="M2619" s="5"/>
    </row>
    <row r="2620" spans="12:13" x14ac:dyDescent="0.2">
      <c r="L2620" s="5"/>
      <c r="M2620" s="5"/>
    </row>
    <row r="2621" spans="12:13" x14ac:dyDescent="0.2">
      <c r="L2621" s="5"/>
      <c r="M2621" s="5"/>
    </row>
    <row r="2622" spans="12:13" x14ac:dyDescent="0.2">
      <c r="L2622" s="5"/>
      <c r="M2622" s="5"/>
    </row>
    <row r="2623" spans="12:13" x14ac:dyDescent="0.2">
      <c r="L2623" s="5"/>
      <c r="M2623" s="5"/>
    </row>
    <row r="2624" spans="12:13" x14ac:dyDescent="0.2">
      <c r="L2624" s="5"/>
      <c r="M2624" s="5"/>
    </row>
    <row r="2625" spans="12:13" x14ac:dyDescent="0.2">
      <c r="L2625" s="5"/>
      <c r="M2625" s="5"/>
    </row>
    <row r="2626" spans="12:13" x14ac:dyDescent="0.2">
      <c r="L2626" s="5"/>
      <c r="M2626" s="5"/>
    </row>
    <row r="2627" spans="12:13" x14ac:dyDescent="0.2">
      <c r="L2627" s="5"/>
      <c r="M2627" s="5"/>
    </row>
    <row r="2628" spans="12:13" x14ac:dyDescent="0.2">
      <c r="L2628" s="5"/>
      <c r="M2628" s="5"/>
    </row>
    <row r="2629" spans="12:13" x14ac:dyDescent="0.2">
      <c r="L2629" s="5"/>
      <c r="M2629" s="5"/>
    </row>
    <row r="2630" spans="12:13" x14ac:dyDescent="0.2">
      <c r="L2630" s="5"/>
      <c r="M2630" s="5"/>
    </row>
    <row r="2631" spans="12:13" x14ac:dyDescent="0.2">
      <c r="L2631" s="5"/>
      <c r="M2631" s="5"/>
    </row>
    <row r="2632" spans="12:13" x14ac:dyDescent="0.2">
      <c r="L2632" s="5"/>
      <c r="M2632" s="5"/>
    </row>
    <row r="2633" spans="12:13" x14ac:dyDescent="0.2">
      <c r="L2633" s="5"/>
      <c r="M2633" s="5"/>
    </row>
    <row r="2634" spans="12:13" x14ac:dyDescent="0.2">
      <c r="L2634" s="5"/>
      <c r="M2634" s="5"/>
    </row>
    <row r="2635" spans="12:13" x14ac:dyDescent="0.2">
      <c r="L2635" s="5"/>
      <c r="M2635" s="5"/>
    </row>
    <row r="2636" spans="12:13" x14ac:dyDescent="0.2">
      <c r="L2636" s="5"/>
      <c r="M2636" s="5"/>
    </row>
    <row r="2637" spans="12:13" x14ac:dyDescent="0.2">
      <c r="L2637" s="5"/>
      <c r="M2637" s="5"/>
    </row>
    <row r="2638" spans="12:13" x14ac:dyDescent="0.2">
      <c r="L2638" s="5"/>
      <c r="M2638" s="5"/>
    </row>
    <row r="2639" spans="12:13" x14ac:dyDescent="0.2">
      <c r="L2639" s="5"/>
      <c r="M2639" s="5"/>
    </row>
    <row r="2640" spans="12:13" x14ac:dyDescent="0.2">
      <c r="L2640" s="5"/>
      <c r="M2640" s="5"/>
    </row>
    <row r="2641" spans="12:13" x14ac:dyDescent="0.2">
      <c r="L2641" s="5"/>
      <c r="M2641" s="5"/>
    </row>
    <row r="2642" spans="12:13" x14ac:dyDescent="0.2">
      <c r="L2642" s="5"/>
      <c r="M2642" s="5"/>
    </row>
    <row r="2643" spans="12:13" x14ac:dyDescent="0.2">
      <c r="L2643" s="5"/>
      <c r="M2643" s="5"/>
    </row>
    <row r="2644" spans="12:13" x14ac:dyDescent="0.2">
      <c r="L2644" s="5"/>
      <c r="M2644" s="5"/>
    </row>
    <row r="2645" spans="12:13" x14ac:dyDescent="0.2">
      <c r="L2645" s="5"/>
      <c r="M2645" s="5"/>
    </row>
    <row r="2646" spans="12:13" x14ac:dyDescent="0.2">
      <c r="L2646" s="5"/>
      <c r="M2646" s="5"/>
    </row>
    <row r="2647" spans="12:13" x14ac:dyDescent="0.2">
      <c r="L2647" s="5"/>
      <c r="M2647" s="5"/>
    </row>
    <row r="2648" spans="12:13" x14ac:dyDescent="0.2">
      <c r="L2648" s="5"/>
      <c r="M2648" s="5"/>
    </row>
    <row r="2649" spans="12:13" x14ac:dyDescent="0.2">
      <c r="L2649" s="5"/>
      <c r="M2649" s="5"/>
    </row>
    <row r="2650" spans="12:13" x14ac:dyDescent="0.2">
      <c r="L2650" s="5"/>
      <c r="M2650" s="5"/>
    </row>
    <row r="2651" spans="12:13" x14ac:dyDescent="0.2">
      <c r="L2651" s="5"/>
      <c r="M2651" s="5"/>
    </row>
    <row r="2652" spans="12:13" x14ac:dyDescent="0.2">
      <c r="L2652" s="5"/>
      <c r="M2652" s="5"/>
    </row>
    <row r="2653" spans="12:13" x14ac:dyDescent="0.2">
      <c r="L2653" s="5"/>
      <c r="M2653" s="5"/>
    </row>
    <row r="2654" spans="12:13" x14ac:dyDescent="0.2">
      <c r="L2654" s="5"/>
      <c r="M2654" s="5"/>
    </row>
    <row r="2655" spans="12:13" x14ac:dyDescent="0.2">
      <c r="L2655" s="5"/>
      <c r="M2655" s="5"/>
    </row>
    <row r="2656" spans="12:13" x14ac:dyDescent="0.2">
      <c r="L2656" s="5"/>
      <c r="M2656" s="5"/>
    </row>
    <row r="2657" spans="12:13" x14ac:dyDescent="0.2">
      <c r="L2657" s="5"/>
      <c r="M2657" s="5"/>
    </row>
    <row r="2658" spans="12:13" x14ac:dyDescent="0.2">
      <c r="L2658" s="5"/>
      <c r="M2658" s="5"/>
    </row>
    <row r="2659" spans="12:13" x14ac:dyDescent="0.2">
      <c r="L2659" s="5"/>
      <c r="M2659" s="5"/>
    </row>
    <row r="2660" spans="12:13" x14ac:dyDescent="0.2">
      <c r="L2660" s="5"/>
      <c r="M2660" s="5"/>
    </row>
    <row r="2661" spans="12:13" x14ac:dyDescent="0.2">
      <c r="L2661" s="5"/>
      <c r="M2661" s="5"/>
    </row>
    <row r="2662" spans="12:13" x14ac:dyDescent="0.2">
      <c r="L2662" s="5"/>
      <c r="M2662" s="5"/>
    </row>
    <row r="2663" spans="12:13" x14ac:dyDescent="0.2">
      <c r="L2663" s="5"/>
      <c r="M2663" s="5"/>
    </row>
    <row r="2664" spans="12:13" x14ac:dyDescent="0.2">
      <c r="L2664" s="5"/>
      <c r="M2664" s="5"/>
    </row>
    <row r="2665" spans="12:13" x14ac:dyDescent="0.2">
      <c r="L2665" s="5"/>
      <c r="M2665" s="5"/>
    </row>
    <row r="2666" spans="12:13" x14ac:dyDescent="0.2">
      <c r="L2666" s="5"/>
      <c r="M2666" s="5"/>
    </row>
    <row r="2667" spans="12:13" x14ac:dyDescent="0.2">
      <c r="L2667" s="5"/>
      <c r="M2667" s="5"/>
    </row>
    <row r="2668" spans="12:13" x14ac:dyDescent="0.2">
      <c r="L2668" s="5"/>
      <c r="M2668" s="5"/>
    </row>
    <row r="2669" spans="12:13" x14ac:dyDescent="0.2">
      <c r="L2669" s="5"/>
      <c r="M2669" s="5"/>
    </row>
    <row r="2670" spans="12:13" x14ac:dyDescent="0.2">
      <c r="L2670" s="5"/>
      <c r="M2670" s="5"/>
    </row>
    <row r="2671" spans="12:13" x14ac:dyDescent="0.2">
      <c r="L2671" s="5"/>
      <c r="M2671" s="5"/>
    </row>
    <row r="2672" spans="12:13" x14ac:dyDescent="0.2">
      <c r="L2672" s="5"/>
      <c r="M2672" s="5"/>
    </row>
    <row r="2673" spans="12:13" x14ac:dyDescent="0.2">
      <c r="L2673" s="5"/>
      <c r="M2673" s="5"/>
    </row>
    <row r="2674" spans="12:13" x14ac:dyDescent="0.2">
      <c r="L2674" s="5"/>
      <c r="M2674" s="5"/>
    </row>
    <row r="2675" spans="12:13" x14ac:dyDescent="0.2">
      <c r="L2675" s="5"/>
      <c r="M2675" s="5"/>
    </row>
    <row r="2676" spans="12:13" x14ac:dyDescent="0.2">
      <c r="L2676" s="5"/>
      <c r="M2676" s="5"/>
    </row>
    <row r="2677" spans="12:13" x14ac:dyDescent="0.2">
      <c r="L2677" s="5"/>
      <c r="M2677" s="5"/>
    </row>
    <row r="2678" spans="12:13" x14ac:dyDescent="0.2">
      <c r="L2678" s="5"/>
      <c r="M2678" s="5"/>
    </row>
    <row r="2679" spans="12:13" x14ac:dyDescent="0.2">
      <c r="L2679" s="5"/>
      <c r="M2679" s="5"/>
    </row>
    <row r="2680" spans="12:13" x14ac:dyDescent="0.2">
      <c r="L2680" s="5"/>
      <c r="M2680" s="5"/>
    </row>
    <row r="2681" spans="12:13" x14ac:dyDescent="0.2">
      <c r="L2681" s="5"/>
      <c r="M2681" s="5"/>
    </row>
    <row r="2682" spans="12:13" x14ac:dyDescent="0.2">
      <c r="L2682" s="5"/>
      <c r="M2682" s="5"/>
    </row>
    <row r="2683" spans="12:13" x14ac:dyDescent="0.2">
      <c r="L2683" s="5"/>
      <c r="M2683" s="5"/>
    </row>
    <row r="2684" spans="12:13" x14ac:dyDescent="0.2">
      <c r="L2684" s="5"/>
      <c r="M2684" s="5"/>
    </row>
    <row r="2685" spans="12:13" x14ac:dyDescent="0.2">
      <c r="L2685" s="5"/>
      <c r="M2685" s="5"/>
    </row>
    <row r="2686" spans="12:13" x14ac:dyDescent="0.2">
      <c r="L2686" s="5"/>
      <c r="M2686" s="5"/>
    </row>
    <row r="2687" spans="12:13" x14ac:dyDescent="0.2">
      <c r="L2687" s="5"/>
      <c r="M2687" s="5"/>
    </row>
    <row r="2688" spans="12:13" x14ac:dyDescent="0.2">
      <c r="L2688" s="5"/>
      <c r="M2688" s="5"/>
    </row>
    <row r="2689" spans="12:13" x14ac:dyDescent="0.2">
      <c r="L2689" s="5"/>
      <c r="M2689" s="5"/>
    </row>
    <row r="2690" spans="12:13" x14ac:dyDescent="0.2">
      <c r="L2690" s="5"/>
      <c r="M2690" s="5"/>
    </row>
    <row r="2691" spans="12:13" x14ac:dyDescent="0.2">
      <c r="L2691" s="5"/>
      <c r="M2691" s="5"/>
    </row>
    <row r="2692" spans="12:13" x14ac:dyDescent="0.2">
      <c r="L2692" s="5"/>
      <c r="M2692" s="5"/>
    </row>
    <row r="2693" spans="12:13" x14ac:dyDescent="0.2">
      <c r="L2693" s="5"/>
      <c r="M2693" s="5"/>
    </row>
    <row r="2694" spans="12:13" x14ac:dyDescent="0.2">
      <c r="L2694" s="5"/>
      <c r="M2694" s="5"/>
    </row>
    <row r="2695" spans="12:13" x14ac:dyDescent="0.2">
      <c r="L2695" s="5"/>
      <c r="M2695" s="5"/>
    </row>
    <row r="2696" spans="12:13" x14ac:dyDescent="0.2">
      <c r="L2696" s="5"/>
      <c r="M2696" s="5"/>
    </row>
    <row r="2697" spans="12:13" x14ac:dyDescent="0.2">
      <c r="L2697" s="5"/>
      <c r="M2697" s="5"/>
    </row>
    <row r="2698" spans="12:13" x14ac:dyDescent="0.2">
      <c r="L2698" s="5"/>
      <c r="M2698" s="5"/>
    </row>
    <row r="2699" spans="12:13" x14ac:dyDescent="0.2">
      <c r="L2699" s="5"/>
      <c r="M2699" s="5"/>
    </row>
    <row r="2700" spans="12:13" x14ac:dyDescent="0.2">
      <c r="L2700" s="5"/>
      <c r="M2700" s="5"/>
    </row>
    <row r="2701" spans="12:13" x14ac:dyDescent="0.2">
      <c r="L2701" s="5"/>
      <c r="M2701" s="5"/>
    </row>
    <row r="2702" spans="12:13" x14ac:dyDescent="0.2">
      <c r="L2702" s="5"/>
      <c r="M2702" s="5"/>
    </row>
    <row r="2703" spans="12:13" x14ac:dyDescent="0.2">
      <c r="L2703" s="5"/>
      <c r="M2703" s="5"/>
    </row>
    <row r="2704" spans="12:13" x14ac:dyDescent="0.2">
      <c r="L2704" s="5"/>
      <c r="M2704" s="5"/>
    </row>
    <row r="2705" spans="12:13" x14ac:dyDescent="0.2">
      <c r="L2705" s="5"/>
      <c r="M2705" s="5"/>
    </row>
    <row r="2706" spans="12:13" x14ac:dyDescent="0.2">
      <c r="L2706" s="5"/>
      <c r="M2706" s="5"/>
    </row>
    <row r="2707" spans="12:13" x14ac:dyDescent="0.2">
      <c r="L2707" s="5"/>
      <c r="M2707" s="5"/>
    </row>
    <row r="2708" spans="12:13" x14ac:dyDescent="0.2">
      <c r="L2708" s="5"/>
      <c r="M2708" s="5"/>
    </row>
    <row r="2709" spans="12:13" x14ac:dyDescent="0.2">
      <c r="L2709" s="5"/>
      <c r="M2709" s="5"/>
    </row>
    <row r="2710" spans="12:13" x14ac:dyDescent="0.2">
      <c r="L2710" s="5"/>
      <c r="M2710" s="5"/>
    </row>
    <row r="2711" spans="12:13" x14ac:dyDescent="0.2">
      <c r="L2711" s="5"/>
      <c r="M2711" s="5"/>
    </row>
    <row r="2712" spans="12:13" x14ac:dyDescent="0.2">
      <c r="L2712" s="5"/>
      <c r="M2712" s="5"/>
    </row>
    <row r="2713" spans="12:13" x14ac:dyDescent="0.2">
      <c r="L2713" s="5"/>
      <c r="M2713" s="5"/>
    </row>
    <row r="2714" spans="12:13" x14ac:dyDescent="0.2">
      <c r="L2714" s="5"/>
      <c r="M2714" s="5"/>
    </row>
    <row r="2715" spans="12:13" x14ac:dyDescent="0.2">
      <c r="L2715" s="5"/>
      <c r="M2715" s="5"/>
    </row>
    <row r="2716" spans="12:13" x14ac:dyDescent="0.2">
      <c r="L2716" s="5"/>
      <c r="M2716" s="5"/>
    </row>
    <row r="2717" spans="12:13" x14ac:dyDescent="0.2">
      <c r="L2717" s="5"/>
      <c r="M2717" s="5"/>
    </row>
    <row r="2718" spans="12:13" x14ac:dyDescent="0.2">
      <c r="L2718" s="5"/>
      <c r="M2718" s="5"/>
    </row>
    <row r="2719" spans="12:13" x14ac:dyDescent="0.2">
      <c r="L2719" s="5"/>
      <c r="M2719" s="5"/>
    </row>
    <row r="2720" spans="12:13" x14ac:dyDescent="0.2">
      <c r="L2720" s="5"/>
      <c r="M2720" s="5"/>
    </row>
    <row r="2721" spans="12:13" x14ac:dyDescent="0.2">
      <c r="L2721" s="5"/>
      <c r="M2721" s="5"/>
    </row>
    <row r="2722" spans="12:13" x14ac:dyDescent="0.2">
      <c r="L2722" s="5"/>
      <c r="M2722" s="5"/>
    </row>
    <row r="2723" spans="12:13" x14ac:dyDescent="0.2">
      <c r="L2723" s="5"/>
      <c r="M2723" s="5"/>
    </row>
    <row r="2724" spans="12:13" x14ac:dyDescent="0.2">
      <c r="L2724" s="5"/>
      <c r="M2724" s="5"/>
    </row>
    <row r="2725" spans="12:13" x14ac:dyDescent="0.2">
      <c r="L2725" s="5"/>
      <c r="M2725" s="5"/>
    </row>
    <row r="2726" spans="12:13" x14ac:dyDescent="0.2">
      <c r="L2726" s="5"/>
      <c r="M2726" s="5"/>
    </row>
    <row r="2727" spans="12:13" x14ac:dyDescent="0.2">
      <c r="L2727" s="5"/>
      <c r="M2727" s="5"/>
    </row>
    <row r="2728" spans="12:13" x14ac:dyDescent="0.2">
      <c r="L2728" s="5"/>
      <c r="M2728" s="5"/>
    </row>
    <row r="2729" spans="12:13" x14ac:dyDescent="0.2">
      <c r="L2729" s="5"/>
      <c r="M2729" s="5"/>
    </row>
    <row r="2730" spans="12:13" x14ac:dyDescent="0.2">
      <c r="L2730" s="5"/>
      <c r="M2730" s="5"/>
    </row>
    <row r="2731" spans="12:13" x14ac:dyDescent="0.2">
      <c r="L2731" s="5"/>
      <c r="M2731" s="5"/>
    </row>
    <row r="2732" spans="12:13" x14ac:dyDescent="0.2">
      <c r="L2732" s="5"/>
      <c r="M2732" s="5"/>
    </row>
    <row r="2733" spans="12:13" x14ac:dyDescent="0.2">
      <c r="L2733" s="5"/>
      <c r="M2733" s="5"/>
    </row>
    <row r="2734" spans="12:13" x14ac:dyDescent="0.2">
      <c r="L2734" s="5"/>
      <c r="M2734" s="5"/>
    </row>
    <row r="2735" spans="12:13" x14ac:dyDescent="0.2">
      <c r="L2735" s="5"/>
      <c r="M2735" s="5"/>
    </row>
    <row r="2736" spans="12:13" x14ac:dyDescent="0.2">
      <c r="L2736" s="5"/>
      <c r="M2736" s="5"/>
    </row>
    <row r="2737" spans="12:13" x14ac:dyDescent="0.2">
      <c r="L2737" s="5"/>
      <c r="M2737" s="5"/>
    </row>
    <row r="2738" spans="12:13" x14ac:dyDescent="0.2">
      <c r="L2738" s="5"/>
      <c r="M2738" s="5"/>
    </row>
    <row r="2739" spans="12:13" x14ac:dyDescent="0.2">
      <c r="L2739" s="5"/>
      <c r="M2739" s="5"/>
    </row>
    <row r="2740" spans="12:13" x14ac:dyDescent="0.2">
      <c r="L2740" s="5"/>
      <c r="M2740" s="5"/>
    </row>
    <row r="2741" spans="12:13" x14ac:dyDescent="0.2">
      <c r="L2741" s="5"/>
      <c r="M2741" s="5"/>
    </row>
    <row r="2742" spans="12:13" x14ac:dyDescent="0.2">
      <c r="L2742" s="5"/>
      <c r="M2742" s="5"/>
    </row>
    <row r="2743" spans="12:13" x14ac:dyDescent="0.2">
      <c r="L2743" s="5"/>
      <c r="M2743" s="5"/>
    </row>
    <row r="2744" spans="12:13" x14ac:dyDescent="0.2">
      <c r="L2744" s="5"/>
      <c r="M2744" s="5"/>
    </row>
    <row r="2745" spans="12:13" x14ac:dyDescent="0.2">
      <c r="L2745" s="5"/>
      <c r="M2745" s="5"/>
    </row>
    <row r="2746" spans="12:13" x14ac:dyDescent="0.2">
      <c r="L2746" s="5"/>
      <c r="M2746" s="5"/>
    </row>
    <row r="2747" spans="12:13" x14ac:dyDescent="0.2">
      <c r="L2747" s="5"/>
      <c r="M2747" s="5"/>
    </row>
    <row r="2748" spans="12:13" x14ac:dyDescent="0.2">
      <c r="L2748" s="5"/>
      <c r="M2748" s="5"/>
    </row>
    <row r="2749" spans="12:13" x14ac:dyDescent="0.2">
      <c r="L2749" s="5"/>
      <c r="M2749" s="5"/>
    </row>
    <row r="2750" spans="12:13" x14ac:dyDescent="0.2">
      <c r="L2750" s="5"/>
      <c r="M2750" s="5"/>
    </row>
    <row r="2751" spans="12:13" x14ac:dyDescent="0.2">
      <c r="L2751" s="5"/>
      <c r="M2751" s="5"/>
    </row>
    <row r="2752" spans="12:13" x14ac:dyDescent="0.2">
      <c r="L2752" s="5"/>
      <c r="M2752" s="5"/>
    </row>
    <row r="2753" spans="12:13" x14ac:dyDescent="0.2">
      <c r="L2753" s="5"/>
      <c r="M2753" s="5"/>
    </row>
    <row r="2754" spans="12:13" x14ac:dyDescent="0.2">
      <c r="L2754" s="5"/>
      <c r="M2754" s="5"/>
    </row>
    <row r="2755" spans="12:13" x14ac:dyDescent="0.2">
      <c r="L2755" s="5"/>
      <c r="M2755" s="5"/>
    </row>
    <row r="2756" spans="12:13" x14ac:dyDescent="0.2">
      <c r="L2756" s="5"/>
      <c r="M2756" s="5"/>
    </row>
    <row r="2757" spans="12:13" x14ac:dyDescent="0.2">
      <c r="L2757" s="5"/>
      <c r="M2757" s="5"/>
    </row>
    <row r="2758" spans="12:13" x14ac:dyDescent="0.2">
      <c r="L2758" s="5"/>
      <c r="M2758" s="5"/>
    </row>
    <row r="2759" spans="12:13" x14ac:dyDescent="0.2">
      <c r="L2759" s="5"/>
      <c r="M2759" s="5"/>
    </row>
    <row r="2760" spans="12:13" x14ac:dyDescent="0.2">
      <c r="L2760" s="5"/>
      <c r="M2760" s="5"/>
    </row>
    <row r="2761" spans="12:13" x14ac:dyDescent="0.2">
      <c r="L2761" s="5"/>
      <c r="M2761" s="5"/>
    </row>
    <row r="2762" spans="12:13" x14ac:dyDescent="0.2">
      <c r="L2762" s="5"/>
      <c r="M2762" s="5"/>
    </row>
    <row r="2763" spans="12:13" x14ac:dyDescent="0.2">
      <c r="L2763" s="5"/>
      <c r="M2763" s="5"/>
    </row>
    <row r="2764" spans="12:13" x14ac:dyDescent="0.2">
      <c r="L2764" s="5"/>
      <c r="M2764" s="5"/>
    </row>
    <row r="2765" spans="12:13" x14ac:dyDescent="0.2">
      <c r="L2765" s="5"/>
      <c r="M2765" s="5"/>
    </row>
    <row r="2766" spans="12:13" x14ac:dyDescent="0.2">
      <c r="L2766" s="5"/>
      <c r="M2766" s="5"/>
    </row>
    <row r="2767" spans="12:13" x14ac:dyDescent="0.2">
      <c r="L2767" s="5"/>
      <c r="M2767" s="5"/>
    </row>
    <row r="2768" spans="12:13" x14ac:dyDescent="0.2">
      <c r="L2768" s="5"/>
      <c r="M2768" s="5"/>
    </row>
    <row r="2769" spans="12:13" x14ac:dyDescent="0.2">
      <c r="L2769" s="5"/>
      <c r="M2769" s="5"/>
    </row>
    <row r="2770" spans="12:13" x14ac:dyDescent="0.2">
      <c r="L2770" s="5"/>
      <c r="M2770" s="5"/>
    </row>
    <row r="2771" spans="12:13" x14ac:dyDescent="0.2">
      <c r="L2771" s="5"/>
      <c r="M2771" s="5"/>
    </row>
    <row r="2772" spans="12:13" x14ac:dyDescent="0.2">
      <c r="L2772" s="5"/>
      <c r="M2772" s="5"/>
    </row>
    <row r="2773" spans="12:13" x14ac:dyDescent="0.2">
      <c r="L2773" s="5"/>
      <c r="M2773" s="5"/>
    </row>
    <row r="2774" spans="12:13" x14ac:dyDescent="0.2">
      <c r="L2774" s="5"/>
      <c r="M2774" s="5"/>
    </row>
    <row r="2775" spans="12:13" x14ac:dyDescent="0.2">
      <c r="L2775" s="5"/>
      <c r="M2775" s="5"/>
    </row>
    <row r="2776" spans="12:13" x14ac:dyDescent="0.2">
      <c r="L2776" s="5"/>
      <c r="M2776" s="5"/>
    </row>
    <row r="2777" spans="12:13" x14ac:dyDescent="0.2">
      <c r="L2777" s="5"/>
      <c r="M2777" s="5"/>
    </row>
    <row r="2778" spans="12:13" x14ac:dyDescent="0.2">
      <c r="L2778" s="5"/>
      <c r="M2778" s="5"/>
    </row>
    <row r="2779" spans="12:13" x14ac:dyDescent="0.2">
      <c r="L2779" s="5"/>
      <c r="M2779" s="5"/>
    </row>
    <row r="2780" spans="12:13" x14ac:dyDescent="0.2">
      <c r="L2780" s="5"/>
      <c r="M2780" s="5"/>
    </row>
    <row r="2781" spans="12:13" x14ac:dyDescent="0.2">
      <c r="L2781" s="5"/>
      <c r="M2781" s="5"/>
    </row>
    <row r="2782" spans="12:13" x14ac:dyDescent="0.2">
      <c r="L2782" s="5"/>
      <c r="M2782" s="5"/>
    </row>
    <row r="2783" spans="12:13" x14ac:dyDescent="0.2">
      <c r="L2783" s="5"/>
      <c r="M2783" s="5"/>
    </row>
    <row r="2784" spans="12:13" x14ac:dyDescent="0.2">
      <c r="L2784" s="5"/>
      <c r="M2784" s="5"/>
    </row>
    <row r="2785" spans="12:13" x14ac:dyDescent="0.2">
      <c r="L2785" s="5"/>
      <c r="M2785" s="5"/>
    </row>
    <row r="2786" spans="12:13" x14ac:dyDescent="0.2">
      <c r="L2786" s="5"/>
      <c r="M2786" s="5"/>
    </row>
    <row r="2787" spans="12:13" x14ac:dyDescent="0.2">
      <c r="L2787" s="5"/>
      <c r="M2787" s="5"/>
    </row>
    <row r="2788" spans="12:13" x14ac:dyDescent="0.2">
      <c r="L2788" s="5"/>
      <c r="M2788" s="5"/>
    </row>
    <row r="2789" spans="12:13" x14ac:dyDescent="0.2">
      <c r="L2789" s="5"/>
      <c r="M2789" s="5"/>
    </row>
    <row r="2790" spans="12:13" x14ac:dyDescent="0.2">
      <c r="L2790" s="5"/>
      <c r="M2790" s="5"/>
    </row>
    <row r="2791" spans="12:13" x14ac:dyDescent="0.2">
      <c r="L2791" s="5"/>
      <c r="M2791" s="5"/>
    </row>
    <row r="2792" spans="12:13" x14ac:dyDescent="0.2">
      <c r="L2792" s="5"/>
      <c r="M2792" s="5"/>
    </row>
    <row r="2793" spans="12:13" x14ac:dyDescent="0.2">
      <c r="L2793" s="5"/>
      <c r="M2793" s="5"/>
    </row>
    <row r="2794" spans="12:13" x14ac:dyDescent="0.2">
      <c r="L2794" s="5"/>
      <c r="M2794" s="5"/>
    </row>
    <row r="2795" spans="12:13" x14ac:dyDescent="0.2">
      <c r="L2795" s="5"/>
      <c r="M2795" s="5"/>
    </row>
    <row r="2796" spans="12:13" x14ac:dyDescent="0.2">
      <c r="L2796" s="5"/>
      <c r="M2796" s="5"/>
    </row>
    <row r="2797" spans="12:13" x14ac:dyDescent="0.2">
      <c r="L2797" s="5"/>
      <c r="M2797" s="5"/>
    </row>
    <row r="2798" spans="12:13" x14ac:dyDescent="0.2">
      <c r="L2798" s="5"/>
      <c r="M2798" s="5"/>
    </row>
    <row r="2799" spans="12:13" x14ac:dyDescent="0.2">
      <c r="L2799" s="5"/>
      <c r="M2799" s="5"/>
    </row>
    <row r="2800" spans="12:13" x14ac:dyDescent="0.2">
      <c r="L2800" s="5"/>
      <c r="M2800" s="5"/>
    </row>
    <row r="2801" spans="12:13" x14ac:dyDescent="0.2">
      <c r="L2801" s="5"/>
      <c r="M2801" s="5"/>
    </row>
    <row r="2802" spans="12:13" x14ac:dyDescent="0.2">
      <c r="L2802" s="5"/>
      <c r="M2802" s="5"/>
    </row>
    <row r="2803" spans="12:13" x14ac:dyDescent="0.2">
      <c r="L2803" s="5"/>
      <c r="M2803" s="5"/>
    </row>
    <row r="2804" spans="12:13" x14ac:dyDescent="0.2">
      <c r="L2804" s="5"/>
      <c r="M2804" s="5"/>
    </row>
    <row r="2805" spans="12:13" x14ac:dyDescent="0.2">
      <c r="L2805" s="5"/>
      <c r="M2805" s="5"/>
    </row>
    <row r="2806" spans="12:13" x14ac:dyDescent="0.2">
      <c r="L2806" s="5"/>
      <c r="M2806" s="5"/>
    </row>
    <row r="2807" spans="12:13" x14ac:dyDescent="0.2">
      <c r="L2807" s="5"/>
      <c r="M2807" s="5"/>
    </row>
    <row r="2808" spans="12:13" x14ac:dyDescent="0.2">
      <c r="L2808" s="5"/>
      <c r="M2808" s="5"/>
    </row>
    <row r="2809" spans="12:13" x14ac:dyDescent="0.2">
      <c r="L2809" s="5"/>
      <c r="M2809" s="5"/>
    </row>
    <row r="2810" spans="12:13" x14ac:dyDescent="0.2">
      <c r="L2810" s="5"/>
      <c r="M2810" s="5"/>
    </row>
    <row r="2811" spans="12:13" x14ac:dyDescent="0.2">
      <c r="L2811" s="5"/>
      <c r="M2811" s="5"/>
    </row>
    <row r="2812" spans="12:13" x14ac:dyDescent="0.2">
      <c r="L2812" s="5"/>
      <c r="M2812" s="5"/>
    </row>
    <row r="2813" spans="12:13" x14ac:dyDescent="0.2">
      <c r="L2813" s="5"/>
      <c r="M2813" s="5"/>
    </row>
    <row r="2814" spans="12:13" x14ac:dyDescent="0.2">
      <c r="L2814" s="5"/>
      <c r="M2814" s="5"/>
    </row>
    <row r="2815" spans="12:13" x14ac:dyDescent="0.2">
      <c r="L2815" s="5"/>
      <c r="M2815" s="5"/>
    </row>
    <row r="2816" spans="12:13" x14ac:dyDescent="0.2">
      <c r="L2816" s="5"/>
      <c r="M2816" s="5"/>
    </row>
    <row r="2817" spans="12:13" x14ac:dyDescent="0.2">
      <c r="L2817" s="5"/>
      <c r="M2817" s="5"/>
    </row>
    <row r="2818" spans="12:13" x14ac:dyDescent="0.2">
      <c r="L2818" s="5"/>
      <c r="M2818" s="5"/>
    </row>
    <row r="2819" spans="12:13" x14ac:dyDescent="0.2">
      <c r="L2819" s="5"/>
      <c r="M2819" s="5"/>
    </row>
    <row r="2820" spans="12:13" x14ac:dyDescent="0.2">
      <c r="L2820" s="5"/>
      <c r="M2820" s="5"/>
    </row>
    <row r="2821" spans="12:13" x14ac:dyDescent="0.2">
      <c r="L2821" s="5"/>
      <c r="M2821" s="5"/>
    </row>
    <row r="2822" spans="12:13" x14ac:dyDescent="0.2">
      <c r="L2822" s="5"/>
      <c r="M2822" s="5"/>
    </row>
    <row r="2823" spans="12:13" x14ac:dyDescent="0.2">
      <c r="L2823" s="5"/>
      <c r="M2823" s="5"/>
    </row>
    <row r="2824" spans="12:13" x14ac:dyDescent="0.2">
      <c r="L2824" s="5"/>
      <c r="M2824" s="5"/>
    </row>
    <row r="2825" spans="12:13" x14ac:dyDescent="0.2">
      <c r="L2825" s="5"/>
      <c r="M2825" s="5"/>
    </row>
    <row r="2826" spans="12:13" x14ac:dyDescent="0.2">
      <c r="L2826" s="5"/>
      <c r="M2826" s="5"/>
    </row>
    <row r="2827" spans="12:13" x14ac:dyDescent="0.2">
      <c r="L2827" s="5"/>
      <c r="M2827" s="5"/>
    </row>
    <row r="2828" spans="12:13" x14ac:dyDescent="0.2">
      <c r="L2828" s="5"/>
      <c r="M2828" s="5"/>
    </row>
    <row r="2829" spans="12:13" x14ac:dyDescent="0.2">
      <c r="L2829" s="5"/>
      <c r="M2829" s="5"/>
    </row>
    <row r="2830" spans="12:13" x14ac:dyDescent="0.2">
      <c r="L2830" s="5"/>
      <c r="M2830" s="5"/>
    </row>
    <row r="2831" spans="12:13" x14ac:dyDescent="0.2">
      <c r="L2831" s="5"/>
      <c r="M2831" s="5"/>
    </row>
    <row r="2832" spans="12:13" x14ac:dyDescent="0.2">
      <c r="L2832" s="5"/>
      <c r="M2832" s="5"/>
    </row>
    <row r="2833" spans="12:13" x14ac:dyDescent="0.2">
      <c r="L2833" s="5"/>
      <c r="M2833" s="5"/>
    </row>
    <row r="2834" spans="12:13" x14ac:dyDescent="0.2">
      <c r="L2834" s="5"/>
      <c r="M2834" s="5"/>
    </row>
    <row r="2835" spans="12:13" x14ac:dyDescent="0.2">
      <c r="L2835" s="5"/>
      <c r="M2835" s="5"/>
    </row>
    <row r="2836" spans="12:13" x14ac:dyDescent="0.2">
      <c r="L2836" s="5"/>
      <c r="M2836" s="5"/>
    </row>
    <row r="2837" spans="12:13" x14ac:dyDescent="0.2">
      <c r="L2837" s="5"/>
      <c r="M2837" s="5"/>
    </row>
    <row r="2838" spans="12:13" x14ac:dyDescent="0.2">
      <c r="L2838" s="5"/>
      <c r="M2838" s="5"/>
    </row>
    <row r="2839" spans="12:13" x14ac:dyDescent="0.2">
      <c r="L2839" s="5"/>
      <c r="M2839" s="5"/>
    </row>
    <row r="2840" spans="12:13" x14ac:dyDescent="0.2">
      <c r="L2840" s="5"/>
      <c r="M2840" s="5"/>
    </row>
    <row r="2841" spans="12:13" x14ac:dyDescent="0.2">
      <c r="L2841" s="5"/>
      <c r="M2841" s="5"/>
    </row>
    <row r="2842" spans="12:13" x14ac:dyDescent="0.2">
      <c r="L2842" s="5"/>
      <c r="M2842" s="5"/>
    </row>
    <row r="2843" spans="12:13" x14ac:dyDescent="0.2">
      <c r="L2843" s="5"/>
      <c r="M2843" s="5"/>
    </row>
    <row r="2844" spans="12:13" x14ac:dyDescent="0.2">
      <c r="L2844" s="5"/>
      <c r="M2844" s="5"/>
    </row>
    <row r="2845" spans="12:13" x14ac:dyDescent="0.2">
      <c r="L2845" s="5"/>
      <c r="M2845" s="5"/>
    </row>
    <row r="2846" spans="12:13" x14ac:dyDescent="0.2">
      <c r="L2846" s="5"/>
      <c r="M2846" s="5"/>
    </row>
    <row r="2847" spans="12:13" x14ac:dyDescent="0.2">
      <c r="L2847" s="5"/>
      <c r="M2847" s="5"/>
    </row>
    <row r="2848" spans="12:13" x14ac:dyDescent="0.2">
      <c r="L2848" s="5"/>
      <c r="M2848" s="5"/>
    </row>
    <row r="2849" spans="12:13" x14ac:dyDescent="0.2">
      <c r="L2849" s="5"/>
      <c r="M2849" s="5"/>
    </row>
    <row r="2850" spans="12:13" x14ac:dyDescent="0.2">
      <c r="L2850" s="5"/>
      <c r="M2850" s="5"/>
    </row>
    <row r="2851" spans="12:13" x14ac:dyDescent="0.2">
      <c r="L2851" s="5"/>
      <c r="M2851" s="5"/>
    </row>
    <row r="2852" spans="12:13" x14ac:dyDescent="0.2">
      <c r="L2852" s="5"/>
      <c r="M2852" s="5"/>
    </row>
    <row r="2853" spans="12:13" x14ac:dyDescent="0.2">
      <c r="L2853" s="5"/>
      <c r="M2853" s="5"/>
    </row>
    <row r="2854" spans="12:13" x14ac:dyDescent="0.2">
      <c r="L2854" s="5"/>
      <c r="M2854" s="5"/>
    </row>
    <row r="2855" spans="12:13" x14ac:dyDescent="0.2">
      <c r="L2855" s="5"/>
      <c r="M2855" s="5"/>
    </row>
    <row r="2856" spans="12:13" x14ac:dyDescent="0.2">
      <c r="L2856" s="5"/>
      <c r="M2856" s="5"/>
    </row>
    <row r="2857" spans="12:13" x14ac:dyDescent="0.2">
      <c r="L2857" s="5"/>
      <c r="M2857" s="5"/>
    </row>
    <row r="2858" spans="12:13" x14ac:dyDescent="0.2">
      <c r="L2858" s="5"/>
      <c r="M2858" s="5"/>
    </row>
    <row r="2859" spans="12:13" x14ac:dyDescent="0.2">
      <c r="L2859" s="5"/>
      <c r="M2859" s="5"/>
    </row>
    <row r="2860" spans="12:13" x14ac:dyDescent="0.2">
      <c r="L2860" s="5"/>
      <c r="M2860" s="5"/>
    </row>
    <row r="2861" spans="12:13" x14ac:dyDescent="0.2">
      <c r="L2861" s="5"/>
      <c r="M2861" s="5"/>
    </row>
    <row r="2862" spans="12:13" x14ac:dyDescent="0.2">
      <c r="L2862" s="5"/>
      <c r="M2862" s="5"/>
    </row>
    <row r="2863" spans="12:13" x14ac:dyDescent="0.2">
      <c r="L2863" s="5"/>
      <c r="M2863" s="5"/>
    </row>
    <row r="2864" spans="12:13" x14ac:dyDescent="0.2">
      <c r="L2864" s="5"/>
      <c r="M2864" s="5"/>
    </row>
    <row r="2865" spans="12:13" x14ac:dyDescent="0.2">
      <c r="L2865" s="5"/>
      <c r="M2865" s="5"/>
    </row>
    <row r="2866" spans="12:13" x14ac:dyDescent="0.2">
      <c r="L2866" s="5"/>
      <c r="M2866" s="5"/>
    </row>
    <row r="2867" spans="12:13" x14ac:dyDescent="0.2">
      <c r="L2867" s="5"/>
      <c r="M2867" s="5"/>
    </row>
    <row r="2868" spans="12:13" x14ac:dyDescent="0.2">
      <c r="L2868" s="5"/>
      <c r="M2868" s="5"/>
    </row>
    <row r="2869" spans="12:13" x14ac:dyDescent="0.2">
      <c r="L2869" s="5"/>
      <c r="M2869" s="5"/>
    </row>
    <row r="2870" spans="12:13" x14ac:dyDescent="0.2">
      <c r="L2870" s="5"/>
      <c r="M2870" s="5"/>
    </row>
    <row r="2871" spans="12:13" x14ac:dyDescent="0.2">
      <c r="L2871" s="5"/>
      <c r="M2871" s="5"/>
    </row>
    <row r="2872" spans="12:13" x14ac:dyDescent="0.2">
      <c r="L2872" s="5"/>
      <c r="M2872" s="5"/>
    </row>
    <row r="2873" spans="12:13" x14ac:dyDescent="0.2">
      <c r="L2873" s="5"/>
      <c r="M2873" s="5"/>
    </row>
    <row r="2874" spans="12:13" x14ac:dyDescent="0.2">
      <c r="L2874" s="5"/>
      <c r="M2874" s="5"/>
    </row>
    <row r="2875" spans="12:13" x14ac:dyDescent="0.2">
      <c r="L2875" s="5"/>
      <c r="M2875" s="5"/>
    </row>
    <row r="2876" spans="12:13" x14ac:dyDescent="0.2">
      <c r="L2876" s="5"/>
      <c r="M2876" s="5"/>
    </row>
    <row r="2877" spans="12:13" x14ac:dyDescent="0.2">
      <c r="L2877" s="5"/>
      <c r="M2877" s="5"/>
    </row>
    <row r="2878" spans="12:13" x14ac:dyDescent="0.2">
      <c r="L2878" s="5"/>
      <c r="M2878" s="5"/>
    </row>
    <row r="2879" spans="12:13" x14ac:dyDescent="0.2">
      <c r="L2879" s="5"/>
      <c r="M2879" s="5"/>
    </row>
    <row r="2880" spans="12:13" x14ac:dyDescent="0.2">
      <c r="L2880" s="5"/>
      <c r="M2880" s="5"/>
    </row>
    <row r="2881" spans="12:13" x14ac:dyDescent="0.2">
      <c r="L2881" s="5"/>
      <c r="M2881" s="5"/>
    </row>
    <row r="2882" spans="12:13" x14ac:dyDescent="0.2">
      <c r="L2882" s="5"/>
      <c r="M2882" s="5"/>
    </row>
    <row r="2883" spans="12:13" x14ac:dyDescent="0.2">
      <c r="L2883" s="5"/>
      <c r="M2883" s="5"/>
    </row>
    <row r="2884" spans="12:13" x14ac:dyDescent="0.2">
      <c r="L2884" s="5"/>
      <c r="M2884" s="5"/>
    </row>
    <row r="2885" spans="12:13" x14ac:dyDescent="0.2">
      <c r="L2885" s="5"/>
      <c r="M2885" s="5"/>
    </row>
    <row r="2886" spans="12:13" x14ac:dyDescent="0.2">
      <c r="L2886" s="5"/>
      <c r="M2886" s="5"/>
    </row>
    <row r="2887" spans="12:13" x14ac:dyDescent="0.2">
      <c r="L2887" s="5"/>
      <c r="M2887" s="5"/>
    </row>
    <row r="2888" spans="12:13" x14ac:dyDescent="0.2">
      <c r="L2888" s="5"/>
      <c r="M2888" s="5"/>
    </row>
    <row r="2889" spans="12:13" x14ac:dyDescent="0.2">
      <c r="L2889" s="5"/>
      <c r="M2889" s="5"/>
    </row>
    <row r="2890" spans="12:13" x14ac:dyDescent="0.2">
      <c r="L2890" s="5"/>
      <c r="M2890" s="5"/>
    </row>
    <row r="2891" spans="12:13" x14ac:dyDescent="0.2">
      <c r="L2891" s="5"/>
      <c r="M2891" s="5"/>
    </row>
    <row r="2892" spans="12:13" x14ac:dyDescent="0.2">
      <c r="L2892" s="5"/>
      <c r="M2892" s="5"/>
    </row>
    <row r="2893" spans="12:13" x14ac:dyDescent="0.2">
      <c r="L2893" s="5"/>
      <c r="M2893" s="5"/>
    </row>
    <row r="2894" spans="12:13" x14ac:dyDescent="0.2">
      <c r="L2894" s="5"/>
      <c r="M2894" s="5"/>
    </row>
    <row r="2895" spans="12:13" x14ac:dyDescent="0.2">
      <c r="L2895" s="5"/>
      <c r="M2895" s="5"/>
    </row>
    <row r="2896" spans="12:13" x14ac:dyDescent="0.2">
      <c r="L2896" s="5"/>
      <c r="M2896" s="5"/>
    </row>
    <row r="2897" spans="12:13" x14ac:dyDescent="0.2">
      <c r="L2897" s="5"/>
      <c r="M2897" s="5"/>
    </row>
    <row r="2898" spans="12:13" x14ac:dyDescent="0.2">
      <c r="L2898" s="5"/>
      <c r="M2898" s="5"/>
    </row>
    <row r="2899" spans="12:13" x14ac:dyDescent="0.2">
      <c r="L2899" s="5"/>
      <c r="M2899" s="5"/>
    </row>
    <row r="2900" spans="12:13" x14ac:dyDescent="0.2">
      <c r="L2900" s="5"/>
      <c r="M2900" s="5"/>
    </row>
    <row r="2901" spans="12:13" x14ac:dyDescent="0.2">
      <c r="L2901" s="5"/>
      <c r="M2901" s="5"/>
    </row>
    <row r="2902" spans="12:13" x14ac:dyDescent="0.2">
      <c r="L2902" s="5"/>
      <c r="M2902" s="5"/>
    </row>
    <row r="2903" spans="12:13" x14ac:dyDescent="0.2">
      <c r="L2903" s="5"/>
      <c r="M2903" s="5"/>
    </row>
    <row r="2904" spans="12:13" x14ac:dyDescent="0.2">
      <c r="L2904" s="5"/>
      <c r="M2904" s="5"/>
    </row>
    <row r="2905" spans="12:13" x14ac:dyDescent="0.2">
      <c r="L2905" s="5"/>
      <c r="M2905" s="5"/>
    </row>
    <row r="2906" spans="12:13" x14ac:dyDescent="0.2">
      <c r="L2906" s="5"/>
      <c r="M2906" s="5"/>
    </row>
    <row r="2907" spans="12:13" x14ac:dyDescent="0.2">
      <c r="L2907" s="5"/>
      <c r="M2907" s="5"/>
    </row>
    <row r="2908" spans="12:13" x14ac:dyDescent="0.2">
      <c r="L2908" s="5"/>
      <c r="M2908" s="5"/>
    </row>
    <row r="2909" spans="12:13" x14ac:dyDescent="0.2">
      <c r="L2909" s="5"/>
      <c r="M2909" s="5"/>
    </row>
    <row r="2910" spans="12:13" x14ac:dyDescent="0.2">
      <c r="L2910" s="5"/>
      <c r="M2910" s="5"/>
    </row>
    <row r="2911" spans="12:13" x14ac:dyDescent="0.2">
      <c r="L2911" s="5"/>
      <c r="M2911" s="5"/>
    </row>
    <row r="2912" spans="12:13" x14ac:dyDescent="0.2">
      <c r="L2912" s="5"/>
      <c r="M2912" s="5"/>
    </row>
    <row r="2913" spans="12:13" x14ac:dyDescent="0.2">
      <c r="L2913" s="5"/>
      <c r="M2913" s="5"/>
    </row>
    <row r="2914" spans="12:13" x14ac:dyDescent="0.2">
      <c r="L2914" s="5"/>
      <c r="M2914" s="5"/>
    </row>
    <row r="2915" spans="12:13" x14ac:dyDescent="0.2">
      <c r="L2915" s="5"/>
      <c r="M2915" s="5"/>
    </row>
    <row r="2916" spans="12:13" x14ac:dyDescent="0.2">
      <c r="L2916" s="5"/>
      <c r="M2916" s="5"/>
    </row>
    <row r="2917" spans="12:13" x14ac:dyDescent="0.2">
      <c r="L2917" s="5"/>
      <c r="M2917" s="5"/>
    </row>
    <row r="2918" spans="12:13" x14ac:dyDescent="0.2">
      <c r="L2918" s="5"/>
      <c r="M2918" s="5"/>
    </row>
    <row r="2919" spans="12:13" x14ac:dyDescent="0.2">
      <c r="L2919" s="5"/>
      <c r="M2919" s="5"/>
    </row>
    <row r="2920" spans="12:13" x14ac:dyDescent="0.2">
      <c r="L2920" s="5"/>
      <c r="M2920" s="5"/>
    </row>
    <row r="2921" spans="12:13" x14ac:dyDescent="0.2">
      <c r="L2921" s="5"/>
      <c r="M2921" s="5"/>
    </row>
    <row r="2922" spans="12:13" x14ac:dyDescent="0.2">
      <c r="L2922" s="5"/>
      <c r="M2922" s="5"/>
    </row>
    <row r="2923" spans="12:13" x14ac:dyDescent="0.2">
      <c r="L2923" s="5"/>
      <c r="M2923" s="5"/>
    </row>
    <row r="2924" spans="12:13" x14ac:dyDescent="0.2">
      <c r="L2924" s="5"/>
      <c r="M2924" s="5"/>
    </row>
    <row r="2925" spans="12:13" x14ac:dyDescent="0.2">
      <c r="L2925" s="5"/>
      <c r="M2925" s="5"/>
    </row>
    <row r="2926" spans="12:13" x14ac:dyDescent="0.2">
      <c r="L2926" s="5"/>
      <c r="M2926" s="5"/>
    </row>
    <row r="2927" spans="12:13" x14ac:dyDescent="0.2">
      <c r="L2927" s="5"/>
      <c r="M2927" s="5"/>
    </row>
    <row r="2928" spans="12:13" x14ac:dyDescent="0.2">
      <c r="L2928" s="5"/>
      <c r="M2928" s="5"/>
    </row>
    <row r="2929" spans="12:13" x14ac:dyDescent="0.2">
      <c r="L2929" s="5"/>
      <c r="M2929" s="5"/>
    </row>
    <row r="2930" spans="12:13" x14ac:dyDescent="0.2">
      <c r="L2930" s="5"/>
      <c r="M2930" s="5"/>
    </row>
    <row r="2931" spans="12:13" x14ac:dyDescent="0.2">
      <c r="L2931" s="5"/>
      <c r="M2931" s="5"/>
    </row>
    <row r="2932" spans="12:13" x14ac:dyDescent="0.2">
      <c r="L2932" s="5"/>
      <c r="M2932" s="5"/>
    </row>
    <row r="2933" spans="12:13" x14ac:dyDescent="0.2">
      <c r="L2933" s="5"/>
      <c r="M2933" s="5"/>
    </row>
    <row r="2934" spans="12:13" x14ac:dyDescent="0.2">
      <c r="L2934" s="5"/>
      <c r="M2934" s="5"/>
    </row>
    <row r="2935" spans="12:13" x14ac:dyDescent="0.2">
      <c r="L2935" s="5"/>
      <c r="M2935" s="5"/>
    </row>
    <row r="2936" spans="12:13" x14ac:dyDescent="0.2">
      <c r="L2936" s="5"/>
      <c r="M2936" s="5"/>
    </row>
    <row r="2937" spans="12:13" x14ac:dyDescent="0.2">
      <c r="L2937" s="5"/>
      <c r="M2937" s="5"/>
    </row>
    <row r="2938" spans="12:13" x14ac:dyDescent="0.2">
      <c r="L2938" s="5"/>
      <c r="M2938" s="5"/>
    </row>
    <row r="2939" spans="12:13" x14ac:dyDescent="0.2">
      <c r="L2939" s="5"/>
      <c r="M2939" s="5"/>
    </row>
    <row r="2940" spans="12:13" x14ac:dyDescent="0.2">
      <c r="L2940" s="5"/>
      <c r="M2940" s="5"/>
    </row>
    <row r="2941" spans="12:13" x14ac:dyDescent="0.2">
      <c r="L2941" s="5"/>
      <c r="M2941" s="5"/>
    </row>
    <row r="2942" spans="12:13" x14ac:dyDescent="0.2">
      <c r="L2942" s="5"/>
      <c r="M2942" s="5"/>
    </row>
    <row r="2943" spans="12:13" x14ac:dyDescent="0.2">
      <c r="L2943" s="5"/>
      <c r="M2943" s="5"/>
    </row>
    <row r="2944" spans="12:13" x14ac:dyDescent="0.2">
      <c r="L2944" s="5"/>
      <c r="M2944" s="5"/>
    </row>
    <row r="2945" spans="12:13" x14ac:dyDescent="0.2">
      <c r="L2945" s="5"/>
      <c r="M2945" s="5"/>
    </row>
    <row r="2946" spans="12:13" x14ac:dyDescent="0.2">
      <c r="L2946" s="5"/>
      <c r="M2946" s="5"/>
    </row>
    <row r="2947" spans="12:13" x14ac:dyDescent="0.2">
      <c r="L2947" s="5"/>
      <c r="M2947" s="5"/>
    </row>
    <row r="2948" spans="12:13" x14ac:dyDescent="0.2">
      <c r="L2948" s="5"/>
      <c r="M2948" s="5"/>
    </row>
    <row r="2949" spans="12:13" x14ac:dyDescent="0.2">
      <c r="L2949" s="5"/>
      <c r="M2949" s="5"/>
    </row>
    <row r="2950" spans="12:13" x14ac:dyDescent="0.2">
      <c r="L2950" s="5"/>
      <c r="M2950" s="5"/>
    </row>
    <row r="2951" spans="12:13" x14ac:dyDescent="0.2">
      <c r="L2951" s="5"/>
      <c r="M2951" s="5"/>
    </row>
    <row r="2952" spans="12:13" x14ac:dyDescent="0.2">
      <c r="L2952" s="5"/>
      <c r="M2952" s="5"/>
    </row>
    <row r="2953" spans="12:13" x14ac:dyDescent="0.2">
      <c r="L2953" s="5"/>
      <c r="M2953" s="5"/>
    </row>
    <row r="2954" spans="12:13" x14ac:dyDescent="0.2">
      <c r="L2954" s="5"/>
      <c r="M2954" s="5"/>
    </row>
    <row r="2955" spans="12:13" x14ac:dyDescent="0.2">
      <c r="L2955" s="5"/>
      <c r="M2955" s="5"/>
    </row>
    <row r="2956" spans="12:13" x14ac:dyDescent="0.2">
      <c r="L2956" s="5"/>
      <c r="M2956" s="5"/>
    </row>
    <row r="2957" spans="12:13" x14ac:dyDescent="0.2">
      <c r="L2957" s="5"/>
      <c r="M2957" s="5"/>
    </row>
    <row r="2958" spans="12:13" x14ac:dyDescent="0.2">
      <c r="L2958" s="5"/>
      <c r="M2958" s="5"/>
    </row>
    <row r="2959" spans="12:13" x14ac:dyDescent="0.2">
      <c r="L2959" s="5"/>
      <c r="M2959" s="5"/>
    </row>
    <row r="2960" spans="12:13" x14ac:dyDescent="0.2">
      <c r="L2960" s="5"/>
      <c r="M2960" s="5"/>
    </row>
    <row r="2961" spans="12:13" x14ac:dyDescent="0.2">
      <c r="L2961" s="5"/>
      <c r="M2961" s="5"/>
    </row>
    <row r="2962" spans="12:13" x14ac:dyDescent="0.2">
      <c r="L2962" s="5"/>
      <c r="M2962" s="5"/>
    </row>
    <row r="2963" spans="12:13" x14ac:dyDescent="0.2">
      <c r="L2963" s="5"/>
      <c r="M2963" s="5"/>
    </row>
    <row r="2964" spans="12:13" x14ac:dyDescent="0.2">
      <c r="L2964" s="5"/>
      <c r="M2964" s="5"/>
    </row>
    <row r="2965" spans="12:13" x14ac:dyDescent="0.2">
      <c r="L2965" s="5"/>
      <c r="M2965" s="5"/>
    </row>
    <row r="2966" spans="12:13" x14ac:dyDescent="0.2">
      <c r="L2966" s="5"/>
      <c r="M2966" s="5"/>
    </row>
    <row r="2967" spans="12:13" x14ac:dyDescent="0.2">
      <c r="L2967" s="5"/>
      <c r="M2967" s="5"/>
    </row>
    <row r="2968" spans="12:13" x14ac:dyDescent="0.2">
      <c r="L2968" s="5"/>
      <c r="M2968" s="5"/>
    </row>
    <row r="2969" spans="12:13" x14ac:dyDescent="0.2">
      <c r="L2969" s="5"/>
      <c r="M2969" s="5"/>
    </row>
    <row r="2970" spans="12:13" x14ac:dyDescent="0.2">
      <c r="L2970" s="5"/>
      <c r="M2970" s="5"/>
    </row>
    <row r="2971" spans="12:13" x14ac:dyDescent="0.2">
      <c r="L2971" s="5"/>
      <c r="M2971" s="5"/>
    </row>
    <row r="2972" spans="12:13" x14ac:dyDescent="0.2">
      <c r="L2972" s="5"/>
      <c r="M2972" s="5"/>
    </row>
    <row r="2973" spans="12:13" x14ac:dyDescent="0.2">
      <c r="L2973" s="5"/>
      <c r="M2973" s="5"/>
    </row>
    <row r="2974" spans="12:13" x14ac:dyDescent="0.2">
      <c r="L2974" s="5"/>
      <c r="M2974" s="5"/>
    </row>
    <row r="2975" spans="12:13" x14ac:dyDescent="0.2">
      <c r="L2975" s="5"/>
      <c r="M2975" s="5"/>
    </row>
    <row r="2976" spans="12:13" x14ac:dyDescent="0.2">
      <c r="L2976" s="5"/>
      <c r="M2976" s="5"/>
    </row>
    <row r="2977" spans="12:13" x14ac:dyDescent="0.2">
      <c r="L2977" s="5"/>
      <c r="M2977" s="5"/>
    </row>
    <row r="2978" spans="12:13" x14ac:dyDescent="0.2">
      <c r="L2978" s="5"/>
      <c r="M2978" s="5"/>
    </row>
    <row r="2979" spans="12:13" x14ac:dyDescent="0.2">
      <c r="L2979" s="5"/>
      <c r="M2979" s="5"/>
    </row>
    <row r="2980" spans="12:13" x14ac:dyDescent="0.2">
      <c r="L2980" s="5"/>
      <c r="M2980" s="5"/>
    </row>
    <row r="2981" spans="12:13" x14ac:dyDescent="0.2">
      <c r="L2981" s="5"/>
      <c r="M2981" s="5"/>
    </row>
    <row r="2982" spans="12:13" x14ac:dyDescent="0.2">
      <c r="L2982" s="5"/>
      <c r="M2982" s="5"/>
    </row>
    <row r="2983" spans="12:13" x14ac:dyDescent="0.2">
      <c r="L2983" s="5"/>
      <c r="M2983" s="5"/>
    </row>
    <row r="2984" spans="12:13" x14ac:dyDescent="0.2">
      <c r="L2984" s="5"/>
      <c r="M2984" s="5"/>
    </row>
    <row r="2985" spans="12:13" x14ac:dyDescent="0.2">
      <c r="L2985" s="5"/>
      <c r="M2985" s="5"/>
    </row>
    <row r="2986" spans="12:13" x14ac:dyDescent="0.2">
      <c r="L2986" s="5"/>
      <c r="M2986" s="5"/>
    </row>
    <row r="2987" spans="12:13" x14ac:dyDescent="0.2">
      <c r="L2987" s="5"/>
      <c r="M2987" s="5"/>
    </row>
    <row r="2988" spans="12:13" x14ac:dyDescent="0.2">
      <c r="L2988" s="5"/>
      <c r="M2988" s="5"/>
    </row>
    <row r="2989" spans="12:13" x14ac:dyDescent="0.2">
      <c r="L2989" s="5"/>
      <c r="M2989" s="5"/>
    </row>
    <row r="2990" spans="12:13" x14ac:dyDescent="0.2">
      <c r="L2990" s="5"/>
      <c r="M2990" s="5"/>
    </row>
    <row r="2991" spans="12:13" x14ac:dyDescent="0.2">
      <c r="L2991" s="5"/>
      <c r="M2991" s="5"/>
    </row>
    <row r="2992" spans="12:13" x14ac:dyDescent="0.2">
      <c r="L2992" s="5"/>
      <c r="M2992" s="5"/>
    </row>
    <row r="2993" spans="12:13" x14ac:dyDescent="0.2">
      <c r="L2993" s="5"/>
      <c r="M2993" s="5"/>
    </row>
    <row r="2994" spans="12:13" x14ac:dyDescent="0.2">
      <c r="L2994" s="5"/>
      <c r="M2994" s="5"/>
    </row>
    <row r="2995" spans="12:13" x14ac:dyDescent="0.2">
      <c r="L2995" s="5"/>
      <c r="M2995" s="5"/>
    </row>
    <row r="2996" spans="12:13" x14ac:dyDescent="0.2">
      <c r="L2996" s="5"/>
      <c r="M2996" s="5"/>
    </row>
    <row r="2997" spans="12:13" x14ac:dyDescent="0.2">
      <c r="L2997" s="5"/>
      <c r="M2997" s="5"/>
    </row>
    <row r="2998" spans="12:13" x14ac:dyDescent="0.2">
      <c r="L2998" s="5"/>
      <c r="M2998" s="5"/>
    </row>
    <row r="2999" spans="12:13" x14ac:dyDescent="0.2">
      <c r="L2999" s="5"/>
      <c r="M2999" s="5"/>
    </row>
    <row r="3000" spans="12:13" x14ac:dyDescent="0.2">
      <c r="L3000" s="5"/>
      <c r="M3000" s="5"/>
    </row>
    <row r="3001" spans="12:13" x14ac:dyDescent="0.2">
      <c r="L3001" s="5"/>
      <c r="M3001" s="5"/>
    </row>
    <row r="3002" spans="12:13" x14ac:dyDescent="0.2">
      <c r="L3002" s="5"/>
      <c r="M3002" s="5"/>
    </row>
    <row r="3003" spans="12:13" x14ac:dyDescent="0.2">
      <c r="L3003" s="5"/>
      <c r="M3003" s="5"/>
    </row>
    <row r="3004" spans="12:13" x14ac:dyDescent="0.2">
      <c r="L3004" s="5"/>
      <c r="M3004" s="5"/>
    </row>
    <row r="3005" spans="12:13" x14ac:dyDescent="0.2">
      <c r="L3005" s="5"/>
      <c r="M3005" s="5"/>
    </row>
    <row r="3006" spans="12:13" x14ac:dyDescent="0.2">
      <c r="L3006" s="5"/>
      <c r="M3006" s="5"/>
    </row>
    <row r="3007" spans="12:13" x14ac:dyDescent="0.2">
      <c r="L3007" s="5"/>
      <c r="M3007" s="5"/>
    </row>
    <row r="3008" spans="12:13" x14ac:dyDescent="0.2">
      <c r="L3008" s="5"/>
      <c r="M3008" s="5"/>
    </row>
    <row r="3009" spans="12:13" x14ac:dyDescent="0.2">
      <c r="L3009" s="5"/>
      <c r="M3009" s="5"/>
    </row>
    <row r="3010" spans="12:13" x14ac:dyDescent="0.2">
      <c r="L3010" s="5"/>
      <c r="M3010" s="5"/>
    </row>
    <row r="3011" spans="12:13" x14ac:dyDescent="0.2">
      <c r="L3011" s="5"/>
      <c r="M3011" s="5"/>
    </row>
    <row r="3012" spans="12:13" x14ac:dyDescent="0.2">
      <c r="L3012" s="5"/>
      <c r="M3012" s="5"/>
    </row>
    <row r="3013" spans="12:13" x14ac:dyDescent="0.2">
      <c r="L3013" s="5"/>
      <c r="M3013" s="5"/>
    </row>
    <row r="3014" spans="12:13" x14ac:dyDescent="0.2">
      <c r="L3014" s="5"/>
      <c r="M3014" s="5"/>
    </row>
    <row r="3015" spans="12:13" x14ac:dyDescent="0.2">
      <c r="L3015" s="5"/>
      <c r="M3015" s="5"/>
    </row>
    <row r="3016" spans="12:13" x14ac:dyDescent="0.2">
      <c r="L3016" s="5"/>
      <c r="M3016" s="5"/>
    </row>
    <row r="3017" spans="12:13" x14ac:dyDescent="0.2">
      <c r="L3017" s="5"/>
      <c r="M3017" s="5"/>
    </row>
    <row r="3018" spans="12:13" x14ac:dyDescent="0.2">
      <c r="L3018" s="5"/>
      <c r="M3018" s="5"/>
    </row>
    <row r="3019" spans="12:13" x14ac:dyDescent="0.2">
      <c r="L3019" s="5"/>
      <c r="M3019" s="5"/>
    </row>
    <row r="3020" spans="12:13" x14ac:dyDescent="0.2">
      <c r="L3020" s="5"/>
      <c r="M3020" s="5"/>
    </row>
    <row r="3021" spans="12:13" x14ac:dyDescent="0.2">
      <c r="L3021" s="5"/>
      <c r="M3021" s="5"/>
    </row>
    <row r="3022" spans="12:13" x14ac:dyDescent="0.2">
      <c r="L3022" s="5"/>
      <c r="M3022" s="5"/>
    </row>
    <row r="3023" spans="12:13" x14ac:dyDescent="0.2">
      <c r="L3023" s="5"/>
      <c r="M3023" s="5"/>
    </row>
    <row r="3024" spans="12:13" x14ac:dyDescent="0.2">
      <c r="L3024" s="5"/>
      <c r="M3024" s="5"/>
    </row>
    <row r="3025" spans="12:13" x14ac:dyDescent="0.2">
      <c r="L3025" s="5"/>
      <c r="M3025" s="5"/>
    </row>
    <row r="3026" spans="12:13" x14ac:dyDescent="0.2">
      <c r="L3026" s="5"/>
      <c r="M3026" s="5"/>
    </row>
    <row r="3027" spans="12:13" x14ac:dyDescent="0.2">
      <c r="L3027" s="5"/>
      <c r="M3027" s="5"/>
    </row>
    <row r="3028" spans="12:13" x14ac:dyDescent="0.2">
      <c r="L3028" s="5"/>
      <c r="M3028" s="5"/>
    </row>
    <row r="3029" spans="12:13" x14ac:dyDescent="0.2">
      <c r="L3029" s="5"/>
      <c r="M3029" s="5"/>
    </row>
    <row r="3030" spans="12:13" x14ac:dyDescent="0.2">
      <c r="L3030" s="5"/>
      <c r="M3030" s="5"/>
    </row>
    <row r="3031" spans="12:13" x14ac:dyDescent="0.2">
      <c r="L3031" s="5"/>
      <c r="M3031" s="5"/>
    </row>
    <row r="3032" spans="12:13" x14ac:dyDescent="0.2">
      <c r="L3032" s="5"/>
      <c r="M3032" s="5"/>
    </row>
    <row r="3033" spans="12:13" x14ac:dyDescent="0.2">
      <c r="L3033" s="5"/>
      <c r="M3033" s="5"/>
    </row>
    <row r="3034" spans="12:13" x14ac:dyDescent="0.2">
      <c r="L3034" s="5"/>
      <c r="M3034" s="5"/>
    </row>
    <row r="3035" spans="12:13" x14ac:dyDescent="0.2">
      <c r="L3035" s="5"/>
      <c r="M3035" s="5"/>
    </row>
    <row r="3036" spans="12:13" x14ac:dyDescent="0.2">
      <c r="L3036" s="5"/>
      <c r="M3036" s="5"/>
    </row>
    <row r="3037" spans="12:13" x14ac:dyDescent="0.2">
      <c r="L3037" s="5"/>
      <c r="M3037" s="5"/>
    </row>
    <row r="3038" spans="12:13" x14ac:dyDescent="0.2">
      <c r="L3038" s="5"/>
      <c r="M3038" s="5"/>
    </row>
    <row r="3039" spans="12:13" x14ac:dyDescent="0.2">
      <c r="L3039" s="5"/>
      <c r="M3039" s="5"/>
    </row>
    <row r="3040" spans="12:13" x14ac:dyDescent="0.2">
      <c r="L3040" s="5"/>
      <c r="M3040" s="5"/>
    </row>
    <row r="3041" spans="12:13" x14ac:dyDescent="0.2">
      <c r="L3041" s="5"/>
      <c r="M3041" s="5"/>
    </row>
    <row r="3042" spans="12:13" x14ac:dyDescent="0.2">
      <c r="L3042" s="5"/>
      <c r="M3042" s="5"/>
    </row>
    <row r="3043" spans="12:13" x14ac:dyDescent="0.2">
      <c r="L3043" s="5"/>
      <c r="M3043" s="5"/>
    </row>
    <row r="3044" spans="12:13" x14ac:dyDescent="0.2">
      <c r="L3044" s="5"/>
      <c r="M3044" s="5"/>
    </row>
    <row r="3045" spans="12:13" x14ac:dyDescent="0.2">
      <c r="L3045" s="5"/>
      <c r="M3045" s="5"/>
    </row>
    <row r="3046" spans="12:13" x14ac:dyDescent="0.2">
      <c r="L3046" s="5"/>
      <c r="M3046" s="5"/>
    </row>
    <row r="3047" spans="12:13" x14ac:dyDescent="0.2">
      <c r="L3047" s="5"/>
      <c r="M3047" s="5"/>
    </row>
    <row r="3048" spans="12:13" x14ac:dyDescent="0.2">
      <c r="L3048" s="5"/>
      <c r="M3048" s="5"/>
    </row>
    <row r="3049" spans="12:13" x14ac:dyDescent="0.2">
      <c r="L3049" s="5"/>
      <c r="M3049" s="5"/>
    </row>
    <row r="3050" spans="12:13" x14ac:dyDescent="0.2">
      <c r="L3050" s="5"/>
      <c r="M3050" s="5"/>
    </row>
    <row r="3051" spans="12:13" x14ac:dyDescent="0.2">
      <c r="L3051" s="5"/>
      <c r="M3051" s="5"/>
    </row>
    <row r="3052" spans="12:13" x14ac:dyDescent="0.2">
      <c r="L3052" s="5"/>
      <c r="M3052" s="5"/>
    </row>
    <row r="3053" spans="12:13" x14ac:dyDescent="0.2">
      <c r="L3053" s="5"/>
      <c r="M3053" s="5"/>
    </row>
    <row r="3054" spans="12:13" x14ac:dyDescent="0.2">
      <c r="L3054" s="5"/>
      <c r="M3054" s="5"/>
    </row>
    <row r="3055" spans="12:13" x14ac:dyDescent="0.2">
      <c r="L3055" s="5"/>
      <c r="M3055" s="5"/>
    </row>
    <row r="3056" spans="12:13" x14ac:dyDescent="0.2">
      <c r="L3056" s="5"/>
      <c r="M3056" s="5"/>
    </row>
    <row r="3057" spans="12:13" x14ac:dyDescent="0.2">
      <c r="L3057" s="5"/>
      <c r="M3057" s="5"/>
    </row>
    <row r="3058" spans="12:13" x14ac:dyDescent="0.2">
      <c r="L3058" s="5"/>
      <c r="M3058" s="5"/>
    </row>
    <row r="3059" spans="12:13" x14ac:dyDescent="0.2">
      <c r="L3059" s="5"/>
      <c r="M3059" s="5"/>
    </row>
    <row r="3060" spans="12:13" x14ac:dyDescent="0.2">
      <c r="L3060" s="5"/>
      <c r="M3060" s="5"/>
    </row>
    <row r="3061" spans="12:13" x14ac:dyDescent="0.2">
      <c r="L3061" s="5"/>
      <c r="M3061" s="5"/>
    </row>
    <row r="3062" spans="12:13" x14ac:dyDescent="0.2">
      <c r="L3062" s="5"/>
      <c r="M3062" s="5"/>
    </row>
    <row r="3063" spans="12:13" x14ac:dyDescent="0.2">
      <c r="L3063" s="5"/>
      <c r="M3063" s="5"/>
    </row>
    <row r="3064" spans="12:13" x14ac:dyDescent="0.2">
      <c r="L3064" s="5"/>
      <c r="M3064" s="5"/>
    </row>
    <row r="3065" spans="12:13" x14ac:dyDescent="0.2">
      <c r="L3065" s="5"/>
      <c r="M3065" s="5"/>
    </row>
    <row r="3066" spans="12:13" x14ac:dyDescent="0.2">
      <c r="L3066" s="5"/>
      <c r="M3066" s="5"/>
    </row>
    <row r="3067" spans="12:13" x14ac:dyDescent="0.2">
      <c r="L3067" s="5"/>
      <c r="M3067" s="5"/>
    </row>
    <row r="3068" spans="12:13" x14ac:dyDescent="0.2">
      <c r="L3068" s="5"/>
      <c r="M3068" s="5"/>
    </row>
    <row r="3069" spans="12:13" x14ac:dyDescent="0.2">
      <c r="L3069" s="5"/>
      <c r="M3069" s="5"/>
    </row>
    <row r="3070" spans="12:13" x14ac:dyDescent="0.2">
      <c r="L3070" s="5"/>
      <c r="M3070" s="5"/>
    </row>
    <row r="3071" spans="12:13" x14ac:dyDescent="0.2">
      <c r="L3071" s="5"/>
      <c r="M3071" s="5"/>
    </row>
    <row r="3072" spans="12:13" x14ac:dyDescent="0.2">
      <c r="L3072" s="5"/>
      <c r="M3072" s="5"/>
    </row>
    <row r="3073" spans="12:13" x14ac:dyDescent="0.2">
      <c r="L3073" s="5"/>
      <c r="M3073" s="5"/>
    </row>
    <row r="3074" spans="12:13" x14ac:dyDescent="0.2">
      <c r="L3074" s="5"/>
      <c r="M3074" s="5"/>
    </row>
    <row r="3075" spans="12:13" x14ac:dyDescent="0.2">
      <c r="L3075" s="5"/>
      <c r="M3075" s="5"/>
    </row>
    <row r="3076" spans="12:13" x14ac:dyDescent="0.2">
      <c r="L3076" s="5"/>
      <c r="M3076" s="5"/>
    </row>
    <row r="3077" spans="12:13" x14ac:dyDescent="0.2">
      <c r="L3077" s="5"/>
      <c r="M3077" s="5"/>
    </row>
    <row r="3078" spans="12:13" x14ac:dyDescent="0.2">
      <c r="L3078" s="5"/>
      <c r="M3078" s="5"/>
    </row>
    <row r="3079" spans="12:13" x14ac:dyDescent="0.2">
      <c r="L3079" s="5"/>
      <c r="M3079" s="5"/>
    </row>
    <row r="3080" spans="12:13" x14ac:dyDescent="0.2">
      <c r="L3080" s="5"/>
      <c r="M3080" s="5"/>
    </row>
    <row r="3081" spans="12:13" x14ac:dyDescent="0.2">
      <c r="L3081" s="5"/>
      <c r="M3081" s="5"/>
    </row>
    <row r="3082" spans="12:13" x14ac:dyDescent="0.2">
      <c r="L3082" s="5"/>
      <c r="M3082" s="5"/>
    </row>
    <row r="3083" spans="12:13" x14ac:dyDescent="0.2">
      <c r="L3083" s="5"/>
      <c r="M3083" s="5"/>
    </row>
    <row r="3084" spans="12:13" x14ac:dyDescent="0.2">
      <c r="L3084" s="5"/>
      <c r="M3084" s="5"/>
    </row>
    <row r="3085" spans="12:13" x14ac:dyDescent="0.2">
      <c r="L3085" s="5"/>
      <c r="M3085" s="5"/>
    </row>
    <row r="3086" spans="12:13" x14ac:dyDescent="0.2">
      <c r="L3086" s="5"/>
      <c r="M3086" s="5"/>
    </row>
    <row r="3087" spans="12:13" x14ac:dyDescent="0.2">
      <c r="L3087" s="5"/>
      <c r="M3087" s="5"/>
    </row>
    <row r="3088" spans="12:13" x14ac:dyDescent="0.2">
      <c r="L3088" s="5"/>
      <c r="M3088" s="5"/>
    </row>
    <row r="3089" spans="12:13" x14ac:dyDescent="0.2">
      <c r="L3089" s="5"/>
      <c r="M3089" s="5"/>
    </row>
    <row r="3090" spans="12:13" x14ac:dyDescent="0.2">
      <c r="L3090" s="5"/>
      <c r="M3090" s="5"/>
    </row>
    <row r="3091" spans="12:13" x14ac:dyDescent="0.2">
      <c r="L3091" s="5"/>
      <c r="M3091" s="5"/>
    </row>
    <row r="3092" spans="12:13" x14ac:dyDescent="0.2">
      <c r="L3092" s="5"/>
      <c r="M3092" s="5"/>
    </row>
    <row r="3093" spans="12:13" x14ac:dyDescent="0.2">
      <c r="L3093" s="5"/>
      <c r="M3093" s="5"/>
    </row>
    <row r="3094" spans="12:13" x14ac:dyDescent="0.2">
      <c r="L3094" s="5"/>
      <c r="M3094" s="5"/>
    </row>
    <row r="3095" spans="12:13" x14ac:dyDescent="0.2">
      <c r="L3095" s="5"/>
      <c r="M3095" s="5"/>
    </row>
    <row r="3096" spans="12:13" x14ac:dyDescent="0.2">
      <c r="L3096" s="5"/>
      <c r="M3096" s="5"/>
    </row>
    <row r="3097" spans="12:13" x14ac:dyDescent="0.2">
      <c r="L3097" s="5"/>
      <c r="M3097" s="5"/>
    </row>
    <row r="3098" spans="12:13" x14ac:dyDescent="0.2">
      <c r="L3098" s="5"/>
      <c r="M3098" s="5"/>
    </row>
    <row r="3099" spans="12:13" x14ac:dyDescent="0.2">
      <c r="L3099" s="5"/>
      <c r="M3099" s="5"/>
    </row>
    <row r="3100" spans="12:13" x14ac:dyDescent="0.2">
      <c r="L3100" s="5"/>
      <c r="M3100" s="5"/>
    </row>
    <row r="3101" spans="12:13" x14ac:dyDescent="0.2">
      <c r="L3101" s="5"/>
      <c r="M3101" s="5"/>
    </row>
    <row r="3102" spans="12:13" x14ac:dyDescent="0.2">
      <c r="L3102" s="5"/>
      <c r="M3102" s="5"/>
    </row>
    <row r="3103" spans="12:13" x14ac:dyDescent="0.2">
      <c r="L3103" s="5"/>
      <c r="M3103" s="5"/>
    </row>
    <row r="3104" spans="12:13" x14ac:dyDescent="0.2">
      <c r="L3104" s="5"/>
      <c r="M3104" s="5"/>
    </row>
    <row r="3105" spans="12:13" x14ac:dyDescent="0.2">
      <c r="L3105" s="5"/>
      <c r="M3105" s="5"/>
    </row>
    <row r="3106" spans="12:13" x14ac:dyDescent="0.2">
      <c r="L3106" s="5"/>
      <c r="M3106" s="5"/>
    </row>
    <row r="3107" spans="12:13" x14ac:dyDescent="0.2">
      <c r="L3107" s="5"/>
      <c r="M3107" s="5"/>
    </row>
    <row r="3108" spans="12:13" x14ac:dyDescent="0.2">
      <c r="L3108" s="5"/>
      <c r="M3108" s="5"/>
    </row>
    <row r="3109" spans="12:13" x14ac:dyDescent="0.2">
      <c r="L3109" s="5"/>
      <c r="M3109" s="5"/>
    </row>
    <row r="3110" spans="12:13" x14ac:dyDescent="0.2">
      <c r="L3110" s="5"/>
      <c r="M3110" s="5"/>
    </row>
    <row r="3111" spans="12:13" x14ac:dyDescent="0.2">
      <c r="L3111" s="5"/>
      <c r="M3111" s="5"/>
    </row>
    <row r="3112" spans="12:13" x14ac:dyDescent="0.2">
      <c r="L3112" s="5"/>
      <c r="M3112" s="5"/>
    </row>
    <row r="3113" spans="12:13" x14ac:dyDescent="0.2">
      <c r="L3113" s="5"/>
      <c r="M3113" s="5"/>
    </row>
    <row r="3114" spans="12:13" x14ac:dyDescent="0.2">
      <c r="L3114" s="5"/>
      <c r="M3114" s="5"/>
    </row>
    <row r="3115" spans="12:13" x14ac:dyDescent="0.2">
      <c r="L3115" s="5"/>
      <c r="M3115" s="5"/>
    </row>
    <row r="3116" spans="12:13" x14ac:dyDescent="0.2">
      <c r="L3116" s="5"/>
      <c r="M3116" s="5"/>
    </row>
    <row r="3117" spans="12:13" x14ac:dyDescent="0.2">
      <c r="L3117" s="5"/>
      <c r="M3117" s="5"/>
    </row>
    <row r="3118" spans="12:13" x14ac:dyDescent="0.2">
      <c r="L3118" s="5"/>
      <c r="M3118" s="5"/>
    </row>
    <row r="3119" spans="12:13" x14ac:dyDescent="0.2">
      <c r="L3119" s="5"/>
      <c r="M3119" s="5"/>
    </row>
    <row r="3120" spans="12:13" x14ac:dyDescent="0.2">
      <c r="L3120" s="5"/>
      <c r="M3120" s="5"/>
    </row>
    <row r="3121" spans="12:13" x14ac:dyDescent="0.2">
      <c r="L3121" s="5"/>
      <c r="M3121" s="5"/>
    </row>
    <row r="3122" spans="12:13" x14ac:dyDescent="0.2">
      <c r="L3122" s="5"/>
      <c r="M3122" s="5"/>
    </row>
    <row r="3123" spans="12:13" x14ac:dyDescent="0.2">
      <c r="L3123" s="5"/>
      <c r="M3123" s="5"/>
    </row>
    <row r="3124" spans="12:13" x14ac:dyDescent="0.2">
      <c r="L3124" s="5"/>
      <c r="M3124" s="5"/>
    </row>
    <row r="3125" spans="12:13" x14ac:dyDescent="0.2">
      <c r="L3125" s="5"/>
      <c r="M3125" s="5"/>
    </row>
    <row r="3126" spans="12:13" x14ac:dyDescent="0.2">
      <c r="L3126" s="5"/>
      <c r="M3126" s="5"/>
    </row>
    <row r="3127" spans="12:13" x14ac:dyDescent="0.2">
      <c r="L3127" s="5"/>
      <c r="M3127" s="5"/>
    </row>
    <row r="3128" spans="12:13" x14ac:dyDescent="0.2">
      <c r="L3128" s="5"/>
      <c r="M3128" s="5"/>
    </row>
    <row r="3129" spans="12:13" x14ac:dyDescent="0.2">
      <c r="L3129" s="5"/>
      <c r="M3129" s="5"/>
    </row>
    <row r="3130" spans="12:13" x14ac:dyDescent="0.2">
      <c r="L3130" s="5"/>
      <c r="M3130" s="5"/>
    </row>
    <row r="3131" spans="12:13" x14ac:dyDescent="0.2">
      <c r="L3131" s="5"/>
      <c r="M3131" s="5"/>
    </row>
    <row r="3132" spans="12:13" x14ac:dyDescent="0.2">
      <c r="L3132" s="5"/>
      <c r="M3132" s="5"/>
    </row>
    <row r="3133" spans="12:13" x14ac:dyDescent="0.2">
      <c r="L3133" s="5"/>
      <c r="M3133" s="5"/>
    </row>
    <row r="3134" spans="12:13" x14ac:dyDescent="0.2">
      <c r="L3134" s="5"/>
      <c r="M3134" s="5"/>
    </row>
    <row r="3135" spans="12:13" x14ac:dyDescent="0.2">
      <c r="L3135" s="5"/>
      <c r="M3135" s="5"/>
    </row>
    <row r="3136" spans="12:13" x14ac:dyDescent="0.2">
      <c r="L3136" s="5"/>
      <c r="M3136" s="5"/>
    </row>
    <row r="3137" spans="12:13" x14ac:dyDescent="0.2">
      <c r="L3137" s="5"/>
      <c r="M3137" s="5"/>
    </row>
    <row r="3138" spans="12:13" x14ac:dyDescent="0.2">
      <c r="L3138" s="5"/>
      <c r="M3138" s="5"/>
    </row>
    <row r="3139" spans="12:13" x14ac:dyDescent="0.2">
      <c r="L3139" s="5"/>
      <c r="M3139" s="5"/>
    </row>
    <row r="3140" spans="12:13" x14ac:dyDescent="0.2">
      <c r="L3140" s="5"/>
      <c r="M3140" s="5"/>
    </row>
    <row r="3141" spans="12:13" x14ac:dyDescent="0.2">
      <c r="L3141" s="5"/>
      <c r="M3141" s="5"/>
    </row>
    <row r="3142" spans="12:13" x14ac:dyDescent="0.2">
      <c r="L3142" s="5"/>
      <c r="M3142" s="5"/>
    </row>
    <row r="3143" spans="12:13" x14ac:dyDescent="0.2">
      <c r="L3143" s="5"/>
      <c r="M3143" s="5"/>
    </row>
    <row r="3144" spans="12:13" x14ac:dyDescent="0.2">
      <c r="L3144" s="5"/>
      <c r="M3144" s="5"/>
    </row>
    <row r="3145" spans="12:13" x14ac:dyDescent="0.2">
      <c r="L3145" s="5"/>
      <c r="M3145" s="5"/>
    </row>
    <row r="3146" spans="12:13" x14ac:dyDescent="0.2">
      <c r="L3146" s="5"/>
      <c r="M3146" s="5"/>
    </row>
    <row r="3147" spans="12:13" x14ac:dyDescent="0.2">
      <c r="L3147" s="5"/>
      <c r="M3147" s="5"/>
    </row>
    <row r="3148" spans="12:13" x14ac:dyDescent="0.2">
      <c r="L3148" s="5"/>
      <c r="M3148" s="5"/>
    </row>
    <row r="3149" spans="12:13" x14ac:dyDescent="0.2">
      <c r="L3149" s="5"/>
      <c r="M3149" s="5"/>
    </row>
    <row r="3150" spans="12:13" x14ac:dyDescent="0.2">
      <c r="L3150" s="5"/>
      <c r="M3150" s="5"/>
    </row>
    <row r="3151" spans="12:13" x14ac:dyDescent="0.2">
      <c r="L3151" s="5"/>
      <c r="M3151" s="5"/>
    </row>
    <row r="3152" spans="12:13" x14ac:dyDescent="0.2">
      <c r="L3152" s="5"/>
      <c r="M3152" s="5"/>
    </row>
    <row r="3153" spans="12:13" x14ac:dyDescent="0.2">
      <c r="L3153" s="5"/>
      <c r="M3153" s="5"/>
    </row>
    <row r="3154" spans="12:13" x14ac:dyDescent="0.2">
      <c r="L3154" s="5"/>
      <c r="M3154" s="5"/>
    </row>
    <row r="3155" spans="12:13" x14ac:dyDescent="0.2">
      <c r="L3155" s="5"/>
      <c r="M3155" s="5"/>
    </row>
    <row r="3156" spans="12:13" x14ac:dyDescent="0.2">
      <c r="L3156" s="5"/>
      <c r="M3156" s="5"/>
    </row>
    <row r="3157" spans="12:13" x14ac:dyDescent="0.2">
      <c r="L3157" s="5"/>
      <c r="M3157" s="5"/>
    </row>
    <row r="3158" spans="12:13" x14ac:dyDescent="0.2">
      <c r="L3158" s="5"/>
      <c r="M3158" s="5"/>
    </row>
    <row r="3159" spans="12:13" x14ac:dyDescent="0.2">
      <c r="L3159" s="5"/>
      <c r="M3159" s="5"/>
    </row>
    <row r="3160" spans="12:13" x14ac:dyDescent="0.2">
      <c r="L3160" s="5"/>
      <c r="M3160" s="5"/>
    </row>
    <row r="3161" spans="12:13" x14ac:dyDescent="0.2">
      <c r="L3161" s="5"/>
      <c r="M3161" s="5"/>
    </row>
    <row r="3162" spans="12:13" x14ac:dyDescent="0.2">
      <c r="L3162" s="5"/>
      <c r="M3162" s="5"/>
    </row>
    <row r="3163" spans="12:13" x14ac:dyDescent="0.2">
      <c r="L3163" s="5"/>
      <c r="M3163" s="5"/>
    </row>
    <row r="3164" spans="12:13" x14ac:dyDescent="0.2">
      <c r="L3164" s="5"/>
      <c r="M3164" s="5"/>
    </row>
    <row r="3165" spans="12:13" x14ac:dyDescent="0.2">
      <c r="L3165" s="5"/>
      <c r="M3165" s="5"/>
    </row>
    <row r="3166" spans="12:13" x14ac:dyDescent="0.2">
      <c r="L3166" s="5"/>
      <c r="M3166" s="5"/>
    </row>
    <row r="3167" spans="12:13" x14ac:dyDescent="0.2">
      <c r="L3167" s="5"/>
      <c r="M3167" s="5"/>
    </row>
    <row r="3168" spans="12:13" x14ac:dyDescent="0.2">
      <c r="L3168" s="5"/>
      <c r="M3168" s="5"/>
    </row>
    <row r="3169" spans="12:13" x14ac:dyDescent="0.2">
      <c r="L3169" s="5"/>
      <c r="M3169" s="5"/>
    </row>
    <row r="3170" spans="12:13" x14ac:dyDescent="0.2">
      <c r="L3170" s="5"/>
      <c r="M3170" s="5"/>
    </row>
    <row r="3171" spans="12:13" x14ac:dyDescent="0.2">
      <c r="L3171" s="5"/>
      <c r="M3171" s="5"/>
    </row>
    <row r="3172" spans="12:13" x14ac:dyDescent="0.2">
      <c r="L3172" s="5"/>
      <c r="M3172" s="5"/>
    </row>
    <row r="3173" spans="12:13" x14ac:dyDescent="0.2">
      <c r="L3173" s="5"/>
      <c r="M3173" s="5"/>
    </row>
    <row r="3174" spans="12:13" x14ac:dyDescent="0.2">
      <c r="L3174" s="5"/>
      <c r="M3174" s="5"/>
    </row>
    <row r="3175" spans="12:13" x14ac:dyDescent="0.2">
      <c r="L3175" s="5"/>
      <c r="M3175" s="5"/>
    </row>
    <row r="3176" spans="12:13" x14ac:dyDescent="0.2">
      <c r="L3176" s="5"/>
      <c r="M3176" s="5"/>
    </row>
    <row r="3177" spans="12:13" x14ac:dyDescent="0.2">
      <c r="L3177" s="5"/>
      <c r="M3177" s="5"/>
    </row>
    <row r="3178" spans="12:13" x14ac:dyDescent="0.2">
      <c r="L3178" s="5"/>
      <c r="M3178" s="5"/>
    </row>
    <row r="3179" spans="12:13" x14ac:dyDescent="0.2">
      <c r="L3179" s="5"/>
      <c r="M3179" s="5"/>
    </row>
    <row r="3180" spans="12:13" x14ac:dyDescent="0.2">
      <c r="L3180" s="5"/>
      <c r="M3180" s="5"/>
    </row>
    <row r="3181" spans="12:13" x14ac:dyDescent="0.2">
      <c r="L3181" s="5"/>
      <c r="M3181" s="5"/>
    </row>
    <row r="3182" spans="12:13" x14ac:dyDescent="0.2">
      <c r="L3182" s="5"/>
      <c r="M3182" s="5"/>
    </row>
    <row r="3183" spans="12:13" x14ac:dyDescent="0.2">
      <c r="L3183" s="5"/>
      <c r="M3183" s="5"/>
    </row>
    <row r="3184" spans="12:13" x14ac:dyDescent="0.2">
      <c r="L3184" s="5"/>
      <c r="M3184" s="5"/>
    </row>
    <row r="3185" spans="12:13" x14ac:dyDescent="0.2">
      <c r="L3185" s="5"/>
      <c r="M3185" s="5"/>
    </row>
    <row r="3186" spans="12:13" x14ac:dyDescent="0.2">
      <c r="L3186" s="5"/>
      <c r="M3186" s="5"/>
    </row>
    <row r="3187" spans="12:13" x14ac:dyDescent="0.2">
      <c r="L3187" s="5"/>
      <c r="M3187" s="5"/>
    </row>
    <row r="3188" spans="12:13" x14ac:dyDescent="0.2">
      <c r="L3188" s="5"/>
      <c r="M3188" s="5"/>
    </row>
    <row r="3189" spans="12:13" x14ac:dyDescent="0.2">
      <c r="L3189" s="5"/>
      <c r="M3189" s="5"/>
    </row>
    <row r="3190" spans="12:13" x14ac:dyDescent="0.2">
      <c r="L3190" s="5"/>
      <c r="M3190" s="5"/>
    </row>
    <row r="3191" spans="12:13" x14ac:dyDescent="0.2">
      <c r="L3191" s="5"/>
      <c r="M3191" s="5"/>
    </row>
    <row r="3192" spans="12:13" x14ac:dyDescent="0.2">
      <c r="L3192" s="5"/>
      <c r="M3192" s="5"/>
    </row>
    <row r="3193" spans="12:13" x14ac:dyDescent="0.2">
      <c r="L3193" s="5"/>
      <c r="M3193" s="5"/>
    </row>
    <row r="3194" spans="12:13" x14ac:dyDescent="0.2">
      <c r="L3194" s="5"/>
      <c r="M3194" s="5"/>
    </row>
    <row r="3195" spans="12:13" x14ac:dyDescent="0.2">
      <c r="L3195" s="5"/>
      <c r="M3195" s="5"/>
    </row>
    <row r="3196" spans="12:13" x14ac:dyDescent="0.2">
      <c r="L3196" s="5"/>
      <c r="M3196" s="5"/>
    </row>
    <row r="3197" spans="12:13" x14ac:dyDescent="0.2">
      <c r="L3197" s="5"/>
      <c r="M3197" s="5"/>
    </row>
    <row r="3198" spans="12:13" x14ac:dyDescent="0.2">
      <c r="L3198" s="5"/>
      <c r="M3198" s="5"/>
    </row>
    <row r="3199" spans="12:13" x14ac:dyDescent="0.2">
      <c r="L3199" s="5"/>
      <c r="M3199" s="5"/>
    </row>
    <row r="3200" spans="12:13" x14ac:dyDescent="0.2">
      <c r="L3200" s="5"/>
      <c r="M3200" s="5"/>
    </row>
    <row r="3201" spans="12:13" x14ac:dyDescent="0.2">
      <c r="L3201" s="5"/>
      <c r="M3201" s="5"/>
    </row>
    <row r="3202" spans="12:13" x14ac:dyDescent="0.2">
      <c r="L3202" s="5"/>
      <c r="M3202" s="5"/>
    </row>
    <row r="3203" spans="12:13" x14ac:dyDescent="0.2">
      <c r="L3203" s="5"/>
      <c r="M3203" s="5"/>
    </row>
    <row r="3204" spans="12:13" x14ac:dyDescent="0.2">
      <c r="L3204" s="5"/>
      <c r="M3204" s="5"/>
    </row>
    <row r="3205" spans="12:13" x14ac:dyDescent="0.2">
      <c r="L3205" s="5"/>
      <c r="M3205" s="5"/>
    </row>
    <row r="3206" spans="12:13" x14ac:dyDescent="0.2">
      <c r="L3206" s="5"/>
      <c r="M3206" s="5"/>
    </row>
    <row r="3207" spans="12:13" x14ac:dyDescent="0.2">
      <c r="L3207" s="5"/>
      <c r="M3207" s="5"/>
    </row>
    <row r="3208" spans="12:13" x14ac:dyDescent="0.2">
      <c r="L3208" s="5"/>
      <c r="M3208" s="5"/>
    </row>
    <row r="3209" spans="12:13" x14ac:dyDescent="0.2">
      <c r="L3209" s="5"/>
      <c r="M3209" s="5"/>
    </row>
    <row r="3210" spans="12:13" x14ac:dyDescent="0.2">
      <c r="L3210" s="5"/>
      <c r="M3210" s="5"/>
    </row>
    <row r="3211" spans="12:13" x14ac:dyDescent="0.2">
      <c r="L3211" s="5"/>
      <c r="M3211" s="5"/>
    </row>
    <row r="3212" spans="12:13" x14ac:dyDescent="0.2">
      <c r="L3212" s="5"/>
      <c r="M3212" s="5"/>
    </row>
    <row r="3213" spans="12:13" x14ac:dyDescent="0.2">
      <c r="L3213" s="5"/>
      <c r="M3213" s="5"/>
    </row>
    <row r="3214" spans="12:13" x14ac:dyDescent="0.2">
      <c r="L3214" s="5"/>
      <c r="M3214" s="5"/>
    </row>
    <row r="3215" spans="12:13" x14ac:dyDescent="0.2">
      <c r="L3215" s="5"/>
      <c r="M3215" s="5"/>
    </row>
    <row r="3216" spans="12:13" x14ac:dyDescent="0.2">
      <c r="L3216" s="5"/>
      <c r="M3216" s="5"/>
    </row>
    <row r="3217" spans="12:13" x14ac:dyDescent="0.2">
      <c r="L3217" s="5"/>
      <c r="M3217" s="5"/>
    </row>
    <row r="3218" spans="12:13" x14ac:dyDescent="0.2">
      <c r="L3218" s="5"/>
      <c r="M3218" s="5"/>
    </row>
    <row r="3219" spans="12:13" x14ac:dyDescent="0.2">
      <c r="L3219" s="5"/>
      <c r="M3219" s="5"/>
    </row>
    <row r="3220" spans="12:13" x14ac:dyDescent="0.2">
      <c r="L3220" s="5"/>
      <c r="M3220" s="5"/>
    </row>
    <row r="3221" spans="12:13" x14ac:dyDescent="0.2">
      <c r="L3221" s="5"/>
      <c r="M3221" s="5"/>
    </row>
    <row r="3222" spans="12:13" x14ac:dyDescent="0.2">
      <c r="L3222" s="5"/>
      <c r="M3222" s="5"/>
    </row>
    <row r="3223" spans="12:13" x14ac:dyDescent="0.2">
      <c r="L3223" s="5"/>
      <c r="M3223" s="5"/>
    </row>
    <row r="3224" spans="12:13" x14ac:dyDescent="0.2">
      <c r="L3224" s="5"/>
      <c r="M3224" s="5"/>
    </row>
    <row r="3225" spans="12:13" x14ac:dyDescent="0.2">
      <c r="L3225" s="5"/>
      <c r="M3225" s="5"/>
    </row>
    <row r="3226" spans="12:13" x14ac:dyDescent="0.2">
      <c r="L3226" s="5"/>
      <c r="M3226" s="5"/>
    </row>
    <row r="3227" spans="12:13" x14ac:dyDescent="0.2">
      <c r="L3227" s="5"/>
      <c r="M3227" s="5"/>
    </row>
    <row r="3228" spans="12:13" x14ac:dyDescent="0.2">
      <c r="L3228" s="5"/>
      <c r="M3228" s="5"/>
    </row>
    <row r="3229" spans="12:13" x14ac:dyDescent="0.2">
      <c r="L3229" s="5"/>
      <c r="M3229" s="5"/>
    </row>
    <row r="3230" spans="12:13" x14ac:dyDescent="0.2">
      <c r="L3230" s="5"/>
      <c r="M3230" s="5"/>
    </row>
    <row r="3231" spans="12:13" x14ac:dyDescent="0.2">
      <c r="L3231" s="5"/>
      <c r="M3231" s="5"/>
    </row>
    <row r="3232" spans="12:13" x14ac:dyDescent="0.2">
      <c r="L3232" s="5"/>
      <c r="M3232" s="5"/>
    </row>
    <row r="3233" spans="12:13" x14ac:dyDescent="0.2">
      <c r="L3233" s="5"/>
      <c r="M3233" s="5"/>
    </row>
    <row r="3234" spans="12:13" x14ac:dyDescent="0.2">
      <c r="L3234" s="5"/>
      <c r="M3234" s="5"/>
    </row>
    <row r="3235" spans="12:13" x14ac:dyDescent="0.2">
      <c r="L3235" s="5"/>
      <c r="M3235" s="5"/>
    </row>
    <row r="3236" spans="12:13" x14ac:dyDescent="0.2">
      <c r="L3236" s="5"/>
      <c r="M3236" s="5"/>
    </row>
    <row r="3237" spans="12:13" x14ac:dyDescent="0.2">
      <c r="L3237" s="5"/>
      <c r="M3237" s="5"/>
    </row>
    <row r="3238" spans="12:13" x14ac:dyDescent="0.2">
      <c r="L3238" s="5"/>
      <c r="M3238" s="5"/>
    </row>
    <row r="3239" spans="12:13" x14ac:dyDescent="0.2">
      <c r="L3239" s="5"/>
      <c r="M3239" s="5"/>
    </row>
    <row r="3240" spans="12:13" x14ac:dyDescent="0.2">
      <c r="L3240" s="5"/>
      <c r="M3240" s="5"/>
    </row>
    <row r="3241" spans="12:13" x14ac:dyDescent="0.2">
      <c r="L3241" s="5"/>
      <c r="M3241" s="5"/>
    </row>
    <row r="3242" spans="12:13" x14ac:dyDescent="0.2">
      <c r="L3242" s="5"/>
      <c r="M3242" s="5"/>
    </row>
    <row r="3243" spans="12:13" x14ac:dyDescent="0.2">
      <c r="L3243" s="5"/>
      <c r="M3243" s="5"/>
    </row>
    <row r="3244" spans="12:13" x14ac:dyDescent="0.2">
      <c r="L3244" s="5"/>
      <c r="M3244" s="5"/>
    </row>
    <row r="3245" spans="12:13" x14ac:dyDescent="0.2">
      <c r="L3245" s="5"/>
      <c r="M3245" s="5"/>
    </row>
    <row r="3246" spans="12:13" x14ac:dyDescent="0.2">
      <c r="L3246" s="5"/>
      <c r="M3246" s="5"/>
    </row>
    <row r="3247" spans="12:13" x14ac:dyDescent="0.2">
      <c r="L3247" s="5"/>
      <c r="M3247" s="5"/>
    </row>
    <row r="3248" spans="12:13" x14ac:dyDescent="0.2">
      <c r="L3248" s="5"/>
      <c r="M3248" s="5"/>
    </row>
    <row r="3249" spans="12:13" x14ac:dyDescent="0.2">
      <c r="L3249" s="5"/>
      <c r="M3249" s="5"/>
    </row>
    <row r="3250" spans="12:13" x14ac:dyDescent="0.2">
      <c r="L3250" s="5"/>
      <c r="M3250" s="5"/>
    </row>
    <row r="3251" spans="12:13" x14ac:dyDescent="0.2">
      <c r="L3251" s="5"/>
      <c r="M3251" s="5"/>
    </row>
    <row r="3252" spans="12:13" x14ac:dyDescent="0.2">
      <c r="L3252" s="5"/>
      <c r="M3252" s="5"/>
    </row>
    <row r="3253" spans="12:13" x14ac:dyDescent="0.2">
      <c r="L3253" s="5"/>
      <c r="M3253" s="5"/>
    </row>
    <row r="3254" spans="12:13" x14ac:dyDescent="0.2">
      <c r="L3254" s="5"/>
      <c r="M3254" s="5"/>
    </row>
    <row r="3255" spans="12:13" x14ac:dyDescent="0.2">
      <c r="L3255" s="5"/>
      <c r="M3255" s="5"/>
    </row>
    <row r="3256" spans="12:13" x14ac:dyDescent="0.2">
      <c r="L3256" s="5"/>
      <c r="M3256" s="5"/>
    </row>
    <row r="3257" spans="12:13" x14ac:dyDescent="0.2">
      <c r="L3257" s="5"/>
      <c r="M3257" s="5"/>
    </row>
    <row r="3258" spans="12:13" x14ac:dyDescent="0.2">
      <c r="L3258" s="5"/>
      <c r="M3258" s="5"/>
    </row>
    <row r="3259" spans="12:13" x14ac:dyDescent="0.2">
      <c r="L3259" s="5"/>
      <c r="M3259" s="5"/>
    </row>
    <row r="3260" spans="12:13" x14ac:dyDescent="0.2">
      <c r="L3260" s="5"/>
      <c r="M3260" s="5"/>
    </row>
    <row r="3261" spans="12:13" x14ac:dyDescent="0.2">
      <c r="L3261" s="5"/>
      <c r="M3261" s="5"/>
    </row>
    <row r="3262" spans="12:13" x14ac:dyDescent="0.2">
      <c r="L3262" s="5"/>
      <c r="M3262" s="5"/>
    </row>
    <row r="3263" spans="12:13" x14ac:dyDescent="0.2">
      <c r="L3263" s="5"/>
      <c r="M3263" s="5"/>
    </row>
    <row r="3264" spans="12:13" x14ac:dyDescent="0.2">
      <c r="L3264" s="5"/>
      <c r="M3264" s="5"/>
    </row>
    <row r="3265" spans="12:13" x14ac:dyDescent="0.2">
      <c r="L3265" s="5"/>
      <c r="M3265" s="5"/>
    </row>
    <row r="3266" spans="12:13" x14ac:dyDescent="0.2">
      <c r="L3266" s="5"/>
      <c r="M3266" s="5"/>
    </row>
    <row r="3267" spans="12:13" x14ac:dyDescent="0.2">
      <c r="L3267" s="5"/>
      <c r="M3267" s="5"/>
    </row>
    <row r="3268" spans="12:13" x14ac:dyDescent="0.2">
      <c r="L3268" s="5"/>
      <c r="M3268" s="5"/>
    </row>
    <row r="3269" spans="12:13" x14ac:dyDescent="0.2">
      <c r="L3269" s="5"/>
      <c r="M3269" s="5"/>
    </row>
    <row r="3270" spans="12:13" x14ac:dyDescent="0.2">
      <c r="L3270" s="5"/>
      <c r="M3270" s="5"/>
    </row>
    <row r="3271" spans="12:13" x14ac:dyDescent="0.2">
      <c r="L3271" s="5"/>
      <c r="M3271" s="5"/>
    </row>
    <row r="3272" spans="12:13" x14ac:dyDescent="0.2">
      <c r="L3272" s="5"/>
      <c r="M3272" s="5"/>
    </row>
    <row r="3273" spans="12:13" x14ac:dyDescent="0.2">
      <c r="L3273" s="5"/>
      <c r="M3273" s="5"/>
    </row>
    <row r="3274" spans="12:13" x14ac:dyDescent="0.2">
      <c r="L3274" s="5"/>
      <c r="M3274" s="5"/>
    </row>
    <row r="3275" spans="12:13" x14ac:dyDescent="0.2">
      <c r="L3275" s="5"/>
      <c r="M3275" s="5"/>
    </row>
    <row r="3276" spans="12:13" x14ac:dyDescent="0.2">
      <c r="L3276" s="5"/>
      <c r="M3276" s="5"/>
    </row>
    <row r="3277" spans="12:13" x14ac:dyDescent="0.2">
      <c r="L3277" s="5"/>
      <c r="M3277" s="5"/>
    </row>
    <row r="3278" spans="12:13" x14ac:dyDescent="0.2">
      <c r="L3278" s="5"/>
      <c r="M3278" s="5"/>
    </row>
    <row r="3279" spans="12:13" x14ac:dyDescent="0.2">
      <c r="L3279" s="5"/>
      <c r="M3279" s="5"/>
    </row>
    <row r="3280" spans="12:13" x14ac:dyDescent="0.2">
      <c r="L3280" s="5"/>
      <c r="M3280" s="5"/>
    </row>
    <row r="3281" spans="12:13" x14ac:dyDescent="0.2">
      <c r="L3281" s="5"/>
      <c r="M3281" s="5"/>
    </row>
    <row r="3282" spans="12:13" x14ac:dyDescent="0.2">
      <c r="L3282" s="5"/>
      <c r="M3282" s="5"/>
    </row>
    <row r="3283" spans="12:13" x14ac:dyDescent="0.2">
      <c r="L3283" s="5"/>
      <c r="M3283" s="5"/>
    </row>
    <row r="3284" spans="12:13" x14ac:dyDescent="0.2">
      <c r="L3284" s="5"/>
      <c r="M3284" s="5"/>
    </row>
    <row r="3285" spans="12:13" x14ac:dyDescent="0.2">
      <c r="L3285" s="5"/>
      <c r="M3285" s="5"/>
    </row>
    <row r="3286" spans="12:13" x14ac:dyDescent="0.2">
      <c r="L3286" s="5"/>
      <c r="M3286" s="5"/>
    </row>
    <row r="3287" spans="12:13" x14ac:dyDescent="0.2">
      <c r="L3287" s="5"/>
      <c r="M3287" s="5"/>
    </row>
    <row r="3288" spans="12:13" x14ac:dyDescent="0.2">
      <c r="L3288" s="5"/>
      <c r="M3288" s="5"/>
    </row>
    <row r="3289" spans="12:13" x14ac:dyDescent="0.2">
      <c r="L3289" s="5"/>
      <c r="M3289" s="5"/>
    </row>
    <row r="3290" spans="12:13" x14ac:dyDescent="0.2">
      <c r="L3290" s="5"/>
      <c r="M3290" s="5"/>
    </row>
    <row r="3291" spans="12:13" x14ac:dyDescent="0.2">
      <c r="L3291" s="5"/>
      <c r="M3291" s="5"/>
    </row>
    <row r="3292" spans="12:13" x14ac:dyDescent="0.2">
      <c r="L3292" s="5"/>
      <c r="M3292" s="5"/>
    </row>
    <row r="3293" spans="12:13" x14ac:dyDescent="0.2">
      <c r="L3293" s="5"/>
      <c r="M3293" s="5"/>
    </row>
    <row r="3294" spans="12:13" x14ac:dyDescent="0.2">
      <c r="L3294" s="5"/>
      <c r="M3294" s="5"/>
    </row>
    <row r="3295" spans="12:13" x14ac:dyDescent="0.2">
      <c r="L3295" s="5"/>
      <c r="M3295" s="5"/>
    </row>
    <row r="3296" spans="12:13" x14ac:dyDescent="0.2">
      <c r="L3296" s="5"/>
      <c r="M3296" s="5"/>
    </row>
    <row r="3297" spans="12:13" x14ac:dyDescent="0.2">
      <c r="L3297" s="5"/>
      <c r="M3297" s="5"/>
    </row>
    <row r="3298" spans="12:13" x14ac:dyDescent="0.2">
      <c r="L3298" s="5"/>
      <c r="M3298" s="5"/>
    </row>
    <row r="3299" spans="12:13" x14ac:dyDescent="0.2">
      <c r="L3299" s="5"/>
      <c r="M3299" s="5"/>
    </row>
    <row r="3300" spans="12:13" x14ac:dyDescent="0.2">
      <c r="L3300" s="5"/>
      <c r="M3300" s="5"/>
    </row>
    <row r="3301" spans="12:13" x14ac:dyDescent="0.2">
      <c r="L3301" s="5"/>
      <c r="M3301" s="5"/>
    </row>
    <row r="3302" spans="12:13" x14ac:dyDescent="0.2">
      <c r="L3302" s="5"/>
      <c r="M3302" s="5"/>
    </row>
    <row r="3303" spans="12:13" x14ac:dyDescent="0.2">
      <c r="L3303" s="5"/>
      <c r="M3303" s="5"/>
    </row>
    <row r="3304" spans="12:13" x14ac:dyDescent="0.2">
      <c r="L3304" s="5"/>
      <c r="M3304" s="5"/>
    </row>
    <row r="3305" spans="12:13" x14ac:dyDescent="0.2">
      <c r="L3305" s="5"/>
      <c r="M3305" s="5"/>
    </row>
    <row r="3306" spans="12:13" x14ac:dyDescent="0.2">
      <c r="L3306" s="5"/>
      <c r="M3306" s="5"/>
    </row>
    <row r="3307" spans="12:13" x14ac:dyDescent="0.2">
      <c r="L3307" s="5"/>
      <c r="M3307" s="5"/>
    </row>
    <row r="3308" spans="12:13" x14ac:dyDescent="0.2">
      <c r="L3308" s="5"/>
      <c r="M3308" s="5"/>
    </row>
    <row r="3309" spans="12:13" x14ac:dyDescent="0.2">
      <c r="L3309" s="5"/>
      <c r="M3309" s="5"/>
    </row>
    <row r="3310" spans="12:13" x14ac:dyDescent="0.2">
      <c r="L3310" s="5"/>
      <c r="M3310" s="5"/>
    </row>
    <row r="3311" spans="12:13" x14ac:dyDescent="0.2">
      <c r="L3311" s="5"/>
      <c r="M3311" s="5"/>
    </row>
    <row r="3312" spans="12:13" x14ac:dyDescent="0.2">
      <c r="L3312" s="5"/>
      <c r="M3312" s="5"/>
    </row>
    <row r="3313" spans="12:13" x14ac:dyDescent="0.2">
      <c r="L3313" s="5"/>
      <c r="M3313" s="5"/>
    </row>
    <row r="3314" spans="12:13" x14ac:dyDescent="0.2">
      <c r="L3314" s="5"/>
      <c r="M3314" s="5"/>
    </row>
    <row r="3315" spans="12:13" x14ac:dyDescent="0.2">
      <c r="L3315" s="5"/>
      <c r="M3315" s="5"/>
    </row>
    <row r="3316" spans="12:13" x14ac:dyDescent="0.2">
      <c r="L3316" s="5"/>
      <c r="M3316" s="5"/>
    </row>
    <row r="3317" spans="12:13" x14ac:dyDescent="0.2">
      <c r="L3317" s="5"/>
      <c r="M3317" s="5"/>
    </row>
    <row r="3318" spans="12:13" x14ac:dyDescent="0.2">
      <c r="L3318" s="5"/>
      <c r="M3318" s="5"/>
    </row>
    <row r="3319" spans="12:13" x14ac:dyDescent="0.2">
      <c r="L3319" s="5"/>
      <c r="M3319" s="5"/>
    </row>
    <row r="3320" spans="12:13" x14ac:dyDescent="0.2">
      <c r="L3320" s="5"/>
      <c r="M3320" s="5"/>
    </row>
    <row r="3321" spans="12:13" x14ac:dyDescent="0.2">
      <c r="L3321" s="5"/>
      <c r="M3321" s="5"/>
    </row>
    <row r="3322" spans="12:13" x14ac:dyDescent="0.2">
      <c r="L3322" s="5"/>
      <c r="M3322" s="5"/>
    </row>
    <row r="3323" spans="12:13" x14ac:dyDescent="0.2">
      <c r="L3323" s="5"/>
      <c r="M3323" s="5"/>
    </row>
    <row r="3324" spans="12:13" x14ac:dyDescent="0.2">
      <c r="L3324" s="5"/>
      <c r="M3324" s="5"/>
    </row>
    <row r="3325" spans="12:13" x14ac:dyDescent="0.2">
      <c r="L3325" s="5"/>
      <c r="M3325" s="5"/>
    </row>
    <row r="3326" spans="12:13" x14ac:dyDescent="0.2">
      <c r="L3326" s="5"/>
      <c r="M3326" s="5"/>
    </row>
    <row r="3327" spans="12:13" x14ac:dyDescent="0.2">
      <c r="L3327" s="5"/>
      <c r="M3327" s="5"/>
    </row>
    <row r="3328" spans="12:13" x14ac:dyDescent="0.2">
      <c r="L3328" s="5"/>
      <c r="M3328" s="5"/>
    </row>
    <row r="3329" spans="12:13" x14ac:dyDescent="0.2">
      <c r="L3329" s="5"/>
      <c r="M3329" s="5"/>
    </row>
    <row r="3330" spans="12:13" x14ac:dyDescent="0.2">
      <c r="L3330" s="5"/>
      <c r="M3330" s="5"/>
    </row>
    <row r="3331" spans="12:13" x14ac:dyDescent="0.2">
      <c r="L3331" s="5"/>
      <c r="M3331" s="5"/>
    </row>
    <row r="3332" spans="12:13" x14ac:dyDescent="0.2">
      <c r="L3332" s="5"/>
      <c r="M3332" s="5"/>
    </row>
    <row r="3333" spans="12:13" x14ac:dyDescent="0.2">
      <c r="L3333" s="5"/>
      <c r="M3333" s="5"/>
    </row>
    <row r="3334" spans="12:13" x14ac:dyDescent="0.2">
      <c r="L3334" s="5"/>
      <c r="M3334" s="5"/>
    </row>
    <row r="3335" spans="12:13" x14ac:dyDescent="0.2">
      <c r="L3335" s="5"/>
      <c r="M3335" s="5"/>
    </row>
    <row r="3336" spans="12:13" x14ac:dyDescent="0.2">
      <c r="L3336" s="5"/>
      <c r="M3336" s="5"/>
    </row>
    <row r="3337" spans="12:13" x14ac:dyDescent="0.2">
      <c r="L3337" s="5"/>
      <c r="M3337" s="5"/>
    </row>
    <row r="3338" spans="12:13" x14ac:dyDescent="0.2">
      <c r="L3338" s="5"/>
      <c r="M3338" s="5"/>
    </row>
    <row r="3339" spans="12:13" x14ac:dyDescent="0.2">
      <c r="L3339" s="5"/>
      <c r="M3339" s="5"/>
    </row>
    <row r="3340" spans="12:13" x14ac:dyDescent="0.2">
      <c r="L3340" s="5"/>
      <c r="M3340" s="5"/>
    </row>
    <row r="3341" spans="12:13" x14ac:dyDescent="0.2">
      <c r="L3341" s="5"/>
      <c r="M3341" s="5"/>
    </row>
    <row r="3342" spans="12:13" x14ac:dyDescent="0.2">
      <c r="L3342" s="5"/>
      <c r="M3342" s="5"/>
    </row>
    <row r="3343" spans="12:13" x14ac:dyDescent="0.2">
      <c r="L3343" s="5"/>
      <c r="M3343" s="5"/>
    </row>
    <row r="3344" spans="12:13" x14ac:dyDescent="0.2">
      <c r="L3344" s="5"/>
      <c r="M3344" s="5"/>
    </row>
    <row r="3345" spans="12:13" x14ac:dyDescent="0.2">
      <c r="L3345" s="5"/>
      <c r="M3345" s="5"/>
    </row>
    <row r="3346" spans="12:13" x14ac:dyDescent="0.2">
      <c r="L3346" s="5"/>
      <c r="M3346" s="5"/>
    </row>
    <row r="3347" spans="12:13" x14ac:dyDescent="0.2">
      <c r="L3347" s="5"/>
      <c r="M3347" s="5"/>
    </row>
    <row r="3348" spans="12:13" x14ac:dyDescent="0.2">
      <c r="L3348" s="5"/>
      <c r="M3348" s="5"/>
    </row>
    <row r="3349" spans="12:13" x14ac:dyDescent="0.2">
      <c r="L3349" s="5"/>
      <c r="M3349" s="5"/>
    </row>
    <row r="3350" spans="12:13" x14ac:dyDescent="0.2">
      <c r="L3350" s="5"/>
      <c r="M3350" s="5"/>
    </row>
    <row r="3351" spans="12:13" x14ac:dyDescent="0.2">
      <c r="L3351" s="5"/>
      <c r="M3351" s="5"/>
    </row>
    <row r="3352" spans="12:13" x14ac:dyDescent="0.2">
      <c r="L3352" s="5"/>
      <c r="M3352" s="5"/>
    </row>
    <row r="3353" spans="12:13" x14ac:dyDescent="0.2">
      <c r="L3353" s="5"/>
      <c r="M3353" s="5"/>
    </row>
    <row r="3354" spans="12:13" x14ac:dyDescent="0.2">
      <c r="L3354" s="5"/>
      <c r="M3354" s="5"/>
    </row>
    <row r="3355" spans="12:13" x14ac:dyDescent="0.2">
      <c r="L3355" s="5"/>
      <c r="M3355" s="5"/>
    </row>
    <row r="3356" spans="12:13" x14ac:dyDescent="0.2">
      <c r="L3356" s="5"/>
      <c r="M3356" s="5"/>
    </row>
    <row r="3357" spans="12:13" x14ac:dyDescent="0.2">
      <c r="L3357" s="5"/>
      <c r="M3357" s="5"/>
    </row>
    <row r="3358" spans="12:13" x14ac:dyDescent="0.2">
      <c r="L3358" s="5"/>
      <c r="M3358" s="5"/>
    </row>
    <row r="3359" spans="12:13" x14ac:dyDescent="0.2">
      <c r="L3359" s="5"/>
      <c r="M3359" s="5"/>
    </row>
    <row r="3360" spans="12:13" x14ac:dyDescent="0.2">
      <c r="L3360" s="5"/>
      <c r="M3360" s="5"/>
    </row>
    <row r="3361" spans="12:13" x14ac:dyDescent="0.2">
      <c r="L3361" s="5"/>
      <c r="M3361" s="5"/>
    </row>
    <row r="3362" spans="12:13" x14ac:dyDescent="0.2">
      <c r="L3362" s="5"/>
      <c r="M3362" s="5"/>
    </row>
    <row r="3363" spans="12:13" x14ac:dyDescent="0.2">
      <c r="L3363" s="5"/>
      <c r="M3363" s="5"/>
    </row>
    <row r="3364" spans="12:13" x14ac:dyDescent="0.2">
      <c r="L3364" s="5"/>
      <c r="M3364" s="5"/>
    </row>
    <row r="3365" spans="12:13" x14ac:dyDescent="0.2">
      <c r="L3365" s="5"/>
      <c r="M3365" s="5"/>
    </row>
    <row r="3366" spans="12:13" x14ac:dyDescent="0.2">
      <c r="L3366" s="5"/>
      <c r="M3366" s="5"/>
    </row>
    <row r="3367" spans="12:13" x14ac:dyDescent="0.2">
      <c r="L3367" s="5"/>
      <c r="M3367" s="5"/>
    </row>
    <row r="3368" spans="12:13" x14ac:dyDescent="0.2">
      <c r="L3368" s="5"/>
      <c r="M3368" s="5"/>
    </row>
    <row r="3369" spans="12:13" x14ac:dyDescent="0.2">
      <c r="L3369" s="5"/>
      <c r="M3369" s="5"/>
    </row>
    <row r="3370" spans="12:13" x14ac:dyDescent="0.2">
      <c r="L3370" s="5"/>
      <c r="M3370" s="5"/>
    </row>
    <row r="3371" spans="12:13" x14ac:dyDescent="0.2">
      <c r="L3371" s="5"/>
      <c r="M3371" s="5"/>
    </row>
    <row r="3372" spans="12:13" x14ac:dyDescent="0.2">
      <c r="L3372" s="5"/>
      <c r="M3372" s="5"/>
    </row>
    <row r="3373" spans="12:13" x14ac:dyDescent="0.2">
      <c r="L3373" s="5"/>
      <c r="M3373" s="5"/>
    </row>
    <row r="3374" spans="12:13" x14ac:dyDescent="0.2">
      <c r="L3374" s="5"/>
      <c r="M3374" s="5"/>
    </row>
    <row r="3375" spans="12:13" x14ac:dyDescent="0.2">
      <c r="L3375" s="5"/>
      <c r="M3375" s="5"/>
    </row>
    <row r="3376" spans="12:13" x14ac:dyDescent="0.2">
      <c r="L3376" s="5"/>
      <c r="M3376" s="5"/>
    </row>
    <row r="3377" spans="12:13" x14ac:dyDescent="0.2">
      <c r="L3377" s="5"/>
      <c r="M3377" s="5"/>
    </row>
    <row r="3378" spans="12:13" x14ac:dyDescent="0.2">
      <c r="L3378" s="5"/>
      <c r="M3378" s="5"/>
    </row>
    <row r="3379" spans="12:13" x14ac:dyDescent="0.2">
      <c r="L3379" s="5"/>
      <c r="M3379" s="5"/>
    </row>
    <row r="3380" spans="12:13" x14ac:dyDescent="0.2">
      <c r="L3380" s="5"/>
      <c r="M3380" s="5"/>
    </row>
    <row r="3381" spans="12:13" x14ac:dyDescent="0.2">
      <c r="L3381" s="5"/>
      <c r="M3381" s="5"/>
    </row>
    <row r="3382" spans="12:13" x14ac:dyDescent="0.2">
      <c r="L3382" s="5"/>
      <c r="M3382" s="5"/>
    </row>
    <row r="3383" spans="12:13" x14ac:dyDescent="0.2">
      <c r="L3383" s="5"/>
      <c r="M3383" s="5"/>
    </row>
    <row r="3384" spans="12:13" x14ac:dyDescent="0.2">
      <c r="L3384" s="5"/>
      <c r="M3384" s="5"/>
    </row>
    <row r="3385" spans="12:13" x14ac:dyDescent="0.2">
      <c r="L3385" s="5"/>
      <c r="M3385" s="5"/>
    </row>
    <row r="3386" spans="12:13" x14ac:dyDescent="0.2">
      <c r="L3386" s="5"/>
      <c r="M3386" s="5"/>
    </row>
    <row r="3387" spans="12:13" x14ac:dyDescent="0.2">
      <c r="L3387" s="5"/>
      <c r="M3387" s="5"/>
    </row>
    <row r="3388" spans="12:13" x14ac:dyDescent="0.2">
      <c r="L3388" s="5"/>
      <c r="M3388" s="5"/>
    </row>
    <row r="3389" spans="12:13" x14ac:dyDescent="0.2">
      <c r="L3389" s="5"/>
      <c r="M3389" s="5"/>
    </row>
    <row r="3390" spans="12:13" x14ac:dyDescent="0.2">
      <c r="L3390" s="5"/>
      <c r="M3390" s="5"/>
    </row>
    <row r="3391" spans="12:13" x14ac:dyDescent="0.2">
      <c r="L3391" s="5"/>
      <c r="M3391" s="5"/>
    </row>
    <row r="3392" spans="12:13" x14ac:dyDescent="0.2">
      <c r="L3392" s="5"/>
      <c r="M3392" s="5"/>
    </row>
    <row r="3393" spans="12:13" x14ac:dyDescent="0.2">
      <c r="L3393" s="5"/>
      <c r="M3393" s="5"/>
    </row>
    <row r="3394" spans="12:13" x14ac:dyDescent="0.2">
      <c r="L3394" s="5"/>
      <c r="M3394" s="5"/>
    </row>
    <row r="3395" spans="12:13" x14ac:dyDescent="0.2">
      <c r="L3395" s="5"/>
      <c r="M3395" s="5"/>
    </row>
    <row r="3396" spans="12:13" x14ac:dyDescent="0.2">
      <c r="L3396" s="5"/>
      <c r="M3396" s="5"/>
    </row>
    <row r="3397" spans="12:13" x14ac:dyDescent="0.2">
      <c r="L3397" s="5"/>
      <c r="M3397" s="5"/>
    </row>
    <row r="3398" spans="12:13" x14ac:dyDescent="0.2">
      <c r="L3398" s="5"/>
      <c r="M3398" s="5"/>
    </row>
    <row r="3399" spans="12:13" x14ac:dyDescent="0.2">
      <c r="L3399" s="5"/>
      <c r="M3399" s="5"/>
    </row>
    <row r="3400" spans="12:13" x14ac:dyDescent="0.2">
      <c r="L3400" s="5"/>
      <c r="M3400" s="5"/>
    </row>
    <row r="3401" spans="12:13" x14ac:dyDescent="0.2">
      <c r="L3401" s="5"/>
      <c r="M3401" s="5"/>
    </row>
    <row r="3402" spans="12:13" x14ac:dyDescent="0.2">
      <c r="L3402" s="5"/>
      <c r="M3402" s="5"/>
    </row>
    <row r="3403" spans="12:13" x14ac:dyDescent="0.2">
      <c r="L3403" s="5"/>
      <c r="M3403" s="5"/>
    </row>
    <row r="3404" spans="12:13" x14ac:dyDescent="0.2">
      <c r="L3404" s="5"/>
      <c r="M3404" s="5"/>
    </row>
    <row r="3405" spans="12:13" x14ac:dyDescent="0.2">
      <c r="L3405" s="5"/>
      <c r="M3405" s="5"/>
    </row>
    <row r="3406" spans="12:13" x14ac:dyDescent="0.2">
      <c r="L3406" s="5"/>
      <c r="M3406" s="5"/>
    </row>
    <row r="3407" spans="12:13" x14ac:dyDescent="0.2">
      <c r="L3407" s="5"/>
      <c r="M3407" s="5"/>
    </row>
    <row r="3408" spans="12:13" x14ac:dyDescent="0.2">
      <c r="L3408" s="5"/>
      <c r="M3408" s="5"/>
    </row>
    <row r="3409" spans="12:13" x14ac:dyDescent="0.2">
      <c r="L3409" s="5"/>
      <c r="M3409" s="5"/>
    </row>
    <row r="3410" spans="12:13" x14ac:dyDescent="0.2">
      <c r="L3410" s="5"/>
      <c r="M3410" s="5"/>
    </row>
    <row r="3411" spans="12:13" x14ac:dyDescent="0.2">
      <c r="L3411" s="5"/>
      <c r="M3411" s="5"/>
    </row>
    <row r="3412" spans="12:13" x14ac:dyDescent="0.2">
      <c r="L3412" s="5"/>
      <c r="M3412" s="5"/>
    </row>
    <row r="3413" spans="12:13" x14ac:dyDescent="0.2">
      <c r="L3413" s="5"/>
      <c r="M3413" s="5"/>
    </row>
    <row r="3414" spans="12:13" x14ac:dyDescent="0.2">
      <c r="L3414" s="5"/>
      <c r="M3414" s="5"/>
    </row>
    <row r="3415" spans="12:13" x14ac:dyDescent="0.2">
      <c r="L3415" s="5"/>
      <c r="M3415" s="5"/>
    </row>
    <row r="3416" spans="12:13" x14ac:dyDescent="0.2">
      <c r="L3416" s="5"/>
      <c r="M3416" s="5"/>
    </row>
    <row r="3417" spans="12:13" x14ac:dyDescent="0.2">
      <c r="L3417" s="5"/>
      <c r="M3417" s="5"/>
    </row>
    <row r="3418" spans="12:13" x14ac:dyDescent="0.2">
      <c r="L3418" s="5"/>
      <c r="M3418" s="5"/>
    </row>
    <row r="3419" spans="12:13" x14ac:dyDescent="0.2">
      <c r="L3419" s="5"/>
      <c r="M3419" s="5"/>
    </row>
    <row r="3420" spans="12:13" x14ac:dyDescent="0.2">
      <c r="L3420" s="5"/>
      <c r="M3420" s="5"/>
    </row>
    <row r="3421" spans="12:13" x14ac:dyDescent="0.2">
      <c r="L3421" s="5"/>
      <c r="M3421" s="5"/>
    </row>
    <row r="3422" spans="12:13" x14ac:dyDescent="0.2">
      <c r="L3422" s="5"/>
      <c r="M3422" s="5"/>
    </row>
    <row r="3423" spans="12:13" x14ac:dyDescent="0.2">
      <c r="L3423" s="5"/>
      <c r="M3423" s="5"/>
    </row>
    <row r="3424" spans="12:13" x14ac:dyDescent="0.2">
      <c r="L3424" s="5"/>
      <c r="M3424" s="5"/>
    </row>
    <row r="3425" spans="12:13" x14ac:dyDescent="0.2">
      <c r="L3425" s="5"/>
      <c r="M3425" s="5"/>
    </row>
    <row r="3426" spans="12:13" x14ac:dyDescent="0.2">
      <c r="L3426" s="5"/>
      <c r="M3426" s="5"/>
    </row>
    <row r="3427" spans="12:13" x14ac:dyDescent="0.2">
      <c r="L3427" s="5"/>
      <c r="M3427" s="5"/>
    </row>
    <row r="3428" spans="12:13" x14ac:dyDescent="0.2">
      <c r="L3428" s="5"/>
      <c r="M3428" s="5"/>
    </row>
    <row r="3429" spans="12:13" x14ac:dyDescent="0.2">
      <c r="L3429" s="5"/>
      <c r="M3429" s="5"/>
    </row>
    <row r="3430" spans="12:13" x14ac:dyDescent="0.2">
      <c r="L3430" s="5"/>
      <c r="M3430" s="5"/>
    </row>
    <row r="3431" spans="12:13" x14ac:dyDescent="0.2">
      <c r="L3431" s="5"/>
      <c r="M3431" s="5"/>
    </row>
    <row r="3432" spans="12:13" x14ac:dyDescent="0.2">
      <c r="L3432" s="5"/>
      <c r="M3432" s="5"/>
    </row>
    <row r="3433" spans="12:13" x14ac:dyDescent="0.2">
      <c r="L3433" s="5"/>
      <c r="M3433" s="5"/>
    </row>
    <row r="3434" spans="12:13" x14ac:dyDescent="0.2">
      <c r="L3434" s="5"/>
      <c r="M3434" s="5"/>
    </row>
    <row r="3435" spans="12:13" x14ac:dyDescent="0.2">
      <c r="L3435" s="5"/>
      <c r="M3435" s="5"/>
    </row>
    <row r="3436" spans="12:13" x14ac:dyDescent="0.2">
      <c r="L3436" s="5"/>
      <c r="M3436" s="5"/>
    </row>
    <row r="3437" spans="12:13" x14ac:dyDescent="0.2">
      <c r="L3437" s="5"/>
      <c r="M3437" s="5"/>
    </row>
    <row r="3438" spans="12:13" x14ac:dyDescent="0.2">
      <c r="L3438" s="5"/>
      <c r="M3438" s="5"/>
    </row>
    <row r="3439" spans="12:13" x14ac:dyDescent="0.2">
      <c r="L3439" s="5"/>
      <c r="M3439" s="5"/>
    </row>
    <row r="3440" spans="12:13" x14ac:dyDescent="0.2">
      <c r="L3440" s="5"/>
      <c r="M3440" s="5"/>
    </row>
    <row r="3441" spans="12:13" x14ac:dyDescent="0.2">
      <c r="L3441" s="5"/>
      <c r="M3441" s="5"/>
    </row>
    <row r="3442" spans="12:13" x14ac:dyDescent="0.2">
      <c r="L3442" s="5"/>
      <c r="M3442" s="5"/>
    </row>
    <row r="3443" spans="12:13" x14ac:dyDescent="0.2">
      <c r="L3443" s="5"/>
      <c r="M3443" s="5"/>
    </row>
    <row r="3444" spans="12:13" x14ac:dyDescent="0.2">
      <c r="L3444" s="5"/>
      <c r="M3444" s="5"/>
    </row>
    <row r="3445" spans="12:13" x14ac:dyDescent="0.2">
      <c r="L3445" s="5"/>
      <c r="M3445" s="5"/>
    </row>
    <row r="3446" spans="12:13" x14ac:dyDescent="0.2">
      <c r="L3446" s="5"/>
      <c r="M3446" s="5"/>
    </row>
    <row r="3447" spans="12:13" x14ac:dyDescent="0.2">
      <c r="L3447" s="5"/>
      <c r="M3447" s="5"/>
    </row>
    <row r="3448" spans="12:13" x14ac:dyDescent="0.2">
      <c r="L3448" s="5"/>
      <c r="M3448" s="5"/>
    </row>
    <row r="3449" spans="12:13" x14ac:dyDescent="0.2">
      <c r="L3449" s="5"/>
      <c r="M3449" s="5"/>
    </row>
    <row r="3450" spans="12:13" x14ac:dyDescent="0.2">
      <c r="L3450" s="5"/>
      <c r="M3450" s="5"/>
    </row>
    <row r="3451" spans="12:13" x14ac:dyDescent="0.2">
      <c r="L3451" s="5"/>
      <c r="M3451" s="5"/>
    </row>
    <row r="3452" spans="12:13" x14ac:dyDescent="0.2">
      <c r="L3452" s="5"/>
      <c r="M3452" s="5"/>
    </row>
    <row r="3453" spans="12:13" x14ac:dyDescent="0.2">
      <c r="L3453" s="5"/>
      <c r="M3453" s="5"/>
    </row>
    <row r="3454" spans="12:13" x14ac:dyDescent="0.2">
      <c r="L3454" s="5"/>
      <c r="M3454" s="5"/>
    </row>
    <row r="3455" spans="12:13" x14ac:dyDescent="0.2">
      <c r="L3455" s="5"/>
      <c r="M3455" s="5"/>
    </row>
    <row r="3456" spans="12:13" x14ac:dyDescent="0.2">
      <c r="L3456" s="5"/>
      <c r="M3456" s="5"/>
    </row>
    <row r="3457" spans="12:13" x14ac:dyDescent="0.2">
      <c r="L3457" s="5"/>
      <c r="M3457" s="5"/>
    </row>
    <row r="3458" spans="12:13" x14ac:dyDescent="0.2">
      <c r="L3458" s="5"/>
      <c r="M3458" s="5"/>
    </row>
    <row r="3459" spans="12:13" x14ac:dyDescent="0.2">
      <c r="L3459" s="5"/>
      <c r="M3459" s="5"/>
    </row>
    <row r="3460" spans="12:13" x14ac:dyDescent="0.2">
      <c r="L3460" s="5"/>
      <c r="M3460" s="5"/>
    </row>
    <row r="3461" spans="12:13" x14ac:dyDescent="0.2">
      <c r="L3461" s="5"/>
      <c r="M3461" s="5"/>
    </row>
    <row r="3462" spans="12:13" x14ac:dyDescent="0.2">
      <c r="L3462" s="5"/>
      <c r="M3462" s="5"/>
    </row>
    <row r="3463" spans="12:13" x14ac:dyDescent="0.2">
      <c r="L3463" s="5"/>
      <c r="M3463" s="5"/>
    </row>
    <row r="3464" spans="12:13" x14ac:dyDescent="0.2">
      <c r="L3464" s="5"/>
      <c r="M3464" s="5"/>
    </row>
    <row r="3465" spans="12:13" x14ac:dyDescent="0.2">
      <c r="L3465" s="5"/>
      <c r="M3465" s="5"/>
    </row>
    <row r="3466" spans="12:13" x14ac:dyDescent="0.2">
      <c r="L3466" s="5"/>
      <c r="M3466" s="5"/>
    </row>
    <row r="3467" spans="12:13" x14ac:dyDescent="0.2">
      <c r="L3467" s="5"/>
      <c r="M3467" s="5"/>
    </row>
    <row r="3468" spans="12:13" x14ac:dyDescent="0.2">
      <c r="L3468" s="5"/>
      <c r="M3468" s="5"/>
    </row>
    <row r="3469" spans="12:13" x14ac:dyDescent="0.2">
      <c r="L3469" s="5"/>
      <c r="M3469" s="5"/>
    </row>
    <row r="3470" spans="12:13" x14ac:dyDescent="0.2">
      <c r="L3470" s="5"/>
      <c r="M3470" s="5"/>
    </row>
    <row r="3471" spans="12:13" x14ac:dyDescent="0.2">
      <c r="L3471" s="5"/>
      <c r="M3471" s="5"/>
    </row>
    <row r="3472" spans="12:13" x14ac:dyDescent="0.2">
      <c r="L3472" s="5"/>
      <c r="M3472" s="5"/>
    </row>
    <row r="3473" spans="12:13" x14ac:dyDescent="0.2">
      <c r="L3473" s="5"/>
      <c r="M3473" s="5"/>
    </row>
    <row r="3474" spans="12:13" x14ac:dyDescent="0.2">
      <c r="L3474" s="5"/>
      <c r="M3474" s="5"/>
    </row>
    <row r="3475" spans="12:13" x14ac:dyDescent="0.2">
      <c r="L3475" s="5"/>
      <c r="M3475" s="5"/>
    </row>
    <row r="3476" spans="12:13" x14ac:dyDescent="0.2">
      <c r="L3476" s="5"/>
      <c r="M3476" s="5"/>
    </row>
    <row r="3477" spans="12:13" x14ac:dyDescent="0.2">
      <c r="L3477" s="5"/>
      <c r="M3477" s="5"/>
    </row>
    <row r="3478" spans="12:13" x14ac:dyDescent="0.2">
      <c r="L3478" s="5"/>
      <c r="M3478" s="5"/>
    </row>
    <row r="3479" spans="12:13" x14ac:dyDescent="0.2">
      <c r="L3479" s="5"/>
      <c r="M3479" s="5"/>
    </row>
    <row r="3480" spans="12:13" x14ac:dyDescent="0.2">
      <c r="L3480" s="5"/>
      <c r="M3480" s="5"/>
    </row>
    <row r="3481" spans="12:13" x14ac:dyDescent="0.2">
      <c r="L3481" s="5"/>
      <c r="M3481" s="5"/>
    </row>
    <row r="3482" spans="12:13" x14ac:dyDescent="0.2">
      <c r="L3482" s="5"/>
      <c r="M3482" s="5"/>
    </row>
    <row r="3483" spans="12:13" x14ac:dyDescent="0.2">
      <c r="L3483" s="5"/>
      <c r="M3483" s="5"/>
    </row>
    <row r="3484" spans="12:13" x14ac:dyDescent="0.2">
      <c r="L3484" s="5"/>
      <c r="M3484" s="5"/>
    </row>
    <row r="3485" spans="12:13" x14ac:dyDescent="0.2">
      <c r="L3485" s="5"/>
      <c r="M3485" s="5"/>
    </row>
    <row r="3486" spans="12:13" x14ac:dyDescent="0.2">
      <c r="L3486" s="5"/>
      <c r="M3486" s="5"/>
    </row>
    <row r="3487" spans="12:13" x14ac:dyDescent="0.2">
      <c r="L3487" s="5"/>
      <c r="M3487" s="5"/>
    </row>
    <row r="3488" spans="12:13" x14ac:dyDescent="0.2">
      <c r="L3488" s="5"/>
      <c r="M3488" s="5"/>
    </row>
    <row r="3489" spans="12:13" x14ac:dyDescent="0.2">
      <c r="L3489" s="5"/>
      <c r="M3489" s="5"/>
    </row>
    <row r="3490" spans="12:13" x14ac:dyDescent="0.2">
      <c r="L3490" s="5"/>
      <c r="M3490" s="5"/>
    </row>
    <row r="3491" spans="12:13" x14ac:dyDescent="0.2">
      <c r="L3491" s="5"/>
      <c r="M3491" s="5"/>
    </row>
    <row r="3492" spans="12:13" x14ac:dyDescent="0.2">
      <c r="L3492" s="5"/>
      <c r="M3492" s="5"/>
    </row>
    <row r="3493" spans="12:13" x14ac:dyDescent="0.2">
      <c r="L3493" s="5"/>
      <c r="M3493" s="5"/>
    </row>
    <row r="3494" spans="12:13" x14ac:dyDescent="0.2">
      <c r="L3494" s="5"/>
      <c r="M3494" s="5"/>
    </row>
    <row r="3495" spans="12:13" x14ac:dyDescent="0.2">
      <c r="L3495" s="5"/>
      <c r="M3495" s="5"/>
    </row>
    <row r="3496" spans="12:13" x14ac:dyDescent="0.2">
      <c r="L3496" s="5"/>
      <c r="M3496" s="5"/>
    </row>
    <row r="3497" spans="12:13" x14ac:dyDescent="0.2">
      <c r="L3497" s="5"/>
      <c r="M3497" s="5"/>
    </row>
    <row r="3498" spans="12:13" x14ac:dyDescent="0.2">
      <c r="L3498" s="5"/>
      <c r="M3498" s="5"/>
    </row>
    <row r="3499" spans="12:13" x14ac:dyDescent="0.2">
      <c r="L3499" s="5"/>
      <c r="M3499" s="5"/>
    </row>
    <row r="3500" spans="12:13" x14ac:dyDescent="0.2">
      <c r="L3500" s="5"/>
      <c r="M3500" s="5"/>
    </row>
    <row r="3501" spans="12:13" x14ac:dyDescent="0.2">
      <c r="L3501" s="5"/>
      <c r="M3501" s="5"/>
    </row>
    <row r="3502" spans="12:13" x14ac:dyDescent="0.2">
      <c r="L3502" s="5"/>
      <c r="M3502" s="5"/>
    </row>
    <row r="3503" spans="12:13" x14ac:dyDescent="0.2">
      <c r="L3503" s="5"/>
      <c r="M3503" s="5"/>
    </row>
    <row r="3504" spans="12:13" x14ac:dyDescent="0.2">
      <c r="L3504" s="5"/>
      <c r="M3504" s="5"/>
    </row>
    <row r="3505" spans="12:13" x14ac:dyDescent="0.2">
      <c r="L3505" s="5"/>
      <c r="M3505" s="5"/>
    </row>
    <row r="3506" spans="12:13" x14ac:dyDescent="0.2">
      <c r="L3506" s="5"/>
      <c r="M3506" s="5"/>
    </row>
    <row r="3507" spans="12:13" x14ac:dyDescent="0.2">
      <c r="L3507" s="5"/>
      <c r="M3507" s="5"/>
    </row>
    <row r="3508" spans="12:13" x14ac:dyDescent="0.2">
      <c r="L3508" s="5"/>
      <c r="M3508" s="5"/>
    </row>
    <row r="3509" spans="12:13" x14ac:dyDescent="0.2">
      <c r="L3509" s="5"/>
      <c r="M3509" s="5"/>
    </row>
    <row r="3510" spans="12:13" x14ac:dyDescent="0.2">
      <c r="L3510" s="5"/>
      <c r="M3510" s="5"/>
    </row>
    <row r="3511" spans="12:13" x14ac:dyDescent="0.2">
      <c r="L3511" s="5"/>
      <c r="M3511" s="5"/>
    </row>
    <row r="3512" spans="12:13" x14ac:dyDescent="0.2">
      <c r="L3512" s="5"/>
      <c r="M3512" s="5"/>
    </row>
    <row r="3513" spans="12:13" x14ac:dyDescent="0.2">
      <c r="L3513" s="5"/>
      <c r="M3513" s="5"/>
    </row>
    <row r="3514" spans="12:13" x14ac:dyDescent="0.2">
      <c r="L3514" s="5"/>
      <c r="M3514" s="5"/>
    </row>
    <row r="3515" spans="12:13" x14ac:dyDescent="0.2">
      <c r="L3515" s="5"/>
      <c r="M3515" s="5"/>
    </row>
    <row r="3516" spans="12:13" x14ac:dyDescent="0.2">
      <c r="L3516" s="5"/>
      <c r="M3516" s="5"/>
    </row>
    <row r="3517" spans="12:13" x14ac:dyDescent="0.2">
      <c r="L3517" s="5"/>
      <c r="M3517" s="5"/>
    </row>
    <row r="3518" spans="12:13" x14ac:dyDescent="0.2">
      <c r="L3518" s="5"/>
      <c r="M3518" s="5"/>
    </row>
    <row r="3519" spans="12:13" x14ac:dyDescent="0.2">
      <c r="L3519" s="5"/>
      <c r="M3519" s="5"/>
    </row>
    <row r="3520" spans="12:13" x14ac:dyDescent="0.2">
      <c r="L3520" s="5"/>
      <c r="M3520" s="5"/>
    </row>
    <row r="3521" spans="12:13" x14ac:dyDescent="0.2">
      <c r="L3521" s="5"/>
      <c r="M3521" s="5"/>
    </row>
    <row r="3522" spans="12:13" x14ac:dyDescent="0.2">
      <c r="L3522" s="5"/>
      <c r="M3522" s="5"/>
    </row>
    <row r="3523" spans="12:13" x14ac:dyDescent="0.2">
      <c r="L3523" s="5"/>
      <c r="M3523" s="5"/>
    </row>
    <row r="3524" spans="12:13" x14ac:dyDescent="0.2">
      <c r="L3524" s="5"/>
      <c r="M3524" s="5"/>
    </row>
    <row r="3525" spans="12:13" x14ac:dyDescent="0.2">
      <c r="L3525" s="5"/>
      <c r="M3525" s="5"/>
    </row>
    <row r="3526" spans="12:13" x14ac:dyDescent="0.2">
      <c r="L3526" s="5"/>
      <c r="M3526" s="5"/>
    </row>
    <row r="3527" spans="12:13" x14ac:dyDescent="0.2">
      <c r="L3527" s="5"/>
      <c r="M3527" s="5"/>
    </row>
    <row r="3528" spans="12:13" x14ac:dyDescent="0.2">
      <c r="L3528" s="5"/>
      <c r="M3528" s="5"/>
    </row>
    <row r="3529" spans="12:13" x14ac:dyDescent="0.2">
      <c r="L3529" s="5"/>
      <c r="M3529" s="5"/>
    </row>
    <row r="3530" spans="12:13" x14ac:dyDescent="0.2">
      <c r="L3530" s="5"/>
      <c r="M3530" s="5"/>
    </row>
    <row r="3531" spans="12:13" x14ac:dyDescent="0.2">
      <c r="L3531" s="5"/>
      <c r="M3531" s="5"/>
    </row>
    <row r="3532" spans="12:13" x14ac:dyDescent="0.2">
      <c r="L3532" s="5"/>
      <c r="M3532" s="5"/>
    </row>
    <row r="3533" spans="12:13" x14ac:dyDescent="0.2">
      <c r="L3533" s="5"/>
      <c r="M3533" s="5"/>
    </row>
    <row r="3534" spans="12:13" x14ac:dyDescent="0.2">
      <c r="L3534" s="5"/>
      <c r="M3534" s="5"/>
    </row>
    <row r="3535" spans="12:13" x14ac:dyDescent="0.2">
      <c r="L3535" s="5"/>
      <c r="M3535" s="5"/>
    </row>
    <row r="3536" spans="12:13" x14ac:dyDescent="0.2">
      <c r="L3536" s="5"/>
      <c r="M3536" s="5"/>
    </row>
    <row r="3537" spans="12:13" x14ac:dyDescent="0.2">
      <c r="L3537" s="5"/>
      <c r="M3537" s="5"/>
    </row>
    <row r="3538" spans="12:13" x14ac:dyDescent="0.2">
      <c r="L3538" s="5"/>
      <c r="M3538" s="5"/>
    </row>
    <row r="3539" spans="12:13" x14ac:dyDescent="0.2">
      <c r="L3539" s="5"/>
      <c r="M3539" s="5"/>
    </row>
    <row r="3540" spans="12:13" x14ac:dyDescent="0.2">
      <c r="L3540" s="5"/>
      <c r="M3540" s="5"/>
    </row>
    <row r="3541" spans="12:13" x14ac:dyDescent="0.2">
      <c r="L3541" s="5"/>
      <c r="M3541" s="5"/>
    </row>
    <row r="3542" spans="12:13" x14ac:dyDescent="0.2">
      <c r="L3542" s="5"/>
      <c r="M3542" s="5"/>
    </row>
    <row r="3543" spans="12:13" x14ac:dyDescent="0.2">
      <c r="L3543" s="5"/>
      <c r="M3543" s="5"/>
    </row>
    <row r="3544" spans="12:13" x14ac:dyDescent="0.2">
      <c r="L3544" s="5"/>
      <c r="M3544" s="5"/>
    </row>
    <row r="3545" spans="12:13" x14ac:dyDescent="0.2">
      <c r="L3545" s="5"/>
      <c r="M3545" s="5"/>
    </row>
    <row r="3546" spans="12:13" x14ac:dyDescent="0.2">
      <c r="L3546" s="5"/>
      <c r="M3546" s="5"/>
    </row>
    <row r="3547" spans="12:13" x14ac:dyDescent="0.2">
      <c r="L3547" s="5"/>
      <c r="M3547" s="5"/>
    </row>
    <row r="3548" spans="12:13" x14ac:dyDescent="0.2">
      <c r="L3548" s="5"/>
      <c r="M3548" s="5"/>
    </row>
    <row r="3549" spans="12:13" x14ac:dyDescent="0.2">
      <c r="L3549" s="5"/>
      <c r="M3549" s="5"/>
    </row>
    <row r="3550" spans="12:13" x14ac:dyDescent="0.2">
      <c r="L3550" s="5"/>
      <c r="M3550" s="5"/>
    </row>
    <row r="3551" spans="12:13" x14ac:dyDescent="0.2">
      <c r="L3551" s="5"/>
      <c r="M3551" s="5"/>
    </row>
    <row r="3552" spans="12:13" x14ac:dyDescent="0.2">
      <c r="L3552" s="5"/>
      <c r="M3552" s="5"/>
    </row>
    <row r="3553" spans="12:13" x14ac:dyDescent="0.2">
      <c r="L3553" s="5"/>
      <c r="M3553" s="5"/>
    </row>
    <row r="3554" spans="12:13" x14ac:dyDescent="0.2">
      <c r="L3554" s="5"/>
      <c r="M3554" s="5"/>
    </row>
    <row r="3555" spans="12:13" x14ac:dyDescent="0.2">
      <c r="L3555" s="5"/>
      <c r="M3555" s="5"/>
    </row>
    <row r="3556" spans="12:13" x14ac:dyDescent="0.2">
      <c r="L3556" s="5"/>
      <c r="M3556" s="5"/>
    </row>
    <row r="3557" spans="12:13" x14ac:dyDescent="0.2">
      <c r="L3557" s="5"/>
      <c r="M3557" s="5"/>
    </row>
    <row r="3558" spans="12:13" x14ac:dyDescent="0.2">
      <c r="L3558" s="5"/>
      <c r="M3558" s="5"/>
    </row>
    <row r="3559" spans="12:13" x14ac:dyDescent="0.2">
      <c r="L3559" s="5"/>
      <c r="M3559" s="5"/>
    </row>
    <row r="3560" spans="12:13" x14ac:dyDescent="0.2">
      <c r="L3560" s="5"/>
      <c r="M3560" s="5"/>
    </row>
    <row r="3561" spans="12:13" x14ac:dyDescent="0.2">
      <c r="L3561" s="5"/>
      <c r="M3561" s="5"/>
    </row>
    <row r="3562" spans="12:13" x14ac:dyDescent="0.2">
      <c r="L3562" s="5"/>
      <c r="M3562" s="5"/>
    </row>
    <row r="3563" spans="12:13" x14ac:dyDescent="0.2">
      <c r="L3563" s="5"/>
      <c r="M3563" s="5"/>
    </row>
    <row r="3564" spans="12:13" x14ac:dyDescent="0.2">
      <c r="L3564" s="5"/>
      <c r="M3564" s="5"/>
    </row>
    <row r="3565" spans="12:13" x14ac:dyDescent="0.2">
      <c r="L3565" s="5"/>
      <c r="M3565" s="5"/>
    </row>
    <row r="3566" spans="12:13" x14ac:dyDescent="0.2">
      <c r="L3566" s="5"/>
      <c r="M3566" s="5"/>
    </row>
    <row r="3567" spans="12:13" x14ac:dyDescent="0.2">
      <c r="L3567" s="5"/>
      <c r="M3567" s="5"/>
    </row>
    <row r="3568" spans="12:13" x14ac:dyDescent="0.2">
      <c r="L3568" s="5"/>
      <c r="M3568" s="5"/>
    </row>
    <row r="3569" spans="12:13" x14ac:dyDescent="0.2">
      <c r="L3569" s="5"/>
      <c r="M3569" s="5"/>
    </row>
    <row r="3570" spans="12:13" x14ac:dyDescent="0.2">
      <c r="L3570" s="5"/>
      <c r="M3570" s="5"/>
    </row>
    <row r="3571" spans="12:13" x14ac:dyDescent="0.2">
      <c r="L3571" s="5"/>
      <c r="M3571" s="5"/>
    </row>
    <row r="3572" spans="12:13" x14ac:dyDescent="0.2">
      <c r="L3572" s="5"/>
      <c r="M3572" s="5"/>
    </row>
    <row r="3573" spans="12:13" x14ac:dyDescent="0.2">
      <c r="L3573" s="5"/>
      <c r="M3573" s="5"/>
    </row>
    <row r="3574" spans="12:13" x14ac:dyDescent="0.2">
      <c r="L3574" s="5"/>
      <c r="M3574" s="5"/>
    </row>
    <row r="3575" spans="12:13" x14ac:dyDescent="0.2">
      <c r="L3575" s="5"/>
      <c r="M3575" s="5"/>
    </row>
    <row r="3576" spans="12:13" x14ac:dyDescent="0.2">
      <c r="L3576" s="5"/>
      <c r="M3576" s="5"/>
    </row>
    <row r="3577" spans="12:13" x14ac:dyDescent="0.2">
      <c r="L3577" s="5"/>
      <c r="M3577" s="5"/>
    </row>
    <row r="3578" spans="12:13" x14ac:dyDescent="0.2">
      <c r="L3578" s="5"/>
      <c r="M3578" s="5"/>
    </row>
    <row r="3579" spans="12:13" x14ac:dyDescent="0.2">
      <c r="L3579" s="5"/>
      <c r="M3579" s="5"/>
    </row>
    <row r="3580" spans="12:13" x14ac:dyDescent="0.2">
      <c r="L3580" s="5"/>
      <c r="M3580" s="5"/>
    </row>
    <row r="3581" spans="12:13" x14ac:dyDescent="0.2">
      <c r="L3581" s="5"/>
      <c r="M3581" s="5"/>
    </row>
    <row r="3582" spans="12:13" x14ac:dyDescent="0.2">
      <c r="L3582" s="5"/>
      <c r="M3582" s="5"/>
    </row>
    <row r="3583" spans="12:13" x14ac:dyDescent="0.2">
      <c r="L3583" s="5"/>
      <c r="M3583" s="5"/>
    </row>
    <row r="3584" spans="12:13" x14ac:dyDescent="0.2">
      <c r="L3584" s="5"/>
      <c r="M3584" s="5"/>
    </row>
    <row r="3585" spans="12:13" x14ac:dyDescent="0.2">
      <c r="L3585" s="5"/>
      <c r="M3585" s="5"/>
    </row>
    <row r="3586" spans="12:13" x14ac:dyDescent="0.2">
      <c r="L3586" s="5"/>
      <c r="M3586" s="5"/>
    </row>
    <row r="3587" spans="12:13" x14ac:dyDescent="0.2">
      <c r="L3587" s="5"/>
      <c r="M3587" s="5"/>
    </row>
    <row r="3588" spans="12:13" x14ac:dyDescent="0.2">
      <c r="L3588" s="5"/>
      <c r="M3588" s="5"/>
    </row>
    <row r="3589" spans="12:13" x14ac:dyDescent="0.2">
      <c r="L3589" s="5"/>
      <c r="M3589" s="5"/>
    </row>
    <row r="3590" spans="12:13" x14ac:dyDescent="0.2">
      <c r="L3590" s="5"/>
      <c r="M3590" s="5"/>
    </row>
    <row r="3591" spans="12:13" x14ac:dyDescent="0.2">
      <c r="L3591" s="5"/>
      <c r="M3591" s="5"/>
    </row>
    <row r="3592" spans="12:13" x14ac:dyDescent="0.2">
      <c r="L3592" s="5"/>
      <c r="M3592" s="5"/>
    </row>
    <row r="3593" spans="12:13" x14ac:dyDescent="0.2">
      <c r="L3593" s="5"/>
      <c r="M3593" s="5"/>
    </row>
    <row r="3594" spans="12:13" x14ac:dyDescent="0.2">
      <c r="L3594" s="5"/>
      <c r="M3594" s="5"/>
    </row>
    <row r="3595" spans="12:13" x14ac:dyDescent="0.2">
      <c r="L3595" s="5"/>
      <c r="M3595" s="5"/>
    </row>
    <row r="3596" spans="12:13" x14ac:dyDescent="0.2">
      <c r="L3596" s="5"/>
      <c r="M3596" s="5"/>
    </row>
    <row r="3597" spans="12:13" x14ac:dyDescent="0.2">
      <c r="L3597" s="5"/>
      <c r="M3597" s="5"/>
    </row>
    <row r="3598" spans="12:13" x14ac:dyDescent="0.2">
      <c r="L3598" s="5"/>
      <c r="M3598" s="5"/>
    </row>
    <row r="3599" spans="12:13" x14ac:dyDescent="0.2">
      <c r="L3599" s="5"/>
      <c r="M3599" s="5"/>
    </row>
    <row r="3600" spans="12:13" x14ac:dyDescent="0.2">
      <c r="L3600" s="5"/>
      <c r="M3600" s="5"/>
    </row>
    <row r="3601" spans="12:13" x14ac:dyDescent="0.2">
      <c r="L3601" s="5"/>
      <c r="M3601" s="5"/>
    </row>
    <row r="3602" spans="12:13" x14ac:dyDescent="0.2">
      <c r="L3602" s="5"/>
      <c r="M3602" s="5"/>
    </row>
    <row r="3603" spans="12:13" x14ac:dyDescent="0.2">
      <c r="L3603" s="5"/>
      <c r="M3603" s="5"/>
    </row>
    <row r="3604" spans="12:13" x14ac:dyDescent="0.2">
      <c r="L3604" s="5"/>
      <c r="M3604" s="5"/>
    </row>
    <row r="3605" spans="12:13" x14ac:dyDescent="0.2">
      <c r="L3605" s="5"/>
      <c r="M3605" s="5"/>
    </row>
    <row r="3606" spans="12:13" x14ac:dyDescent="0.2">
      <c r="L3606" s="5"/>
      <c r="M3606" s="5"/>
    </row>
    <row r="3607" spans="12:13" x14ac:dyDescent="0.2">
      <c r="L3607" s="5"/>
      <c r="M3607" s="5"/>
    </row>
    <row r="3608" spans="12:13" x14ac:dyDescent="0.2">
      <c r="L3608" s="5"/>
      <c r="M3608" s="5"/>
    </row>
    <row r="3609" spans="12:13" x14ac:dyDescent="0.2">
      <c r="L3609" s="5"/>
      <c r="M3609" s="5"/>
    </row>
    <row r="3610" spans="12:13" x14ac:dyDescent="0.2">
      <c r="L3610" s="5"/>
      <c r="M3610" s="5"/>
    </row>
    <row r="3611" spans="12:13" x14ac:dyDescent="0.2">
      <c r="L3611" s="5"/>
      <c r="M3611" s="5"/>
    </row>
    <row r="3612" spans="12:13" x14ac:dyDescent="0.2">
      <c r="L3612" s="5"/>
      <c r="M3612" s="5"/>
    </row>
    <row r="3613" spans="12:13" x14ac:dyDescent="0.2">
      <c r="L3613" s="5"/>
      <c r="M3613" s="5"/>
    </row>
    <row r="3614" spans="12:13" x14ac:dyDescent="0.2">
      <c r="L3614" s="5"/>
      <c r="M3614" s="5"/>
    </row>
    <row r="3615" spans="12:13" x14ac:dyDescent="0.2">
      <c r="L3615" s="5"/>
      <c r="M3615" s="5"/>
    </row>
    <row r="3616" spans="12:13" x14ac:dyDescent="0.2">
      <c r="L3616" s="5"/>
      <c r="M3616" s="5"/>
    </row>
    <row r="3617" spans="12:13" x14ac:dyDescent="0.2">
      <c r="L3617" s="5"/>
      <c r="M3617" s="5"/>
    </row>
    <row r="3618" spans="12:13" x14ac:dyDescent="0.2">
      <c r="L3618" s="5"/>
      <c r="M3618" s="5"/>
    </row>
    <row r="3619" spans="12:13" x14ac:dyDescent="0.2">
      <c r="L3619" s="5"/>
      <c r="M3619" s="5"/>
    </row>
    <row r="3620" spans="12:13" x14ac:dyDescent="0.2">
      <c r="L3620" s="5"/>
      <c r="M3620" s="5"/>
    </row>
    <row r="3621" spans="12:13" x14ac:dyDescent="0.2">
      <c r="L3621" s="5"/>
      <c r="M3621" s="5"/>
    </row>
    <row r="3622" spans="12:13" x14ac:dyDescent="0.2">
      <c r="L3622" s="5"/>
      <c r="M3622" s="5"/>
    </row>
    <row r="3623" spans="12:13" x14ac:dyDescent="0.2">
      <c r="L3623" s="5"/>
      <c r="M3623" s="5"/>
    </row>
    <row r="3624" spans="12:13" x14ac:dyDescent="0.2">
      <c r="L3624" s="5"/>
      <c r="M3624" s="5"/>
    </row>
    <row r="3625" spans="12:13" x14ac:dyDescent="0.2">
      <c r="L3625" s="5"/>
      <c r="M3625" s="5"/>
    </row>
    <row r="3626" spans="12:13" x14ac:dyDescent="0.2">
      <c r="L3626" s="5"/>
      <c r="M3626" s="5"/>
    </row>
    <row r="3627" spans="12:13" x14ac:dyDescent="0.2">
      <c r="L3627" s="5"/>
      <c r="M3627" s="5"/>
    </row>
    <row r="3628" spans="12:13" x14ac:dyDescent="0.2">
      <c r="L3628" s="5"/>
      <c r="M3628" s="5"/>
    </row>
    <row r="3629" spans="12:13" x14ac:dyDescent="0.2">
      <c r="L3629" s="5"/>
      <c r="M3629" s="5"/>
    </row>
    <row r="3630" spans="12:13" x14ac:dyDescent="0.2">
      <c r="L3630" s="5"/>
      <c r="M3630" s="5"/>
    </row>
    <row r="3631" spans="12:13" x14ac:dyDescent="0.2">
      <c r="L3631" s="5"/>
      <c r="M3631" s="5"/>
    </row>
    <row r="3632" spans="12:13" x14ac:dyDescent="0.2">
      <c r="L3632" s="5"/>
      <c r="M3632" s="5"/>
    </row>
    <row r="3633" spans="12:13" x14ac:dyDescent="0.2">
      <c r="L3633" s="5"/>
      <c r="M3633" s="5"/>
    </row>
    <row r="3634" spans="12:13" x14ac:dyDescent="0.2">
      <c r="L3634" s="5"/>
      <c r="M3634" s="5"/>
    </row>
    <row r="3635" spans="12:13" x14ac:dyDescent="0.2">
      <c r="L3635" s="5"/>
      <c r="M3635" s="5"/>
    </row>
    <row r="3636" spans="12:13" x14ac:dyDescent="0.2">
      <c r="L3636" s="5"/>
      <c r="M3636" s="5"/>
    </row>
    <row r="3637" spans="12:13" x14ac:dyDescent="0.2">
      <c r="L3637" s="5"/>
      <c r="M3637" s="5"/>
    </row>
    <row r="3638" spans="12:13" x14ac:dyDescent="0.2">
      <c r="L3638" s="5"/>
      <c r="M3638" s="5"/>
    </row>
    <row r="3639" spans="12:13" x14ac:dyDescent="0.2">
      <c r="L3639" s="5"/>
      <c r="M3639" s="5"/>
    </row>
    <row r="3640" spans="12:13" x14ac:dyDescent="0.2">
      <c r="L3640" s="5"/>
      <c r="M3640" s="5"/>
    </row>
    <row r="3641" spans="12:13" x14ac:dyDescent="0.2">
      <c r="L3641" s="5"/>
      <c r="M3641" s="5"/>
    </row>
    <row r="3642" spans="12:13" x14ac:dyDescent="0.2">
      <c r="L3642" s="5"/>
      <c r="M3642" s="5"/>
    </row>
    <row r="3643" spans="12:13" x14ac:dyDescent="0.2">
      <c r="L3643" s="5"/>
      <c r="M3643" s="5"/>
    </row>
    <row r="3644" spans="12:13" x14ac:dyDescent="0.2">
      <c r="L3644" s="5"/>
      <c r="M3644" s="5"/>
    </row>
    <row r="3645" spans="12:13" x14ac:dyDescent="0.2">
      <c r="L3645" s="5"/>
      <c r="M3645" s="5"/>
    </row>
    <row r="3646" spans="12:13" x14ac:dyDescent="0.2">
      <c r="L3646" s="5"/>
      <c r="M3646" s="5"/>
    </row>
    <row r="3647" spans="12:13" x14ac:dyDescent="0.2">
      <c r="L3647" s="5"/>
      <c r="M3647" s="5"/>
    </row>
    <row r="3648" spans="12:13" x14ac:dyDescent="0.2">
      <c r="L3648" s="5"/>
      <c r="M3648" s="5"/>
    </row>
    <row r="3649" spans="12:13" x14ac:dyDescent="0.2">
      <c r="L3649" s="5"/>
      <c r="M3649" s="5"/>
    </row>
    <row r="3650" spans="12:13" x14ac:dyDescent="0.2">
      <c r="L3650" s="5"/>
      <c r="M3650" s="5"/>
    </row>
    <row r="3651" spans="12:13" x14ac:dyDescent="0.2">
      <c r="L3651" s="5"/>
      <c r="M3651" s="5"/>
    </row>
    <row r="3652" spans="12:13" x14ac:dyDescent="0.2">
      <c r="L3652" s="5"/>
      <c r="M3652" s="5"/>
    </row>
    <row r="3653" spans="12:13" x14ac:dyDescent="0.2">
      <c r="L3653" s="5"/>
      <c r="M3653" s="5"/>
    </row>
    <row r="3654" spans="12:13" x14ac:dyDescent="0.2">
      <c r="L3654" s="5"/>
      <c r="M3654" s="5"/>
    </row>
    <row r="3655" spans="12:13" x14ac:dyDescent="0.2">
      <c r="L3655" s="5"/>
      <c r="M3655" s="5"/>
    </row>
    <row r="3656" spans="12:13" x14ac:dyDescent="0.2">
      <c r="L3656" s="5"/>
      <c r="M3656" s="5"/>
    </row>
    <row r="3657" spans="12:13" x14ac:dyDescent="0.2">
      <c r="L3657" s="5"/>
      <c r="M3657" s="5"/>
    </row>
    <row r="3658" spans="12:13" x14ac:dyDescent="0.2">
      <c r="L3658" s="5"/>
      <c r="M3658" s="5"/>
    </row>
    <row r="3659" spans="12:13" x14ac:dyDescent="0.2">
      <c r="L3659" s="5"/>
      <c r="M3659" s="5"/>
    </row>
    <row r="3660" spans="12:13" x14ac:dyDescent="0.2">
      <c r="L3660" s="5"/>
      <c r="M3660" s="5"/>
    </row>
    <row r="3661" spans="12:13" x14ac:dyDescent="0.2">
      <c r="L3661" s="5"/>
      <c r="M3661" s="5"/>
    </row>
    <row r="3662" spans="12:13" x14ac:dyDescent="0.2">
      <c r="L3662" s="5"/>
      <c r="M3662" s="5"/>
    </row>
    <row r="3663" spans="12:13" x14ac:dyDescent="0.2">
      <c r="L3663" s="5"/>
      <c r="M3663" s="5"/>
    </row>
    <row r="3664" spans="12:13" x14ac:dyDescent="0.2">
      <c r="L3664" s="5"/>
      <c r="M3664" s="5"/>
    </row>
    <row r="3665" spans="12:13" x14ac:dyDescent="0.2">
      <c r="L3665" s="5"/>
      <c r="M3665" s="5"/>
    </row>
    <row r="3666" spans="12:13" x14ac:dyDescent="0.2">
      <c r="L3666" s="5"/>
      <c r="M3666" s="5"/>
    </row>
    <row r="3667" spans="12:13" x14ac:dyDescent="0.2">
      <c r="L3667" s="5"/>
      <c r="M3667" s="5"/>
    </row>
    <row r="3668" spans="12:13" x14ac:dyDescent="0.2">
      <c r="L3668" s="5"/>
      <c r="M3668" s="5"/>
    </row>
    <row r="3669" spans="12:13" x14ac:dyDescent="0.2">
      <c r="L3669" s="5"/>
      <c r="M3669" s="5"/>
    </row>
    <row r="3670" spans="12:13" x14ac:dyDescent="0.2">
      <c r="L3670" s="5"/>
      <c r="M3670" s="5"/>
    </row>
    <row r="3671" spans="12:13" x14ac:dyDescent="0.2">
      <c r="L3671" s="5"/>
      <c r="M3671" s="5"/>
    </row>
    <row r="3672" spans="12:13" x14ac:dyDescent="0.2">
      <c r="L3672" s="5"/>
      <c r="M3672" s="5"/>
    </row>
    <row r="3673" spans="12:13" x14ac:dyDescent="0.2">
      <c r="L3673" s="5"/>
      <c r="M3673" s="5"/>
    </row>
    <row r="3674" spans="12:13" x14ac:dyDescent="0.2">
      <c r="L3674" s="5"/>
      <c r="M3674" s="5"/>
    </row>
    <row r="3675" spans="12:13" x14ac:dyDescent="0.2">
      <c r="L3675" s="5"/>
      <c r="M3675" s="5"/>
    </row>
    <row r="3676" spans="12:13" x14ac:dyDescent="0.2">
      <c r="L3676" s="5"/>
      <c r="M3676" s="5"/>
    </row>
    <row r="3677" spans="12:13" x14ac:dyDescent="0.2">
      <c r="L3677" s="5"/>
      <c r="M3677" s="5"/>
    </row>
    <row r="3678" spans="12:13" x14ac:dyDescent="0.2">
      <c r="L3678" s="5"/>
      <c r="M3678" s="5"/>
    </row>
    <row r="3679" spans="12:13" x14ac:dyDescent="0.2">
      <c r="L3679" s="5"/>
      <c r="M3679" s="5"/>
    </row>
    <row r="3680" spans="12:13" x14ac:dyDescent="0.2">
      <c r="L3680" s="5"/>
      <c r="M3680" s="5"/>
    </row>
    <row r="3681" spans="12:13" x14ac:dyDescent="0.2">
      <c r="L3681" s="5"/>
      <c r="M3681" s="5"/>
    </row>
    <row r="3682" spans="12:13" x14ac:dyDescent="0.2">
      <c r="L3682" s="5"/>
      <c r="M3682" s="5"/>
    </row>
    <row r="3683" spans="12:13" x14ac:dyDescent="0.2">
      <c r="L3683" s="5"/>
      <c r="M3683" s="5"/>
    </row>
    <row r="3684" spans="12:13" x14ac:dyDescent="0.2">
      <c r="L3684" s="5"/>
      <c r="M3684" s="5"/>
    </row>
    <row r="3685" spans="12:13" x14ac:dyDescent="0.2">
      <c r="L3685" s="5"/>
      <c r="M3685" s="5"/>
    </row>
    <row r="3686" spans="12:13" x14ac:dyDescent="0.2">
      <c r="L3686" s="5"/>
      <c r="M3686" s="5"/>
    </row>
    <row r="3687" spans="12:13" x14ac:dyDescent="0.2">
      <c r="L3687" s="5"/>
      <c r="M3687" s="5"/>
    </row>
    <row r="3688" spans="12:13" x14ac:dyDescent="0.2">
      <c r="L3688" s="5"/>
      <c r="M3688" s="5"/>
    </row>
    <row r="3689" spans="12:13" x14ac:dyDescent="0.2">
      <c r="L3689" s="5"/>
      <c r="M3689" s="5"/>
    </row>
    <row r="3690" spans="12:13" x14ac:dyDescent="0.2">
      <c r="L3690" s="5"/>
      <c r="M3690" s="5"/>
    </row>
    <row r="3691" spans="12:13" x14ac:dyDescent="0.2">
      <c r="L3691" s="5"/>
      <c r="M3691" s="5"/>
    </row>
    <row r="3692" spans="12:13" x14ac:dyDescent="0.2">
      <c r="L3692" s="5"/>
      <c r="M3692" s="5"/>
    </row>
    <row r="3693" spans="12:13" x14ac:dyDescent="0.2">
      <c r="L3693" s="5"/>
      <c r="M3693" s="5"/>
    </row>
    <row r="3694" spans="12:13" x14ac:dyDescent="0.2">
      <c r="L3694" s="5"/>
      <c r="M3694" s="5"/>
    </row>
    <row r="3695" spans="12:13" x14ac:dyDescent="0.2">
      <c r="L3695" s="5"/>
      <c r="M3695" s="5"/>
    </row>
    <row r="3696" spans="12:13" x14ac:dyDescent="0.2">
      <c r="L3696" s="5"/>
      <c r="M3696" s="5"/>
    </row>
    <row r="3697" spans="12:13" x14ac:dyDescent="0.2">
      <c r="L3697" s="5"/>
      <c r="M3697" s="5"/>
    </row>
    <row r="3698" spans="12:13" x14ac:dyDescent="0.2">
      <c r="L3698" s="5"/>
      <c r="M3698" s="5"/>
    </row>
    <row r="3699" spans="12:13" x14ac:dyDescent="0.2">
      <c r="L3699" s="5"/>
      <c r="M3699" s="5"/>
    </row>
    <row r="3700" spans="12:13" x14ac:dyDescent="0.2">
      <c r="L3700" s="5"/>
      <c r="M3700" s="5"/>
    </row>
    <row r="3701" spans="12:13" x14ac:dyDescent="0.2">
      <c r="L3701" s="5"/>
      <c r="M3701" s="5"/>
    </row>
    <row r="3702" spans="12:13" x14ac:dyDescent="0.2">
      <c r="L3702" s="5"/>
      <c r="M3702" s="5"/>
    </row>
    <row r="3703" spans="12:13" x14ac:dyDescent="0.2">
      <c r="L3703" s="5"/>
      <c r="M3703" s="5"/>
    </row>
    <row r="3704" spans="12:13" x14ac:dyDescent="0.2">
      <c r="L3704" s="5"/>
      <c r="M3704" s="5"/>
    </row>
    <row r="3705" spans="12:13" x14ac:dyDescent="0.2">
      <c r="L3705" s="5"/>
      <c r="M3705" s="5"/>
    </row>
    <row r="3706" spans="12:13" x14ac:dyDescent="0.2">
      <c r="L3706" s="5"/>
      <c r="M3706" s="5"/>
    </row>
    <row r="3707" spans="12:13" x14ac:dyDescent="0.2">
      <c r="L3707" s="5"/>
      <c r="M3707" s="5"/>
    </row>
    <row r="3708" spans="12:13" x14ac:dyDescent="0.2">
      <c r="L3708" s="5"/>
      <c r="M3708" s="5"/>
    </row>
    <row r="3709" spans="12:13" x14ac:dyDescent="0.2">
      <c r="L3709" s="5"/>
      <c r="M3709" s="5"/>
    </row>
    <row r="3710" spans="12:13" x14ac:dyDescent="0.2">
      <c r="L3710" s="5"/>
      <c r="M3710" s="5"/>
    </row>
    <row r="3711" spans="12:13" x14ac:dyDescent="0.2">
      <c r="L3711" s="5"/>
      <c r="M3711" s="5"/>
    </row>
    <row r="3712" spans="12:13" x14ac:dyDescent="0.2">
      <c r="L3712" s="5"/>
      <c r="M3712" s="5"/>
    </row>
    <row r="3713" spans="12:13" x14ac:dyDescent="0.2">
      <c r="L3713" s="5"/>
      <c r="M3713" s="5"/>
    </row>
    <row r="3714" spans="12:13" x14ac:dyDescent="0.2">
      <c r="L3714" s="5"/>
      <c r="M3714" s="5"/>
    </row>
    <row r="3715" spans="12:13" x14ac:dyDescent="0.2">
      <c r="L3715" s="5"/>
      <c r="M3715" s="5"/>
    </row>
    <row r="3716" spans="12:13" x14ac:dyDescent="0.2">
      <c r="L3716" s="5"/>
      <c r="M3716" s="5"/>
    </row>
    <row r="3717" spans="12:13" x14ac:dyDescent="0.2">
      <c r="L3717" s="5"/>
      <c r="M3717" s="5"/>
    </row>
    <row r="3718" spans="12:13" x14ac:dyDescent="0.2">
      <c r="L3718" s="5"/>
      <c r="M3718" s="5"/>
    </row>
    <row r="3719" spans="12:13" x14ac:dyDescent="0.2">
      <c r="L3719" s="5"/>
      <c r="M3719" s="5"/>
    </row>
    <row r="3720" spans="12:13" x14ac:dyDescent="0.2">
      <c r="L3720" s="5"/>
      <c r="M3720" s="5"/>
    </row>
    <row r="3721" spans="12:13" x14ac:dyDescent="0.2">
      <c r="L3721" s="5"/>
      <c r="M3721" s="5"/>
    </row>
    <row r="3722" spans="12:13" x14ac:dyDescent="0.2">
      <c r="L3722" s="5"/>
      <c r="M3722" s="5"/>
    </row>
    <row r="3723" spans="12:13" x14ac:dyDescent="0.2">
      <c r="L3723" s="5"/>
      <c r="M3723" s="5"/>
    </row>
    <row r="3724" spans="12:13" x14ac:dyDescent="0.2">
      <c r="L3724" s="5"/>
      <c r="M3724" s="5"/>
    </row>
    <row r="3725" spans="12:13" x14ac:dyDescent="0.2">
      <c r="L3725" s="5"/>
      <c r="M3725" s="5"/>
    </row>
    <row r="3726" spans="12:13" x14ac:dyDescent="0.2">
      <c r="L3726" s="5"/>
      <c r="M3726" s="5"/>
    </row>
    <row r="3727" spans="12:13" x14ac:dyDescent="0.2">
      <c r="L3727" s="5"/>
      <c r="M3727" s="5"/>
    </row>
    <row r="3728" spans="12:13" x14ac:dyDescent="0.2">
      <c r="L3728" s="5"/>
      <c r="M3728" s="5"/>
    </row>
    <row r="3729" spans="12:13" x14ac:dyDescent="0.2">
      <c r="L3729" s="5"/>
      <c r="M3729" s="5"/>
    </row>
    <row r="3730" spans="12:13" x14ac:dyDescent="0.2">
      <c r="L3730" s="5"/>
      <c r="M3730" s="5"/>
    </row>
    <row r="3731" spans="12:13" x14ac:dyDescent="0.2">
      <c r="L3731" s="5"/>
      <c r="M3731" s="5"/>
    </row>
    <row r="3732" spans="12:13" x14ac:dyDescent="0.2">
      <c r="L3732" s="5"/>
      <c r="M3732" s="5"/>
    </row>
    <row r="3733" spans="12:13" x14ac:dyDescent="0.2">
      <c r="L3733" s="5"/>
      <c r="M3733" s="5"/>
    </row>
    <row r="3734" spans="12:13" x14ac:dyDescent="0.2">
      <c r="L3734" s="5"/>
      <c r="M3734" s="5"/>
    </row>
    <row r="3735" spans="12:13" x14ac:dyDescent="0.2">
      <c r="L3735" s="5"/>
      <c r="M3735" s="5"/>
    </row>
    <row r="3736" spans="12:13" x14ac:dyDescent="0.2">
      <c r="L3736" s="5"/>
      <c r="M3736" s="5"/>
    </row>
    <row r="3737" spans="12:13" x14ac:dyDescent="0.2">
      <c r="L3737" s="5"/>
      <c r="M3737" s="5"/>
    </row>
    <row r="3738" spans="12:13" x14ac:dyDescent="0.2">
      <c r="L3738" s="5"/>
      <c r="M3738" s="5"/>
    </row>
    <row r="3739" spans="12:13" x14ac:dyDescent="0.2">
      <c r="L3739" s="5"/>
      <c r="M3739" s="5"/>
    </row>
    <row r="3740" spans="12:13" x14ac:dyDescent="0.2">
      <c r="L3740" s="5"/>
      <c r="M3740" s="5"/>
    </row>
    <row r="3741" spans="12:13" x14ac:dyDescent="0.2">
      <c r="L3741" s="5"/>
      <c r="M3741" s="5"/>
    </row>
    <row r="3742" spans="12:13" x14ac:dyDescent="0.2">
      <c r="L3742" s="5"/>
      <c r="M3742" s="5"/>
    </row>
    <row r="3743" spans="12:13" x14ac:dyDescent="0.2">
      <c r="L3743" s="5"/>
      <c r="M3743" s="5"/>
    </row>
    <row r="3744" spans="12:13" x14ac:dyDescent="0.2">
      <c r="L3744" s="5"/>
      <c r="M3744" s="5"/>
    </row>
    <row r="3745" spans="12:13" x14ac:dyDescent="0.2">
      <c r="L3745" s="5"/>
      <c r="M3745" s="5"/>
    </row>
    <row r="3746" spans="12:13" x14ac:dyDescent="0.2">
      <c r="L3746" s="5"/>
      <c r="M3746" s="5"/>
    </row>
    <row r="3747" spans="12:13" x14ac:dyDescent="0.2">
      <c r="L3747" s="5"/>
      <c r="M3747" s="5"/>
    </row>
    <row r="3748" spans="12:13" x14ac:dyDescent="0.2">
      <c r="L3748" s="5"/>
      <c r="M3748" s="5"/>
    </row>
    <row r="3749" spans="12:13" x14ac:dyDescent="0.2">
      <c r="L3749" s="5"/>
      <c r="M3749" s="5"/>
    </row>
    <row r="3750" spans="12:13" x14ac:dyDescent="0.2">
      <c r="L3750" s="5"/>
      <c r="M3750" s="5"/>
    </row>
    <row r="3751" spans="12:13" x14ac:dyDescent="0.2">
      <c r="L3751" s="5"/>
      <c r="M3751" s="5"/>
    </row>
    <row r="3752" spans="12:13" x14ac:dyDescent="0.2">
      <c r="L3752" s="5"/>
      <c r="M3752" s="5"/>
    </row>
    <row r="3753" spans="12:13" x14ac:dyDescent="0.2">
      <c r="L3753" s="5"/>
      <c r="M3753" s="5"/>
    </row>
    <row r="3754" spans="12:13" x14ac:dyDescent="0.2">
      <c r="L3754" s="5"/>
      <c r="M3754" s="5"/>
    </row>
    <row r="3755" spans="12:13" x14ac:dyDescent="0.2">
      <c r="L3755" s="5"/>
      <c r="M3755" s="5"/>
    </row>
    <row r="3756" spans="12:13" x14ac:dyDescent="0.2">
      <c r="L3756" s="5"/>
      <c r="M3756" s="5"/>
    </row>
    <row r="3757" spans="12:13" x14ac:dyDescent="0.2">
      <c r="L3757" s="5"/>
      <c r="M3757" s="5"/>
    </row>
    <row r="3758" spans="12:13" x14ac:dyDescent="0.2">
      <c r="L3758" s="5"/>
      <c r="M3758" s="5"/>
    </row>
    <row r="3759" spans="12:13" x14ac:dyDescent="0.2">
      <c r="L3759" s="5"/>
      <c r="M3759" s="5"/>
    </row>
    <row r="3760" spans="12:13" x14ac:dyDescent="0.2">
      <c r="L3760" s="5"/>
      <c r="M3760" s="5"/>
    </row>
    <row r="3761" spans="12:13" x14ac:dyDescent="0.2">
      <c r="L3761" s="5"/>
      <c r="M3761" s="5"/>
    </row>
    <row r="3762" spans="12:13" x14ac:dyDescent="0.2">
      <c r="L3762" s="5"/>
      <c r="M3762" s="5"/>
    </row>
    <row r="3763" spans="12:13" x14ac:dyDescent="0.2">
      <c r="L3763" s="5"/>
      <c r="M3763" s="5"/>
    </row>
    <row r="3764" spans="12:13" x14ac:dyDescent="0.2">
      <c r="L3764" s="5"/>
      <c r="M3764" s="5"/>
    </row>
    <row r="3765" spans="12:13" x14ac:dyDescent="0.2">
      <c r="L3765" s="5"/>
      <c r="M3765" s="5"/>
    </row>
    <row r="3766" spans="12:13" x14ac:dyDescent="0.2">
      <c r="L3766" s="5"/>
      <c r="M3766" s="5"/>
    </row>
    <row r="3767" spans="12:13" x14ac:dyDescent="0.2">
      <c r="L3767" s="5"/>
      <c r="M3767" s="5"/>
    </row>
    <row r="3768" spans="12:13" x14ac:dyDescent="0.2">
      <c r="L3768" s="5"/>
      <c r="M3768" s="5"/>
    </row>
    <row r="3769" spans="12:13" x14ac:dyDescent="0.2">
      <c r="L3769" s="5"/>
      <c r="M3769" s="5"/>
    </row>
    <row r="3770" spans="12:13" x14ac:dyDescent="0.2">
      <c r="L3770" s="5"/>
      <c r="M3770" s="5"/>
    </row>
    <row r="3771" spans="12:13" x14ac:dyDescent="0.2">
      <c r="L3771" s="5"/>
      <c r="M3771" s="5"/>
    </row>
    <row r="3772" spans="12:13" x14ac:dyDescent="0.2">
      <c r="L3772" s="5"/>
      <c r="M3772" s="5"/>
    </row>
    <row r="3773" spans="12:13" x14ac:dyDescent="0.2">
      <c r="L3773" s="5"/>
      <c r="M3773" s="5"/>
    </row>
    <row r="3774" spans="12:13" x14ac:dyDescent="0.2">
      <c r="L3774" s="5"/>
      <c r="M3774" s="5"/>
    </row>
    <row r="3775" spans="12:13" x14ac:dyDescent="0.2">
      <c r="L3775" s="5"/>
      <c r="M3775" s="5"/>
    </row>
    <row r="3776" spans="12:13" x14ac:dyDescent="0.2">
      <c r="L3776" s="5"/>
      <c r="M3776" s="5"/>
    </row>
    <row r="3777" spans="12:13" x14ac:dyDescent="0.2">
      <c r="L3777" s="5"/>
      <c r="M3777" s="5"/>
    </row>
    <row r="3778" spans="12:13" x14ac:dyDescent="0.2">
      <c r="L3778" s="5"/>
      <c r="M3778" s="5"/>
    </row>
    <row r="3779" spans="12:13" x14ac:dyDescent="0.2">
      <c r="L3779" s="5"/>
      <c r="M3779" s="5"/>
    </row>
    <row r="3780" spans="12:13" x14ac:dyDescent="0.2">
      <c r="L3780" s="5"/>
      <c r="M3780" s="5"/>
    </row>
    <row r="3781" spans="12:13" x14ac:dyDescent="0.2">
      <c r="L3781" s="5"/>
      <c r="M3781" s="5"/>
    </row>
    <row r="3782" spans="12:13" x14ac:dyDescent="0.2">
      <c r="L3782" s="5"/>
      <c r="M3782" s="5"/>
    </row>
    <row r="3783" spans="12:13" x14ac:dyDescent="0.2">
      <c r="L3783" s="5"/>
      <c r="M3783" s="5"/>
    </row>
    <row r="3784" spans="12:13" x14ac:dyDescent="0.2">
      <c r="L3784" s="5"/>
      <c r="M3784" s="5"/>
    </row>
    <row r="3785" spans="12:13" x14ac:dyDescent="0.2">
      <c r="L3785" s="5"/>
      <c r="M3785" s="5"/>
    </row>
    <row r="3786" spans="12:13" x14ac:dyDescent="0.2">
      <c r="L3786" s="5"/>
      <c r="M3786" s="5"/>
    </row>
    <row r="3787" spans="12:13" x14ac:dyDescent="0.2">
      <c r="L3787" s="5"/>
      <c r="M3787" s="5"/>
    </row>
    <row r="3788" spans="12:13" x14ac:dyDescent="0.2">
      <c r="L3788" s="5"/>
      <c r="M3788" s="5"/>
    </row>
    <row r="3789" spans="12:13" x14ac:dyDescent="0.2">
      <c r="L3789" s="5"/>
      <c r="M3789" s="5"/>
    </row>
    <row r="3790" spans="12:13" x14ac:dyDescent="0.2">
      <c r="L3790" s="5"/>
      <c r="M3790" s="5"/>
    </row>
    <row r="3791" spans="12:13" x14ac:dyDescent="0.2">
      <c r="L3791" s="5"/>
      <c r="M3791" s="5"/>
    </row>
    <row r="3792" spans="12:13" x14ac:dyDescent="0.2">
      <c r="L3792" s="5"/>
      <c r="M3792" s="5"/>
    </row>
    <row r="3793" spans="12:13" x14ac:dyDescent="0.2">
      <c r="L3793" s="5"/>
      <c r="M3793" s="5"/>
    </row>
    <row r="3794" spans="12:13" x14ac:dyDescent="0.2">
      <c r="L3794" s="5"/>
      <c r="M3794" s="5"/>
    </row>
    <row r="3795" spans="12:13" x14ac:dyDescent="0.2">
      <c r="L3795" s="5"/>
      <c r="M3795" s="5"/>
    </row>
    <row r="3796" spans="12:13" x14ac:dyDescent="0.2">
      <c r="L3796" s="5"/>
      <c r="M3796" s="5"/>
    </row>
    <row r="3797" spans="12:13" x14ac:dyDescent="0.2">
      <c r="L3797" s="5"/>
      <c r="M3797" s="5"/>
    </row>
    <row r="3798" spans="12:13" x14ac:dyDescent="0.2">
      <c r="L3798" s="5"/>
      <c r="M3798" s="5"/>
    </row>
    <row r="3799" spans="12:13" x14ac:dyDescent="0.2">
      <c r="L3799" s="5"/>
      <c r="M3799" s="5"/>
    </row>
    <row r="3800" spans="12:13" x14ac:dyDescent="0.2">
      <c r="L3800" s="5"/>
      <c r="M3800" s="5"/>
    </row>
    <row r="3801" spans="12:13" x14ac:dyDescent="0.2">
      <c r="L3801" s="5"/>
      <c r="M3801" s="5"/>
    </row>
    <row r="3802" spans="12:13" x14ac:dyDescent="0.2">
      <c r="L3802" s="5"/>
      <c r="M3802" s="5"/>
    </row>
    <row r="3803" spans="12:13" x14ac:dyDescent="0.2">
      <c r="L3803" s="5"/>
      <c r="M3803" s="5"/>
    </row>
    <row r="3804" spans="12:13" x14ac:dyDescent="0.2">
      <c r="L3804" s="5"/>
      <c r="M3804" s="5"/>
    </row>
    <row r="3805" spans="12:13" x14ac:dyDescent="0.2">
      <c r="L3805" s="5"/>
      <c r="M3805" s="5"/>
    </row>
    <row r="3806" spans="12:13" x14ac:dyDescent="0.2">
      <c r="L3806" s="5"/>
      <c r="M3806" s="5"/>
    </row>
    <row r="3807" spans="12:13" x14ac:dyDescent="0.2">
      <c r="L3807" s="5"/>
      <c r="M3807" s="5"/>
    </row>
    <row r="3808" spans="12:13" x14ac:dyDescent="0.2">
      <c r="L3808" s="5"/>
      <c r="M3808" s="5"/>
    </row>
    <row r="3809" spans="12:13" x14ac:dyDescent="0.2">
      <c r="L3809" s="5"/>
      <c r="M3809" s="5"/>
    </row>
    <row r="3810" spans="12:13" x14ac:dyDescent="0.2">
      <c r="L3810" s="5"/>
      <c r="M3810" s="5"/>
    </row>
    <row r="3811" spans="12:13" x14ac:dyDescent="0.2">
      <c r="L3811" s="5"/>
      <c r="M3811" s="5"/>
    </row>
    <row r="3812" spans="12:13" x14ac:dyDescent="0.2">
      <c r="L3812" s="5"/>
      <c r="M3812" s="5"/>
    </row>
    <row r="3813" spans="12:13" x14ac:dyDescent="0.2">
      <c r="L3813" s="5"/>
      <c r="M3813" s="5"/>
    </row>
    <row r="3814" spans="12:13" x14ac:dyDescent="0.2">
      <c r="L3814" s="5"/>
      <c r="M3814" s="5"/>
    </row>
    <row r="3815" spans="12:13" x14ac:dyDescent="0.2">
      <c r="L3815" s="5"/>
      <c r="M3815" s="5"/>
    </row>
    <row r="3816" spans="12:13" x14ac:dyDescent="0.2">
      <c r="L3816" s="5"/>
      <c r="M3816" s="5"/>
    </row>
    <row r="3817" spans="12:13" x14ac:dyDescent="0.2">
      <c r="L3817" s="5"/>
      <c r="M3817" s="5"/>
    </row>
    <row r="3818" spans="12:13" x14ac:dyDescent="0.2">
      <c r="L3818" s="5"/>
      <c r="M3818" s="5"/>
    </row>
    <row r="3819" spans="12:13" x14ac:dyDescent="0.2">
      <c r="L3819" s="5"/>
      <c r="M3819" s="5"/>
    </row>
    <row r="3820" spans="12:13" x14ac:dyDescent="0.2">
      <c r="L3820" s="5"/>
      <c r="M3820" s="5"/>
    </row>
    <row r="3821" spans="12:13" x14ac:dyDescent="0.2">
      <c r="L3821" s="5"/>
      <c r="M3821" s="5"/>
    </row>
    <row r="3822" spans="12:13" x14ac:dyDescent="0.2">
      <c r="L3822" s="5"/>
      <c r="M3822" s="5"/>
    </row>
    <row r="3823" spans="12:13" x14ac:dyDescent="0.2">
      <c r="L3823" s="5"/>
      <c r="M3823" s="5"/>
    </row>
    <row r="3824" spans="12:13" x14ac:dyDescent="0.2">
      <c r="L3824" s="5"/>
      <c r="M3824" s="5"/>
    </row>
    <row r="3825" spans="12:13" x14ac:dyDescent="0.2">
      <c r="L3825" s="5"/>
      <c r="M3825" s="5"/>
    </row>
    <row r="3826" spans="12:13" x14ac:dyDescent="0.2">
      <c r="L3826" s="5"/>
      <c r="M3826" s="5"/>
    </row>
    <row r="3827" spans="12:13" x14ac:dyDescent="0.2">
      <c r="L3827" s="5"/>
      <c r="M3827" s="5"/>
    </row>
    <row r="3828" spans="12:13" x14ac:dyDescent="0.2">
      <c r="L3828" s="5"/>
      <c r="M3828" s="5"/>
    </row>
    <row r="3829" spans="12:13" x14ac:dyDescent="0.2">
      <c r="L3829" s="5"/>
      <c r="M3829" s="5"/>
    </row>
    <row r="3830" spans="12:13" x14ac:dyDescent="0.2">
      <c r="L3830" s="5"/>
      <c r="M3830" s="5"/>
    </row>
    <row r="3831" spans="12:13" x14ac:dyDescent="0.2">
      <c r="L3831" s="5"/>
      <c r="M3831" s="5"/>
    </row>
    <row r="3832" spans="12:13" x14ac:dyDescent="0.2">
      <c r="L3832" s="5"/>
      <c r="M3832" s="5"/>
    </row>
    <row r="3833" spans="12:13" x14ac:dyDescent="0.2">
      <c r="L3833" s="5"/>
      <c r="M3833" s="5"/>
    </row>
    <row r="3834" spans="12:13" x14ac:dyDescent="0.2">
      <c r="L3834" s="5"/>
      <c r="M3834" s="5"/>
    </row>
    <row r="3835" spans="12:13" x14ac:dyDescent="0.2">
      <c r="L3835" s="5"/>
      <c r="M3835" s="5"/>
    </row>
    <row r="3836" spans="12:13" x14ac:dyDescent="0.2">
      <c r="L3836" s="5"/>
      <c r="M3836" s="5"/>
    </row>
    <row r="3837" spans="12:13" x14ac:dyDescent="0.2">
      <c r="L3837" s="5"/>
      <c r="M3837" s="5"/>
    </row>
    <row r="3838" spans="12:13" x14ac:dyDescent="0.2">
      <c r="L3838" s="5"/>
      <c r="M3838" s="5"/>
    </row>
    <row r="3839" spans="12:13" x14ac:dyDescent="0.2">
      <c r="L3839" s="5"/>
      <c r="M3839" s="5"/>
    </row>
    <row r="3840" spans="12:13" x14ac:dyDescent="0.2">
      <c r="L3840" s="5"/>
      <c r="M3840" s="5"/>
    </row>
    <row r="3841" spans="12:13" x14ac:dyDescent="0.2">
      <c r="L3841" s="5"/>
      <c r="M3841" s="5"/>
    </row>
    <row r="3842" spans="12:13" x14ac:dyDescent="0.2">
      <c r="L3842" s="5"/>
      <c r="M3842" s="5"/>
    </row>
    <row r="3843" spans="12:13" x14ac:dyDescent="0.2">
      <c r="L3843" s="5"/>
      <c r="M3843" s="5"/>
    </row>
    <row r="3844" spans="12:13" x14ac:dyDescent="0.2">
      <c r="L3844" s="5"/>
      <c r="M3844" s="5"/>
    </row>
    <row r="3845" spans="12:13" x14ac:dyDescent="0.2">
      <c r="L3845" s="5"/>
      <c r="M3845" s="5"/>
    </row>
    <row r="3846" spans="12:13" x14ac:dyDescent="0.2">
      <c r="L3846" s="5"/>
      <c r="M3846" s="5"/>
    </row>
    <row r="3847" spans="12:13" x14ac:dyDescent="0.2">
      <c r="L3847" s="5"/>
      <c r="M3847" s="5"/>
    </row>
    <row r="3848" spans="12:13" x14ac:dyDescent="0.2">
      <c r="L3848" s="5"/>
      <c r="M3848" s="5"/>
    </row>
    <row r="3849" spans="12:13" x14ac:dyDescent="0.2">
      <c r="L3849" s="5"/>
      <c r="M3849" s="5"/>
    </row>
    <row r="3850" spans="12:13" x14ac:dyDescent="0.2">
      <c r="L3850" s="5"/>
      <c r="M3850" s="5"/>
    </row>
    <row r="3851" spans="12:13" x14ac:dyDescent="0.2">
      <c r="L3851" s="5"/>
      <c r="M3851" s="5"/>
    </row>
    <row r="3852" spans="12:13" x14ac:dyDescent="0.2">
      <c r="L3852" s="5"/>
      <c r="M3852" s="5"/>
    </row>
    <row r="3853" spans="12:13" x14ac:dyDescent="0.2">
      <c r="L3853" s="5"/>
      <c r="M3853" s="5"/>
    </row>
    <row r="3854" spans="12:13" x14ac:dyDescent="0.2">
      <c r="L3854" s="5"/>
      <c r="M3854" s="5"/>
    </row>
    <row r="3855" spans="12:13" x14ac:dyDescent="0.2">
      <c r="L3855" s="5"/>
      <c r="M3855" s="5"/>
    </row>
    <row r="3856" spans="12:13" x14ac:dyDescent="0.2">
      <c r="L3856" s="5"/>
      <c r="M3856" s="5"/>
    </row>
    <row r="3857" spans="12:13" x14ac:dyDescent="0.2">
      <c r="L3857" s="5"/>
      <c r="M3857" s="5"/>
    </row>
    <row r="3858" spans="12:13" x14ac:dyDescent="0.2">
      <c r="L3858" s="5"/>
      <c r="M3858" s="5"/>
    </row>
    <row r="3859" spans="12:13" x14ac:dyDescent="0.2">
      <c r="L3859" s="5"/>
      <c r="M3859" s="5"/>
    </row>
    <row r="3860" spans="12:13" x14ac:dyDescent="0.2">
      <c r="L3860" s="5"/>
      <c r="M3860" s="5"/>
    </row>
    <row r="3861" spans="12:13" x14ac:dyDescent="0.2">
      <c r="L3861" s="5"/>
      <c r="M3861" s="5"/>
    </row>
    <row r="3862" spans="12:13" x14ac:dyDescent="0.2">
      <c r="L3862" s="5"/>
      <c r="M3862" s="5"/>
    </row>
    <row r="3863" spans="12:13" x14ac:dyDescent="0.2">
      <c r="L3863" s="5"/>
      <c r="M3863" s="5"/>
    </row>
    <row r="3864" spans="12:13" x14ac:dyDescent="0.2">
      <c r="L3864" s="5"/>
      <c r="M3864" s="5"/>
    </row>
    <row r="3865" spans="12:13" x14ac:dyDescent="0.2">
      <c r="L3865" s="5"/>
      <c r="M3865" s="5"/>
    </row>
    <row r="3866" spans="12:13" x14ac:dyDescent="0.2">
      <c r="L3866" s="5"/>
      <c r="M3866" s="5"/>
    </row>
    <row r="3867" spans="12:13" x14ac:dyDescent="0.2">
      <c r="L3867" s="5"/>
      <c r="M3867" s="5"/>
    </row>
    <row r="3868" spans="12:13" x14ac:dyDescent="0.2">
      <c r="L3868" s="5"/>
      <c r="M3868" s="5"/>
    </row>
    <row r="3869" spans="12:13" x14ac:dyDescent="0.2">
      <c r="L3869" s="5"/>
      <c r="M3869" s="5"/>
    </row>
    <row r="3870" spans="12:13" x14ac:dyDescent="0.2">
      <c r="L3870" s="5"/>
      <c r="M3870" s="5"/>
    </row>
    <row r="3871" spans="12:13" x14ac:dyDescent="0.2">
      <c r="L3871" s="5"/>
      <c r="M3871" s="5"/>
    </row>
    <row r="3872" spans="12:13" x14ac:dyDescent="0.2">
      <c r="L3872" s="5"/>
      <c r="M3872" s="5"/>
    </row>
    <row r="3873" spans="12:13" x14ac:dyDescent="0.2">
      <c r="L3873" s="5"/>
      <c r="M3873" s="5"/>
    </row>
    <row r="3874" spans="12:13" x14ac:dyDescent="0.2">
      <c r="L3874" s="5"/>
      <c r="M3874" s="5"/>
    </row>
    <row r="3875" spans="12:13" x14ac:dyDescent="0.2">
      <c r="L3875" s="5"/>
      <c r="M3875" s="5"/>
    </row>
    <row r="3876" spans="12:13" x14ac:dyDescent="0.2">
      <c r="L3876" s="5"/>
      <c r="M3876" s="5"/>
    </row>
    <row r="3877" spans="12:13" x14ac:dyDescent="0.2">
      <c r="L3877" s="5"/>
      <c r="M3877" s="5"/>
    </row>
    <row r="3878" spans="12:13" x14ac:dyDescent="0.2">
      <c r="L3878" s="5"/>
      <c r="M3878" s="5"/>
    </row>
    <row r="3879" spans="12:13" x14ac:dyDescent="0.2">
      <c r="L3879" s="5"/>
      <c r="M3879" s="5"/>
    </row>
    <row r="3880" spans="12:13" x14ac:dyDescent="0.2">
      <c r="L3880" s="5"/>
      <c r="M3880" s="5"/>
    </row>
    <row r="3881" spans="12:13" x14ac:dyDescent="0.2">
      <c r="L3881" s="5"/>
      <c r="M3881" s="5"/>
    </row>
    <row r="3882" spans="12:13" x14ac:dyDescent="0.2">
      <c r="L3882" s="5"/>
      <c r="M3882" s="5"/>
    </row>
    <row r="3883" spans="12:13" x14ac:dyDescent="0.2">
      <c r="L3883" s="5"/>
      <c r="M3883" s="5"/>
    </row>
    <row r="3884" spans="12:13" x14ac:dyDescent="0.2">
      <c r="L3884" s="5"/>
      <c r="M3884" s="5"/>
    </row>
    <row r="3885" spans="12:13" x14ac:dyDescent="0.2">
      <c r="L3885" s="5"/>
      <c r="M3885" s="5"/>
    </row>
    <row r="3886" spans="12:13" x14ac:dyDescent="0.2">
      <c r="L3886" s="5"/>
      <c r="M3886" s="5"/>
    </row>
    <row r="3887" spans="12:13" x14ac:dyDescent="0.2">
      <c r="L3887" s="5"/>
      <c r="M3887" s="5"/>
    </row>
    <row r="3888" spans="12:13" x14ac:dyDescent="0.2">
      <c r="L3888" s="5"/>
      <c r="M3888" s="5"/>
    </row>
    <row r="3889" spans="12:13" x14ac:dyDescent="0.2">
      <c r="L3889" s="5"/>
      <c r="M3889" s="5"/>
    </row>
    <row r="3890" spans="12:13" x14ac:dyDescent="0.2">
      <c r="L3890" s="5"/>
      <c r="M3890" s="5"/>
    </row>
    <row r="3891" spans="12:13" x14ac:dyDescent="0.2">
      <c r="L3891" s="5"/>
      <c r="M3891" s="5"/>
    </row>
    <row r="3892" spans="12:13" x14ac:dyDescent="0.2">
      <c r="L3892" s="5"/>
      <c r="M3892" s="5"/>
    </row>
    <row r="3893" spans="12:13" x14ac:dyDescent="0.2">
      <c r="L3893" s="5"/>
      <c r="M3893" s="5"/>
    </row>
    <row r="3894" spans="12:13" x14ac:dyDescent="0.2">
      <c r="L3894" s="5"/>
      <c r="M3894" s="5"/>
    </row>
    <row r="3895" spans="12:13" x14ac:dyDescent="0.2">
      <c r="L3895" s="5"/>
      <c r="M3895" s="5"/>
    </row>
    <row r="3896" spans="12:13" x14ac:dyDescent="0.2">
      <c r="L3896" s="5"/>
      <c r="M3896" s="5"/>
    </row>
    <row r="3897" spans="12:13" x14ac:dyDescent="0.2">
      <c r="L3897" s="5"/>
      <c r="M3897" s="5"/>
    </row>
    <row r="3898" spans="12:13" x14ac:dyDescent="0.2">
      <c r="L3898" s="5"/>
      <c r="M3898" s="5"/>
    </row>
    <row r="3899" spans="12:13" x14ac:dyDescent="0.2">
      <c r="L3899" s="5"/>
      <c r="M3899" s="5"/>
    </row>
    <row r="3900" spans="12:13" x14ac:dyDescent="0.2">
      <c r="L3900" s="5"/>
      <c r="M3900" s="5"/>
    </row>
    <row r="3901" spans="12:13" x14ac:dyDescent="0.2">
      <c r="L3901" s="5"/>
      <c r="M3901" s="5"/>
    </row>
    <row r="3902" spans="12:13" x14ac:dyDescent="0.2">
      <c r="L3902" s="5"/>
      <c r="M3902" s="5"/>
    </row>
    <row r="3903" spans="12:13" x14ac:dyDescent="0.2">
      <c r="L3903" s="5"/>
      <c r="M3903" s="5"/>
    </row>
    <row r="3904" spans="12:13" x14ac:dyDescent="0.2">
      <c r="L3904" s="5"/>
      <c r="M3904" s="5"/>
    </row>
    <row r="3905" spans="12:13" x14ac:dyDescent="0.2">
      <c r="L3905" s="5"/>
      <c r="M3905" s="5"/>
    </row>
    <row r="3906" spans="12:13" x14ac:dyDescent="0.2">
      <c r="L3906" s="5"/>
      <c r="M3906" s="5"/>
    </row>
    <row r="3907" spans="12:13" x14ac:dyDescent="0.2">
      <c r="L3907" s="5"/>
      <c r="M3907" s="5"/>
    </row>
    <row r="3908" spans="12:13" x14ac:dyDescent="0.2">
      <c r="L3908" s="5"/>
      <c r="M3908" s="5"/>
    </row>
    <row r="3909" spans="12:13" x14ac:dyDescent="0.2">
      <c r="L3909" s="5"/>
      <c r="M3909" s="5"/>
    </row>
    <row r="3910" spans="12:13" x14ac:dyDescent="0.2">
      <c r="L3910" s="5"/>
      <c r="M3910" s="5"/>
    </row>
    <row r="3911" spans="12:13" x14ac:dyDescent="0.2">
      <c r="L3911" s="5"/>
      <c r="M3911" s="5"/>
    </row>
    <row r="3912" spans="12:13" x14ac:dyDescent="0.2">
      <c r="L3912" s="5"/>
      <c r="M3912" s="5"/>
    </row>
    <row r="3913" spans="12:13" x14ac:dyDescent="0.2">
      <c r="L3913" s="5"/>
      <c r="M3913" s="5"/>
    </row>
    <row r="3914" spans="12:13" x14ac:dyDescent="0.2">
      <c r="L3914" s="5"/>
      <c r="M3914" s="5"/>
    </row>
    <row r="3915" spans="12:13" x14ac:dyDescent="0.2">
      <c r="L3915" s="5"/>
      <c r="M3915" s="5"/>
    </row>
    <row r="3916" spans="12:13" x14ac:dyDescent="0.2">
      <c r="L3916" s="5"/>
      <c r="M3916" s="5"/>
    </row>
    <row r="3917" spans="12:13" x14ac:dyDescent="0.2">
      <c r="L3917" s="5"/>
      <c r="M3917" s="5"/>
    </row>
    <row r="3918" spans="12:13" x14ac:dyDescent="0.2">
      <c r="L3918" s="5"/>
      <c r="M3918" s="5"/>
    </row>
    <row r="3919" spans="12:13" x14ac:dyDescent="0.2">
      <c r="L3919" s="5"/>
      <c r="M3919" s="5"/>
    </row>
    <row r="3920" spans="12:13" x14ac:dyDescent="0.2">
      <c r="L3920" s="5"/>
      <c r="M3920" s="5"/>
    </row>
    <row r="3921" spans="12:13" x14ac:dyDescent="0.2">
      <c r="L3921" s="5"/>
      <c r="M3921" s="5"/>
    </row>
    <row r="3922" spans="12:13" x14ac:dyDescent="0.2">
      <c r="L3922" s="5"/>
      <c r="M3922" s="5"/>
    </row>
    <row r="3923" spans="12:13" x14ac:dyDescent="0.2">
      <c r="L3923" s="5"/>
      <c r="M3923" s="5"/>
    </row>
    <row r="3924" spans="12:13" x14ac:dyDescent="0.2">
      <c r="L3924" s="5"/>
      <c r="M3924" s="5"/>
    </row>
    <row r="3925" spans="12:13" x14ac:dyDescent="0.2">
      <c r="L3925" s="5"/>
      <c r="M3925" s="5"/>
    </row>
    <row r="3926" spans="12:13" x14ac:dyDescent="0.2">
      <c r="L3926" s="5"/>
      <c r="M3926" s="5"/>
    </row>
    <row r="3927" spans="12:13" x14ac:dyDescent="0.2">
      <c r="L3927" s="5"/>
      <c r="M3927" s="5"/>
    </row>
    <row r="3928" spans="12:13" x14ac:dyDescent="0.2">
      <c r="L3928" s="5"/>
      <c r="M3928" s="5"/>
    </row>
    <row r="3929" spans="12:13" x14ac:dyDescent="0.2">
      <c r="L3929" s="5"/>
      <c r="M3929" s="5"/>
    </row>
    <row r="3930" spans="12:13" x14ac:dyDescent="0.2">
      <c r="L3930" s="5"/>
      <c r="M3930" s="5"/>
    </row>
    <row r="3931" spans="12:13" x14ac:dyDescent="0.2">
      <c r="L3931" s="5"/>
      <c r="M3931" s="5"/>
    </row>
    <row r="3932" spans="12:13" x14ac:dyDescent="0.2">
      <c r="L3932" s="5"/>
      <c r="M3932" s="5"/>
    </row>
    <row r="3933" spans="12:13" x14ac:dyDescent="0.2">
      <c r="L3933" s="5"/>
      <c r="M3933" s="5"/>
    </row>
    <row r="3934" spans="12:13" x14ac:dyDescent="0.2">
      <c r="L3934" s="5"/>
      <c r="M3934" s="5"/>
    </row>
    <row r="3935" spans="12:13" x14ac:dyDescent="0.2">
      <c r="L3935" s="5"/>
      <c r="M3935" s="5"/>
    </row>
    <row r="3936" spans="12:13" x14ac:dyDescent="0.2">
      <c r="L3936" s="5"/>
      <c r="M3936" s="5"/>
    </row>
    <row r="3937" spans="12:13" x14ac:dyDescent="0.2">
      <c r="L3937" s="5"/>
      <c r="M3937" s="5"/>
    </row>
    <row r="3938" spans="12:13" x14ac:dyDescent="0.2">
      <c r="L3938" s="5"/>
      <c r="M3938" s="5"/>
    </row>
    <row r="3939" spans="12:13" x14ac:dyDescent="0.2">
      <c r="L3939" s="5"/>
      <c r="M3939" s="5"/>
    </row>
    <row r="3940" spans="12:13" x14ac:dyDescent="0.2">
      <c r="L3940" s="5"/>
      <c r="M3940" s="5"/>
    </row>
    <row r="3941" spans="12:13" x14ac:dyDescent="0.2">
      <c r="L3941" s="5"/>
      <c r="M3941" s="5"/>
    </row>
    <row r="3942" spans="12:13" x14ac:dyDescent="0.2">
      <c r="L3942" s="5"/>
      <c r="M3942" s="5"/>
    </row>
    <row r="3943" spans="12:13" x14ac:dyDescent="0.2">
      <c r="L3943" s="5"/>
      <c r="M3943" s="5"/>
    </row>
    <row r="3944" spans="12:13" x14ac:dyDescent="0.2">
      <c r="L3944" s="5"/>
      <c r="M3944" s="5"/>
    </row>
    <row r="3945" spans="12:13" x14ac:dyDescent="0.2">
      <c r="L3945" s="5"/>
      <c r="M3945" s="5"/>
    </row>
    <row r="3946" spans="12:13" x14ac:dyDescent="0.2">
      <c r="L3946" s="5"/>
      <c r="M3946" s="5"/>
    </row>
    <row r="3947" spans="12:13" x14ac:dyDescent="0.2">
      <c r="L3947" s="5"/>
      <c r="M3947" s="5"/>
    </row>
    <row r="3948" spans="12:13" x14ac:dyDescent="0.2">
      <c r="L3948" s="5"/>
      <c r="M3948" s="5"/>
    </row>
    <row r="3949" spans="12:13" x14ac:dyDescent="0.2">
      <c r="L3949" s="5"/>
      <c r="M3949" s="5"/>
    </row>
    <row r="3950" spans="12:13" x14ac:dyDescent="0.2">
      <c r="L3950" s="5"/>
      <c r="M3950" s="5"/>
    </row>
    <row r="3951" spans="12:13" x14ac:dyDescent="0.2">
      <c r="L3951" s="5"/>
      <c r="M3951" s="5"/>
    </row>
    <row r="3952" spans="12:13" x14ac:dyDescent="0.2">
      <c r="L3952" s="5"/>
      <c r="M3952" s="5"/>
    </row>
    <row r="3953" spans="12:13" x14ac:dyDescent="0.2">
      <c r="L3953" s="5"/>
      <c r="M3953" s="5"/>
    </row>
    <row r="3954" spans="12:13" x14ac:dyDescent="0.2">
      <c r="L3954" s="5"/>
      <c r="M3954" s="5"/>
    </row>
    <row r="3955" spans="12:13" x14ac:dyDescent="0.2">
      <c r="L3955" s="5"/>
      <c r="M3955" s="5"/>
    </row>
    <row r="3956" spans="12:13" x14ac:dyDescent="0.2">
      <c r="L3956" s="5"/>
      <c r="M3956" s="5"/>
    </row>
    <row r="3957" spans="12:13" x14ac:dyDescent="0.2">
      <c r="L3957" s="5"/>
      <c r="M3957" s="5"/>
    </row>
    <row r="3958" spans="12:13" x14ac:dyDescent="0.2">
      <c r="L3958" s="5"/>
      <c r="M3958" s="5"/>
    </row>
    <row r="3959" spans="12:13" x14ac:dyDescent="0.2">
      <c r="L3959" s="5"/>
      <c r="M3959" s="5"/>
    </row>
    <row r="3960" spans="12:13" x14ac:dyDescent="0.2">
      <c r="L3960" s="5"/>
      <c r="M3960" s="5"/>
    </row>
    <row r="3961" spans="12:13" x14ac:dyDescent="0.2">
      <c r="L3961" s="5"/>
      <c r="M3961" s="5"/>
    </row>
    <row r="3962" spans="12:13" x14ac:dyDescent="0.2">
      <c r="L3962" s="5"/>
      <c r="M3962" s="5"/>
    </row>
    <row r="3963" spans="12:13" x14ac:dyDescent="0.2">
      <c r="L3963" s="5"/>
      <c r="M3963" s="5"/>
    </row>
    <row r="3964" spans="12:13" x14ac:dyDescent="0.2">
      <c r="L3964" s="5"/>
      <c r="M3964" s="5"/>
    </row>
    <row r="3965" spans="12:13" x14ac:dyDescent="0.2">
      <c r="L3965" s="5"/>
      <c r="M3965" s="5"/>
    </row>
    <row r="3966" spans="12:13" x14ac:dyDescent="0.2">
      <c r="L3966" s="5"/>
      <c r="M3966" s="5"/>
    </row>
    <row r="3967" spans="12:13" x14ac:dyDescent="0.2">
      <c r="L3967" s="5"/>
      <c r="M3967" s="5"/>
    </row>
    <row r="3968" spans="12:13" x14ac:dyDescent="0.2">
      <c r="L3968" s="5"/>
      <c r="M3968" s="5"/>
    </row>
    <row r="3969" spans="12:13" x14ac:dyDescent="0.2">
      <c r="L3969" s="5"/>
      <c r="M3969" s="5"/>
    </row>
    <row r="3970" spans="12:13" x14ac:dyDescent="0.2">
      <c r="L3970" s="5"/>
      <c r="M3970" s="5"/>
    </row>
    <row r="3971" spans="12:13" x14ac:dyDescent="0.2">
      <c r="L3971" s="5"/>
      <c r="M3971" s="5"/>
    </row>
    <row r="3972" spans="12:13" x14ac:dyDescent="0.2">
      <c r="L3972" s="5"/>
      <c r="M3972" s="5"/>
    </row>
    <row r="3973" spans="12:13" x14ac:dyDescent="0.2">
      <c r="L3973" s="5"/>
      <c r="M3973" s="5"/>
    </row>
    <row r="3974" spans="12:13" x14ac:dyDescent="0.2">
      <c r="L3974" s="5"/>
      <c r="M3974" s="5"/>
    </row>
    <row r="3975" spans="12:13" x14ac:dyDescent="0.2">
      <c r="L3975" s="5"/>
      <c r="M3975" s="5"/>
    </row>
    <row r="3976" spans="12:13" x14ac:dyDescent="0.2">
      <c r="L3976" s="5"/>
      <c r="M3976" s="5"/>
    </row>
    <row r="3977" spans="12:13" x14ac:dyDescent="0.2">
      <c r="L3977" s="5"/>
      <c r="M3977" s="5"/>
    </row>
    <row r="3978" spans="12:13" x14ac:dyDescent="0.2">
      <c r="L3978" s="5"/>
      <c r="M3978" s="5"/>
    </row>
    <row r="3979" spans="12:13" x14ac:dyDescent="0.2">
      <c r="L3979" s="5"/>
      <c r="M3979" s="5"/>
    </row>
    <row r="3980" spans="12:13" x14ac:dyDescent="0.2">
      <c r="L3980" s="5"/>
      <c r="M3980" s="5"/>
    </row>
    <row r="3981" spans="12:13" x14ac:dyDescent="0.2">
      <c r="L3981" s="5"/>
      <c r="M3981" s="5"/>
    </row>
    <row r="3982" spans="12:13" x14ac:dyDescent="0.2">
      <c r="L3982" s="5"/>
      <c r="M3982" s="5"/>
    </row>
    <row r="3983" spans="12:13" x14ac:dyDescent="0.2">
      <c r="L3983" s="5"/>
      <c r="M3983" s="5"/>
    </row>
    <row r="3984" spans="12:13" x14ac:dyDescent="0.2">
      <c r="L3984" s="5"/>
      <c r="M3984" s="5"/>
    </row>
    <row r="3985" spans="12:13" x14ac:dyDescent="0.2">
      <c r="L3985" s="5"/>
      <c r="M3985" s="5"/>
    </row>
    <row r="3986" spans="12:13" x14ac:dyDescent="0.2">
      <c r="L3986" s="5"/>
      <c r="M3986" s="5"/>
    </row>
    <row r="3987" spans="12:13" x14ac:dyDescent="0.2">
      <c r="L3987" s="5"/>
      <c r="M3987" s="5"/>
    </row>
    <row r="3988" spans="12:13" x14ac:dyDescent="0.2">
      <c r="L3988" s="5"/>
      <c r="M3988" s="5"/>
    </row>
    <row r="3989" spans="12:13" x14ac:dyDescent="0.2">
      <c r="L3989" s="5"/>
      <c r="M3989" s="5"/>
    </row>
    <row r="3990" spans="12:13" x14ac:dyDescent="0.2">
      <c r="L3990" s="5"/>
      <c r="M3990" s="5"/>
    </row>
    <row r="3991" spans="12:13" x14ac:dyDescent="0.2">
      <c r="L3991" s="5"/>
      <c r="M3991" s="5"/>
    </row>
    <row r="3992" spans="12:13" x14ac:dyDescent="0.2">
      <c r="L3992" s="5"/>
      <c r="M3992" s="5"/>
    </row>
    <row r="3993" spans="12:13" x14ac:dyDescent="0.2">
      <c r="L3993" s="5"/>
      <c r="M3993" s="5"/>
    </row>
    <row r="3994" spans="12:13" x14ac:dyDescent="0.2">
      <c r="L3994" s="5"/>
      <c r="M3994" s="5"/>
    </row>
    <row r="3995" spans="12:13" x14ac:dyDescent="0.2">
      <c r="L3995" s="5"/>
      <c r="M3995" s="5"/>
    </row>
    <row r="3996" spans="12:13" x14ac:dyDescent="0.2">
      <c r="L3996" s="5"/>
      <c r="M3996" s="5"/>
    </row>
    <row r="3997" spans="12:13" x14ac:dyDescent="0.2">
      <c r="L3997" s="5"/>
      <c r="M3997" s="5"/>
    </row>
    <row r="3998" spans="12:13" x14ac:dyDescent="0.2">
      <c r="L3998" s="5"/>
      <c r="M3998" s="5"/>
    </row>
    <row r="3999" spans="12:13" x14ac:dyDescent="0.2">
      <c r="L3999" s="5"/>
      <c r="M3999" s="5"/>
    </row>
    <row r="4000" spans="12:13" x14ac:dyDescent="0.2">
      <c r="L4000" s="5"/>
      <c r="M4000" s="5"/>
    </row>
    <row r="4001" spans="12:13" x14ac:dyDescent="0.2">
      <c r="L4001" s="5"/>
      <c r="M4001" s="5"/>
    </row>
    <row r="4002" spans="12:13" x14ac:dyDescent="0.2">
      <c r="L4002" s="5"/>
      <c r="M4002" s="5"/>
    </row>
    <row r="4003" spans="12:13" x14ac:dyDescent="0.2">
      <c r="L4003" s="5"/>
      <c r="M4003" s="5"/>
    </row>
    <row r="4004" spans="12:13" x14ac:dyDescent="0.2">
      <c r="L4004" s="5"/>
      <c r="M4004" s="5"/>
    </row>
    <row r="4005" spans="12:13" x14ac:dyDescent="0.2">
      <c r="L4005" s="5"/>
      <c r="M4005" s="5"/>
    </row>
    <row r="4006" spans="12:13" x14ac:dyDescent="0.2">
      <c r="L4006" s="5"/>
      <c r="M4006" s="5"/>
    </row>
    <row r="4007" spans="12:13" x14ac:dyDescent="0.2">
      <c r="L4007" s="5"/>
      <c r="M4007" s="5"/>
    </row>
    <row r="4008" spans="12:13" x14ac:dyDescent="0.2">
      <c r="L4008" s="5"/>
      <c r="M4008" s="5"/>
    </row>
    <row r="4009" spans="12:13" x14ac:dyDescent="0.2">
      <c r="L4009" s="5"/>
      <c r="M4009" s="5"/>
    </row>
    <row r="4010" spans="12:13" x14ac:dyDescent="0.2">
      <c r="L4010" s="5"/>
      <c r="M4010" s="5"/>
    </row>
    <row r="4011" spans="12:13" x14ac:dyDescent="0.2">
      <c r="L4011" s="5"/>
      <c r="M4011" s="5"/>
    </row>
    <row r="4012" spans="12:13" x14ac:dyDescent="0.2">
      <c r="L4012" s="5"/>
      <c r="M4012" s="5"/>
    </row>
    <row r="4013" spans="12:13" x14ac:dyDescent="0.2">
      <c r="L4013" s="5"/>
      <c r="M4013" s="5"/>
    </row>
    <row r="4014" spans="12:13" x14ac:dyDescent="0.2">
      <c r="L4014" s="5"/>
      <c r="M4014" s="5"/>
    </row>
    <row r="4015" spans="12:13" x14ac:dyDescent="0.2">
      <c r="L4015" s="5"/>
      <c r="M4015" s="5"/>
    </row>
    <row r="4016" spans="12:13" x14ac:dyDescent="0.2">
      <c r="L4016" s="5"/>
      <c r="M4016" s="5"/>
    </row>
    <row r="4017" spans="12:13" x14ac:dyDescent="0.2">
      <c r="L4017" s="5"/>
      <c r="M4017" s="5"/>
    </row>
    <row r="4018" spans="12:13" x14ac:dyDescent="0.2">
      <c r="L4018" s="5"/>
      <c r="M4018" s="5"/>
    </row>
    <row r="4019" spans="12:13" x14ac:dyDescent="0.2">
      <c r="L4019" s="5"/>
      <c r="M4019" s="5"/>
    </row>
    <row r="4020" spans="12:13" x14ac:dyDescent="0.2">
      <c r="L4020" s="5"/>
      <c r="M4020" s="5"/>
    </row>
    <row r="4021" spans="12:13" x14ac:dyDescent="0.2">
      <c r="L4021" s="5"/>
      <c r="M4021" s="5"/>
    </row>
    <row r="4022" spans="12:13" x14ac:dyDescent="0.2">
      <c r="L4022" s="5"/>
      <c r="M4022" s="5"/>
    </row>
    <row r="4023" spans="12:13" x14ac:dyDescent="0.2">
      <c r="L4023" s="5"/>
      <c r="M4023" s="5"/>
    </row>
    <row r="4024" spans="12:13" x14ac:dyDescent="0.2">
      <c r="L4024" s="5"/>
      <c r="M4024" s="5"/>
    </row>
    <row r="4025" spans="12:13" x14ac:dyDescent="0.2">
      <c r="L4025" s="5"/>
      <c r="M4025" s="5"/>
    </row>
    <row r="4026" spans="12:13" x14ac:dyDescent="0.2">
      <c r="L4026" s="5"/>
      <c r="M4026" s="5"/>
    </row>
    <row r="4027" spans="12:13" x14ac:dyDescent="0.2">
      <c r="L4027" s="5"/>
      <c r="M4027" s="5"/>
    </row>
    <row r="4028" spans="12:13" x14ac:dyDescent="0.2">
      <c r="L4028" s="5"/>
      <c r="M4028" s="5"/>
    </row>
    <row r="4029" spans="12:13" x14ac:dyDescent="0.2">
      <c r="L4029" s="5"/>
      <c r="M4029" s="5"/>
    </row>
    <row r="4030" spans="12:13" x14ac:dyDescent="0.2">
      <c r="L4030" s="5"/>
      <c r="M4030" s="5"/>
    </row>
    <row r="4031" spans="12:13" x14ac:dyDescent="0.2">
      <c r="L4031" s="5"/>
      <c r="M4031" s="5"/>
    </row>
    <row r="4032" spans="12:13" x14ac:dyDescent="0.2">
      <c r="L4032" s="5"/>
      <c r="M4032" s="5"/>
    </row>
    <row r="4033" spans="12:13" x14ac:dyDescent="0.2">
      <c r="L4033" s="5"/>
      <c r="M4033" s="5"/>
    </row>
    <row r="4034" spans="12:13" x14ac:dyDescent="0.2">
      <c r="L4034" s="5"/>
      <c r="M4034" s="5"/>
    </row>
    <row r="4035" spans="12:13" x14ac:dyDescent="0.2">
      <c r="L4035" s="5"/>
      <c r="M4035" s="5"/>
    </row>
    <row r="4036" spans="12:13" x14ac:dyDescent="0.2">
      <c r="L4036" s="5"/>
      <c r="M4036" s="5"/>
    </row>
    <row r="4037" spans="12:13" x14ac:dyDescent="0.2">
      <c r="L4037" s="5"/>
      <c r="M4037" s="5"/>
    </row>
    <row r="4038" spans="12:13" x14ac:dyDescent="0.2">
      <c r="L4038" s="5"/>
      <c r="M4038" s="5"/>
    </row>
    <row r="4039" spans="12:13" x14ac:dyDescent="0.2">
      <c r="L4039" s="5"/>
      <c r="M4039" s="5"/>
    </row>
    <row r="4040" spans="12:13" x14ac:dyDescent="0.2">
      <c r="L4040" s="5"/>
      <c r="M4040" s="5"/>
    </row>
    <row r="4041" spans="12:13" x14ac:dyDescent="0.2">
      <c r="L4041" s="5"/>
      <c r="M4041" s="5"/>
    </row>
    <row r="4042" spans="12:13" x14ac:dyDescent="0.2">
      <c r="L4042" s="5"/>
      <c r="M4042" s="5"/>
    </row>
    <row r="4043" spans="12:13" x14ac:dyDescent="0.2">
      <c r="L4043" s="5"/>
      <c r="M4043" s="5"/>
    </row>
    <row r="4044" spans="12:13" x14ac:dyDescent="0.2">
      <c r="L4044" s="5"/>
      <c r="M4044" s="5"/>
    </row>
    <row r="4045" spans="12:13" x14ac:dyDescent="0.2">
      <c r="L4045" s="5"/>
      <c r="M4045" s="5"/>
    </row>
    <row r="4046" spans="12:13" x14ac:dyDescent="0.2">
      <c r="L4046" s="5"/>
      <c r="M4046" s="5"/>
    </row>
    <row r="4047" spans="12:13" x14ac:dyDescent="0.2">
      <c r="L4047" s="5"/>
      <c r="M4047" s="5"/>
    </row>
    <row r="4048" spans="12:13" x14ac:dyDescent="0.2">
      <c r="L4048" s="5"/>
      <c r="M4048" s="5"/>
    </row>
    <row r="4049" spans="12:13" x14ac:dyDescent="0.2">
      <c r="L4049" s="5"/>
      <c r="M4049" s="5"/>
    </row>
    <row r="4050" spans="12:13" x14ac:dyDescent="0.2">
      <c r="L4050" s="5"/>
      <c r="M4050" s="5"/>
    </row>
    <row r="4051" spans="12:13" x14ac:dyDescent="0.2">
      <c r="L4051" s="5"/>
      <c r="M4051" s="5"/>
    </row>
    <row r="4052" spans="12:13" x14ac:dyDescent="0.2">
      <c r="L4052" s="5"/>
      <c r="M4052" s="5"/>
    </row>
    <row r="4053" spans="12:13" x14ac:dyDescent="0.2">
      <c r="L4053" s="5"/>
      <c r="M4053" s="5"/>
    </row>
    <row r="4054" spans="12:13" x14ac:dyDescent="0.2">
      <c r="L4054" s="5"/>
      <c r="M4054" s="5"/>
    </row>
    <row r="4055" spans="12:13" x14ac:dyDescent="0.2">
      <c r="L4055" s="5"/>
      <c r="M4055" s="5"/>
    </row>
    <row r="4056" spans="12:13" x14ac:dyDescent="0.2">
      <c r="L4056" s="5"/>
      <c r="M4056" s="5"/>
    </row>
    <row r="4057" spans="12:13" x14ac:dyDescent="0.2">
      <c r="L4057" s="5"/>
      <c r="M4057" s="5"/>
    </row>
    <row r="4058" spans="12:13" x14ac:dyDescent="0.2">
      <c r="L4058" s="5"/>
      <c r="M4058" s="5"/>
    </row>
    <row r="4059" spans="12:13" x14ac:dyDescent="0.2">
      <c r="L4059" s="5"/>
      <c r="M4059" s="5"/>
    </row>
    <row r="4060" spans="12:13" x14ac:dyDescent="0.2">
      <c r="L4060" s="5"/>
      <c r="M4060" s="5"/>
    </row>
    <row r="4061" spans="12:13" x14ac:dyDescent="0.2">
      <c r="L4061" s="5"/>
      <c r="M4061" s="5"/>
    </row>
    <row r="4062" spans="12:13" x14ac:dyDescent="0.2">
      <c r="L4062" s="5"/>
      <c r="M4062" s="5"/>
    </row>
    <row r="4063" spans="12:13" x14ac:dyDescent="0.2">
      <c r="L4063" s="5"/>
      <c r="M4063" s="5"/>
    </row>
    <row r="4064" spans="12:13" x14ac:dyDescent="0.2">
      <c r="L4064" s="5"/>
      <c r="M4064" s="5"/>
    </row>
    <row r="4065" spans="12:13" x14ac:dyDescent="0.2">
      <c r="L4065" s="5"/>
      <c r="M4065" s="5"/>
    </row>
    <row r="4066" spans="12:13" x14ac:dyDescent="0.2">
      <c r="L4066" s="5"/>
      <c r="M4066" s="5"/>
    </row>
    <row r="4067" spans="12:13" x14ac:dyDescent="0.2">
      <c r="L4067" s="5"/>
      <c r="M4067" s="5"/>
    </row>
    <row r="4068" spans="12:13" x14ac:dyDescent="0.2">
      <c r="L4068" s="5"/>
      <c r="M4068" s="5"/>
    </row>
    <row r="4069" spans="12:13" x14ac:dyDescent="0.2">
      <c r="L4069" s="5"/>
      <c r="M4069" s="5"/>
    </row>
    <row r="4070" spans="12:13" x14ac:dyDescent="0.2">
      <c r="L4070" s="5"/>
      <c r="M4070" s="5"/>
    </row>
    <row r="4071" spans="12:13" x14ac:dyDescent="0.2">
      <c r="L4071" s="5"/>
      <c r="M4071" s="5"/>
    </row>
    <row r="4072" spans="12:13" x14ac:dyDescent="0.2">
      <c r="L4072" s="5"/>
      <c r="M4072" s="5"/>
    </row>
    <row r="4073" spans="12:13" x14ac:dyDescent="0.2">
      <c r="L4073" s="5"/>
      <c r="M4073" s="5"/>
    </row>
    <row r="4074" spans="12:13" x14ac:dyDescent="0.2">
      <c r="L4074" s="5"/>
      <c r="M4074" s="5"/>
    </row>
    <row r="4075" spans="12:13" x14ac:dyDescent="0.2">
      <c r="L4075" s="5"/>
      <c r="M4075" s="5"/>
    </row>
    <row r="4076" spans="12:13" x14ac:dyDescent="0.2">
      <c r="L4076" s="5"/>
      <c r="M4076" s="5"/>
    </row>
    <row r="4077" spans="12:13" x14ac:dyDescent="0.2">
      <c r="L4077" s="5"/>
      <c r="M4077" s="5"/>
    </row>
    <row r="4078" spans="12:13" x14ac:dyDescent="0.2">
      <c r="L4078" s="5"/>
      <c r="M4078" s="5"/>
    </row>
    <row r="4079" spans="12:13" x14ac:dyDescent="0.2">
      <c r="L4079" s="5"/>
      <c r="M4079" s="5"/>
    </row>
    <row r="4080" spans="12:13" x14ac:dyDescent="0.2">
      <c r="L4080" s="5"/>
      <c r="M4080" s="5"/>
    </row>
    <row r="4081" spans="12:13" x14ac:dyDescent="0.2">
      <c r="L4081" s="5"/>
      <c r="M4081" s="5"/>
    </row>
    <row r="4082" spans="12:13" x14ac:dyDescent="0.2">
      <c r="L4082" s="5"/>
      <c r="M4082" s="5"/>
    </row>
    <row r="4083" spans="12:13" x14ac:dyDescent="0.2">
      <c r="L4083" s="5"/>
      <c r="M4083" s="5"/>
    </row>
    <row r="4084" spans="12:13" x14ac:dyDescent="0.2">
      <c r="L4084" s="5"/>
      <c r="M4084" s="5"/>
    </row>
    <row r="4085" spans="12:13" x14ac:dyDescent="0.2">
      <c r="L4085" s="5"/>
      <c r="M4085" s="5"/>
    </row>
    <row r="4086" spans="12:13" x14ac:dyDescent="0.2">
      <c r="L4086" s="5"/>
      <c r="M4086" s="5"/>
    </row>
    <row r="4087" spans="12:13" x14ac:dyDescent="0.2">
      <c r="L4087" s="5"/>
      <c r="M4087" s="5"/>
    </row>
    <row r="4088" spans="12:13" x14ac:dyDescent="0.2">
      <c r="L4088" s="5"/>
      <c r="M4088" s="5"/>
    </row>
    <row r="4089" spans="12:13" x14ac:dyDescent="0.2">
      <c r="L4089" s="5"/>
      <c r="M4089" s="5"/>
    </row>
    <row r="4090" spans="12:13" x14ac:dyDescent="0.2">
      <c r="L4090" s="5"/>
      <c r="M4090" s="5"/>
    </row>
    <row r="4091" spans="12:13" x14ac:dyDescent="0.2">
      <c r="L4091" s="5"/>
      <c r="M4091" s="5"/>
    </row>
    <row r="4092" spans="12:13" x14ac:dyDescent="0.2">
      <c r="L4092" s="5"/>
      <c r="M4092" s="5"/>
    </row>
    <row r="4093" spans="12:13" x14ac:dyDescent="0.2">
      <c r="L4093" s="5"/>
      <c r="M4093" s="5"/>
    </row>
    <row r="4094" spans="12:13" x14ac:dyDescent="0.2">
      <c r="L4094" s="5"/>
      <c r="M4094" s="5"/>
    </row>
    <row r="4095" spans="12:13" x14ac:dyDescent="0.2">
      <c r="L4095" s="5"/>
      <c r="M4095" s="5"/>
    </row>
    <row r="4096" spans="12:13" x14ac:dyDescent="0.2">
      <c r="L4096" s="5"/>
      <c r="M4096" s="5"/>
    </row>
    <row r="4097" spans="12:13" x14ac:dyDescent="0.2">
      <c r="L4097" s="5"/>
      <c r="M4097" s="5"/>
    </row>
    <row r="4098" spans="12:13" x14ac:dyDescent="0.2">
      <c r="L4098" s="5"/>
      <c r="M4098" s="5"/>
    </row>
    <row r="4099" spans="12:13" x14ac:dyDescent="0.2">
      <c r="L4099" s="5"/>
      <c r="M4099" s="5"/>
    </row>
    <row r="4100" spans="12:13" x14ac:dyDescent="0.2">
      <c r="L4100" s="5"/>
      <c r="M4100" s="5"/>
    </row>
    <row r="4101" spans="12:13" x14ac:dyDescent="0.2">
      <c r="L4101" s="5"/>
      <c r="M4101" s="5"/>
    </row>
    <row r="4102" spans="12:13" x14ac:dyDescent="0.2">
      <c r="L4102" s="5"/>
      <c r="M4102" s="5"/>
    </row>
    <row r="4103" spans="12:13" x14ac:dyDescent="0.2">
      <c r="L4103" s="5"/>
      <c r="M4103" s="5"/>
    </row>
    <row r="4104" spans="12:13" x14ac:dyDescent="0.2">
      <c r="L4104" s="5"/>
      <c r="M4104" s="5"/>
    </row>
    <row r="4105" spans="12:13" x14ac:dyDescent="0.2">
      <c r="L4105" s="5"/>
      <c r="M4105" s="5"/>
    </row>
    <row r="4106" spans="12:13" x14ac:dyDescent="0.2">
      <c r="L4106" s="5"/>
      <c r="M4106" s="5"/>
    </row>
    <row r="4107" spans="12:13" x14ac:dyDescent="0.2">
      <c r="L4107" s="5"/>
      <c r="M4107" s="5"/>
    </row>
    <row r="4108" spans="12:13" x14ac:dyDescent="0.2">
      <c r="L4108" s="5"/>
      <c r="M4108" s="5"/>
    </row>
    <row r="4109" spans="12:13" x14ac:dyDescent="0.2">
      <c r="L4109" s="5"/>
      <c r="M4109" s="5"/>
    </row>
    <row r="4110" spans="12:13" x14ac:dyDescent="0.2">
      <c r="L4110" s="5"/>
      <c r="M4110" s="5"/>
    </row>
    <row r="4111" spans="12:13" x14ac:dyDescent="0.2">
      <c r="L4111" s="5"/>
      <c r="M4111" s="5"/>
    </row>
    <row r="4112" spans="12:13" x14ac:dyDescent="0.2">
      <c r="L4112" s="5"/>
      <c r="M4112" s="5"/>
    </row>
    <row r="4113" spans="12:13" x14ac:dyDescent="0.2">
      <c r="L4113" s="5"/>
      <c r="M4113" s="5"/>
    </row>
    <row r="4114" spans="12:13" x14ac:dyDescent="0.2">
      <c r="L4114" s="5"/>
      <c r="M4114" s="5"/>
    </row>
    <row r="4115" spans="12:13" x14ac:dyDescent="0.2">
      <c r="L4115" s="5"/>
      <c r="M4115" s="5"/>
    </row>
    <row r="4116" spans="12:13" x14ac:dyDescent="0.2">
      <c r="L4116" s="5"/>
      <c r="M4116" s="5"/>
    </row>
    <row r="4117" spans="12:13" x14ac:dyDescent="0.2">
      <c r="L4117" s="5"/>
      <c r="M4117" s="5"/>
    </row>
    <row r="4118" spans="12:13" x14ac:dyDescent="0.2">
      <c r="L4118" s="5"/>
      <c r="M4118" s="5"/>
    </row>
    <row r="4119" spans="12:13" x14ac:dyDescent="0.2">
      <c r="L4119" s="5"/>
      <c r="M4119" s="5"/>
    </row>
    <row r="4120" spans="12:13" x14ac:dyDescent="0.2">
      <c r="L4120" s="5"/>
      <c r="M4120" s="5"/>
    </row>
    <row r="4121" spans="12:13" x14ac:dyDescent="0.2">
      <c r="L4121" s="5"/>
      <c r="M4121" s="5"/>
    </row>
    <row r="4122" spans="12:13" x14ac:dyDescent="0.2">
      <c r="L4122" s="5"/>
      <c r="M4122" s="5"/>
    </row>
    <row r="4123" spans="12:13" x14ac:dyDescent="0.2">
      <c r="L4123" s="5"/>
      <c r="M4123" s="5"/>
    </row>
    <row r="4124" spans="12:13" x14ac:dyDescent="0.2">
      <c r="L4124" s="5"/>
      <c r="M4124" s="5"/>
    </row>
    <row r="4125" spans="12:13" x14ac:dyDescent="0.2">
      <c r="L4125" s="5"/>
      <c r="M4125" s="5"/>
    </row>
    <row r="4126" spans="12:13" x14ac:dyDescent="0.2">
      <c r="L4126" s="5"/>
      <c r="M4126" s="5"/>
    </row>
    <row r="4127" spans="12:13" x14ac:dyDescent="0.2">
      <c r="L4127" s="5"/>
      <c r="M4127" s="5"/>
    </row>
    <row r="4128" spans="12:13" x14ac:dyDescent="0.2">
      <c r="L4128" s="5"/>
      <c r="M4128" s="5"/>
    </row>
    <row r="4129" spans="12:13" x14ac:dyDescent="0.2">
      <c r="L4129" s="5"/>
      <c r="M4129" s="5"/>
    </row>
    <row r="4130" spans="12:13" x14ac:dyDescent="0.2">
      <c r="L4130" s="5"/>
      <c r="M4130" s="5"/>
    </row>
    <row r="4131" spans="12:13" x14ac:dyDescent="0.2">
      <c r="L4131" s="5"/>
      <c r="M4131" s="5"/>
    </row>
    <row r="4132" spans="12:13" x14ac:dyDescent="0.2">
      <c r="L4132" s="5"/>
      <c r="M4132" s="5"/>
    </row>
    <row r="4133" spans="12:13" x14ac:dyDescent="0.2">
      <c r="L4133" s="5"/>
      <c r="M4133" s="5"/>
    </row>
    <row r="4134" spans="12:13" x14ac:dyDescent="0.2">
      <c r="L4134" s="5"/>
      <c r="M4134" s="5"/>
    </row>
    <row r="4135" spans="12:13" x14ac:dyDescent="0.2">
      <c r="L4135" s="5"/>
      <c r="M4135" s="5"/>
    </row>
    <row r="4136" spans="12:13" x14ac:dyDescent="0.2">
      <c r="L4136" s="5"/>
      <c r="M4136" s="5"/>
    </row>
    <row r="4137" spans="12:13" x14ac:dyDescent="0.2">
      <c r="L4137" s="5"/>
      <c r="M4137" s="5"/>
    </row>
    <row r="4138" spans="12:13" x14ac:dyDescent="0.2">
      <c r="L4138" s="5"/>
      <c r="M4138" s="5"/>
    </row>
    <row r="4139" spans="12:13" x14ac:dyDescent="0.2">
      <c r="L4139" s="5"/>
      <c r="M4139" s="5"/>
    </row>
    <row r="4140" spans="12:13" x14ac:dyDescent="0.2">
      <c r="L4140" s="5"/>
      <c r="M4140" s="5"/>
    </row>
    <row r="4141" spans="12:13" x14ac:dyDescent="0.2">
      <c r="L4141" s="5"/>
      <c r="M4141" s="5"/>
    </row>
    <row r="4142" spans="12:13" x14ac:dyDescent="0.2">
      <c r="L4142" s="5"/>
      <c r="M4142" s="5"/>
    </row>
    <row r="4143" spans="12:13" x14ac:dyDescent="0.2">
      <c r="L4143" s="5"/>
      <c r="M4143" s="5"/>
    </row>
    <row r="4144" spans="12:13" x14ac:dyDescent="0.2">
      <c r="L4144" s="5"/>
      <c r="M4144" s="5"/>
    </row>
    <row r="4145" spans="12:13" x14ac:dyDescent="0.2">
      <c r="L4145" s="5"/>
      <c r="M4145" s="5"/>
    </row>
    <row r="4146" spans="12:13" x14ac:dyDescent="0.2">
      <c r="L4146" s="5"/>
      <c r="M4146" s="5"/>
    </row>
    <row r="4147" spans="12:13" x14ac:dyDescent="0.2">
      <c r="L4147" s="5"/>
      <c r="M4147" s="5"/>
    </row>
    <row r="4148" spans="12:13" x14ac:dyDescent="0.2">
      <c r="L4148" s="5"/>
      <c r="M4148" s="5"/>
    </row>
    <row r="4149" spans="12:13" x14ac:dyDescent="0.2">
      <c r="L4149" s="5"/>
      <c r="M4149" s="5"/>
    </row>
    <row r="4150" spans="12:13" x14ac:dyDescent="0.2">
      <c r="L4150" s="5"/>
      <c r="M4150" s="5"/>
    </row>
    <row r="4151" spans="12:13" x14ac:dyDescent="0.2">
      <c r="L4151" s="5"/>
      <c r="M4151" s="5"/>
    </row>
    <row r="4152" spans="12:13" x14ac:dyDescent="0.2">
      <c r="L4152" s="5"/>
      <c r="M4152" s="5"/>
    </row>
    <row r="4153" spans="12:13" x14ac:dyDescent="0.2">
      <c r="L4153" s="5"/>
      <c r="M4153" s="5"/>
    </row>
    <row r="4154" spans="12:13" x14ac:dyDescent="0.2">
      <c r="L4154" s="5"/>
      <c r="M4154" s="5"/>
    </row>
    <row r="4155" spans="12:13" x14ac:dyDescent="0.2">
      <c r="L4155" s="5"/>
      <c r="M4155" s="5"/>
    </row>
    <row r="4156" spans="12:13" x14ac:dyDescent="0.2">
      <c r="L4156" s="5"/>
      <c r="M4156" s="5"/>
    </row>
    <row r="4157" spans="12:13" x14ac:dyDescent="0.2">
      <c r="L4157" s="5"/>
      <c r="M4157" s="5"/>
    </row>
    <row r="4158" spans="12:13" x14ac:dyDescent="0.2">
      <c r="L4158" s="5"/>
      <c r="M4158" s="5"/>
    </row>
    <row r="4159" spans="12:13" x14ac:dyDescent="0.2">
      <c r="L4159" s="5"/>
      <c r="M4159" s="5"/>
    </row>
    <row r="4160" spans="12:13" x14ac:dyDescent="0.2">
      <c r="L4160" s="5"/>
      <c r="M4160" s="5"/>
    </row>
    <row r="4161" spans="12:13" x14ac:dyDescent="0.2">
      <c r="L4161" s="5"/>
      <c r="M4161" s="5"/>
    </row>
    <row r="4162" spans="12:13" x14ac:dyDescent="0.2">
      <c r="L4162" s="5"/>
      <c r="M4162" s="5"/>
    </row>
    <row r="4163" spans="12:13" x14ac:dyDescent="0.2">
      <c r="L4163" s="5"/>
      <c r="M4163" s="5"/>
    </row>
    <row r="4164" spans="12:13" x14ac:dyDescent="0.2">
      <c r="L4164" s="5"/>
      <c r="M4164" s="5"/>
    </row>
    <row r="4165" spans="12:13" x14ac:dyDescent="0.2">
      <c r="L4165" s="5"/>
      <c r="M4165" s="5"/>
    </row>
    <row r="4166" spans="12:13" x14ac:dyDescent="0.2">
      <c r="L4166" s="5"/>
      <c r="M4166" s="5"/>
    </row>
    <row r="4167" spans="12:13" x14ac:dyDescent="0.2">
      <c r="L4167" s="5"/>
      <c r="M4167" s="5"/>
    </row>
    <row r="4168" spans="12:13" x14ac:dyDescent="0.2">
      <c r="L4168" s="5"/>
      <c r="M4168" s="5"/>
    </row>
    <row r="4169" spans="12:13" x14ac:dyDescent="0.2">
      <c r="L4169" s="5"/>
      <c r="M4169" s="5"/>
    </row>
    <row r="4170" spans="12:13" x14ac:dyDescent="0.2">
      <c r="L4170" s="5"/>
      <c r="M4170" s="5"/>
    </row>
    <row r="4171" spans="12:13" x14ac:dyDescent="0.2">
      <c r="L4171" s="5"/>
      <c r="M4171" s="5"/>
    </row>
    <row r="4172" spans="12:13" x14ac:dyDescent="0.2">
      <c r="L4172" s="5"/>
      <c r="M4172" s="5"/>
    </row>
    <row r="4173" spans="12:13" x14ac:dyDescent="0.2">
      <c r="L4173" s="5"/>
      <c r="M4173" s="5"/>
    </row>
    <row r="4174" spans="12:13" x14ac:dyDescent="0.2">
      <c r="L4174" s="5"/>
      <c r="M4174" s="5"/>
    </row>
    <row r="4175" spans="12:13" x14ac:dyDescent="0.2">
      <c r="L4175" s="5"/>
      <c r="M4175" s="5"/>
    </row>
    <row r="4176" spans="12:13" x14ac:dyDescent="0.2">
      <c r="L4176" s="5"/>
      <c r="M4176" s="5"/>
    </row>
    <row r="4177" spans="12:13" x14ac:dyDescent="0.2">
      <c r="L4177" s="5"/>
      <c r="M4177" s="5"/>
    </row>
    <row r="4178" spans="12:13" x14ac:dyDescent="0.2">
      <c r="L4178" s="5"/>
      <c r="M4178" s="5"/>
    </row>
    <row r="4179" spans="12:13" x14ac:dyDescent="0.2">
      <c r="L4179" s="5"/>
      <c r="M4179" s="5"/>
    </row>
    <row r="4180" spans="12:13" x14ac:dyDescent="0.2">
      <c r="L4180" s="5"/>
      <c r="M4180" s="5"/>
    </row>
    <row r="4181" spans="12:13" x14ac:dyDescent="0.2">
      <c r="L4181" s="5"/>
      <c r="M4181" s="5"/>
    </row>
    <row r="4182" spans="12:13" x14ac:dyDescent="0.2">
      <c r="L4182" s="5"/>
      <c r="M4182" s="5"/>
    </row>
    <row r="4183" spans="12:13" x14ac:dyDescent="0.2">
      <c r="L4183" s="5"/>
      <c r="M4183" s="5"/>
    </row>
    <row r="4184" spans="12:13" x14ac:dyDescent="0.2">
      <c r="L4184" s="5"/>
      <c r="M4184" s="5"/>
    </row>
    <row r="4185" spans="12:13" x14ac:dyDescent="0.2">
      <c r="L4185" s="5"/>
      <c r="M4185" s="5"/>
    </row>
    <row r="4186" spans="12:13" x14ac:dyDescent="0.2">
      <c r="L4186" s="5"/>
      <c r="M4186" s="5"/>
    </row>
    <row r="4187" spans="12:13" x14ac:dyDescent="0.2">
      <c r="L4187" s="5"/>
      <c r="M4187" s="5"/>
    </row>
    <row r="4188" spans="12:13" x14ac:dyDescent="0.2">
      <c r="L4188" s="5"/>
      <c r="M4188" s="5"/>
    </row>
    <row r="4189" spans="12:13" x14ac:dyDescent="0.2">
      <c r="L4189" s="5"/>
      <c r="M4189" s="5"/>
    </row>
    <row r="4190" spans="12:13" x14ac:dyDescent="0.2">
      <c r="L4190" s="5"/>
      <c r="M4190" s="5"/>
    </row>
    <row r="4191" spans="12:13" x14ac:dyDescent="0.2">
      <c r="L4191" s="5"/>
      <c r="M4191" s="5"/>
    </row>
    <row r="4192" spans="12:13" x14ac:dyDescent="0.2">
      <c r="L4192" s="5"/>
      <c r="M4192" s="5"/>
    </row>
    <row r="4193" spans="12:13" x14ac:dyDescent="0.2">
      <c r="L4193" s="5"/>
      <c r="M4193" s="5"/>
    </row>
    <row r="4194" spans="12:13" x14ac:dyDescent="0.2">
      <c r="L4194" s="5"/>
      <c r="M4194" s="5"/>
    </row>
    <row r="4195" spans="12:13" x14ac:dyDescent="0.2">
      <c r="L4195" s="5"/>
      <c r="M4195" s="5"/>
    </row>
    <row r="4196" spans="12:13" x14ac:dyDescent="0.2">
      <c r="L4196" s="5"/>
      <c r="M4196" s="5"/>
    </row>
    <row r="4197" spans="12:13" x14ac:dyDescent="0.2">
      <c r="L4197" s="5"/>
      <c r="M4197" s="5"/>
    </row>
    <row r="4198" spans="12:13" x14ac:dyDescent="0.2">
      <c r="L4198" s="5"/>
      <c r="M4198" s="5"/>
    </row>
    <row r="4199" spans="12:13" x14ac:dyDescent="0.2">
      <c r="L4199" s="5"/>
      <c r="M4199" s="5"/>
    </row>
    <row r="4200" spans="12:13" x14ac:dyDescent="0.2">
      <c r="L4200" s="5"/>
      <c r="M4200" s="5"/>
    </row>
    <row r="4201" spans="12:13" x14ac:dyDescent="0.2">
      <c r="L4201" s="5"/>
      <c r="M4201" s="5"/>
    </row>
    <row r="4202" spans="12:13" x14ac:dyDescent="0.2">
      <c r="L4202" s="5"/>
      <c r="M4202" s="5"/>
    </row>
    <row r="4203" spans="12:13" x14ac:dyDescent="0.2">
      <c r="L4203" s="5"/>
      <c r="M4203" s="5"/>
    </row>
    <row r="4204" spans="12:13" x14ac:dyDescent="0.2">
      <c r="L4204" s="5"/>
      <c r="M4204" s="5"/>
    </row>
    <row r="4205" spans="12:13" x14ac:dyDescent="0.2">
      <c r="L4205" s="5"/>
      <c r="M4205" s="5"/>
    </row>
    <row r="4206" spans="12:13" x14ac:dyDescent="0.2">
      <c r="L4206" s="5"/>
      <c r="M4206" s="5"/>
    </row>
    <row r="4207" spans="12:13" x14ac:dyDescent="0.2">
      <c r="L4207" s="5"/>
      <c r="M4207" s="5"/>
    </row>
    <row r="4208" spans="12:13" x14ac:dyDescent="0.2">
      <c r="L4208" s="5"/>
      <c r="M4208" s="5"/>
    </row>
    <row r="4209" spans="12:13" x14ac:dyDescent="0.2">
      <c r="L4209" s="5"/>
      <c r="M4209" s="5"/>
    </row>
    <row r="4210" spans="12:13" x14ac:dyDescent="0.2">
      <c r="L4210" s="5"/>
      <c r="M4210" s="5"/>
    </row>
    <row r="4211" spans="12:13" x14ac:dyDescent="0.2">
      <c r="L4211" s="5"/>
      <c r="M4211" s="5"/>
    </row>
    <row r="4212" spans="12:13" x14ac:dyDescent="0.2">
      <c r="L4212" s="5"/>
      <c r="M4212" s="5"/>
    </row>
    <row r="4213" spans="12:13" x14ac:dyDescent="0.2">
      <c r="L4213" s="5"/>
      <c r="M4213" s="5"/>
    </row>
    <row r="4214" spans="12:13" x14ac:dyDescent="0.2">
      <c r="L4214" s="5"/>
      <c r="M4214" s="5"/>
    </row>
    <row r="4215" spans="12:13" x14ac:dyDescent="0.2">
      <c r="L4215" s="5"/>
      <c r="M4215" s="5"/>
    </row>
    <row r="4216" spans="12:13" x14ac:dyDescent="0.2">
      <c r="L4216" s="5"/>
      <c r="M4216" s="5"/>
    </row>
    <row r="4217" spans="12:13" x14ac:dyDescent="0.2">
      <c r="L4217" s="5"/>
      <c r="M4217" s="5"/>
    </row>
    <row r="4218" spans="12:13" x14ac:dyDescent="0.2">
      <c r="L4218" s="5"/>
      <c r="M4218" s="5"/>
    </row>
    <row r="4219" spans="12:13" x14ac:dyDescent="0.2">
      <c r="L4219" s="5"/>
      <c r="M4219" s="5"/>
    </row>
    <row r="4220" spans="12:13" x14ac:dyDescent="0.2">
      <c r="L4220" s="5"/>
      <c r="M4220" s="5"/>
    </row>
    <row r="4221" spans="12:13" x14ac:dyDescent="0.2">
      <c r="L4221" s="5"/>
      <c r="M4221" s="5"/>
    </row>
    <row r="4222" spans="12:13" x14ac:dyDescent="0.2">
      <c r="L4222" s="5"/>
      <c r="M4222" s="5"/>
    </row>
    <row r="4223" spans="12:13" x14ac:dyDescent="0.2">
      <c r="L4223" s="5"/>
      <c r="M4223" s="5"/>
    </row>
    <row r="4224" spans="12:13" x14ac:dyDescent="0.2">
      <c r="L4224" s="5"/>
      <c r="M4224" s="5"/>
    </row>
    <row r="4225" spans="12:13" x14ac:dyDescent="0.2">
      <c r="L4225" s="5"/>
      <c r="M4225" s="5"/>
    </row>
    <row r="4226" spans="12:13" x14ac:dyDescent="0.2">
      <c r="L4226" s="5"/>
      <c r="M4226" s="5"/>
    </row>
    <row r="4227" spans="12:13" x14ac:dyDescent="0.2">
      <c r="L4227" s="5"/>
      <c r="M4227" s="5"/>
    </row>
    <row r="4228" spans="12:13" x14ac:dyDescent="0.2">
      <c r="L4228" s="5"/>
      <c r="M4228" s="5"/>
    </row>
    <row r="4229" spans="12:13" x14ac:dyDescent="0.2">
      <c r="L4229" s="5"/>
      <c r="M4229" s="5"/>
    </row>
    <row r="4230" spans="12:13" x14ac:dyDescent="0.2">
      <c r="L4230" s="5"/>
      <c r="M4230" s="5"/>
    </row>
    <row r="4231" spans="12:13" x14ac:dyDescent="0.2">
      <c r="L4231" s="5"/>
      <c r="M4231" s="5"/>
    </row>
    <row r="4232" spans="12:13" x14ac:dyDescent="0.2">
      <c r="L4232" s="5"/>
      <c r="M4232" s="5"/>
    </row>
    <row r="4233" spans="12:13" x14ac:dyDescent="0.2">
      <c r="L4233" s="5"/>
      <c r="M4233" s="5"/>
    </row>
    <row r="4234" spans="12:13" x14ac:dyDescent="0.2">
      <c r="L4234" s="5"/>
      <c r="M4234" s="5"/>
    </row>
    <row r="4235" spans="12:13" x14ac:dyDescent="0.2">
      <c r="L4235" s="5"/>
      <c r="M4235" s="5"/>
    </row>
    <row r="4236" spans="12:13" x14ac:dyDescent="0.2">
      <c r="L4236" s="5"/>
      <c r="M4236" s="5"/>
    </row>
    <row r="4237" spans="12:13" x14ac:dyDescent="0.2">
      <c r="L4237" s="5"/>
      <c r="M4237" s="5"/>
    </row>
    <row r="4238" spans="12:13" x14ac:dyDescent="0.2">
      <c r="L4238" s="5"/>
      <c r="M4238" s="5"/>
    </row>
    <row r="4239" spans="12:13" x14ac:dyDescent="0.2">
      <c r="L4239" s="5"/>
      <c r="M4239" s="5"/>
    </row>
    <row r="4240" spans="12:13" x14ac:dyDescent="0.2">
      <c r="L4240" s="5"/>
      <c r="M4240" s="5"/>
    </row>
    <row r="4241" spans="12:13" x14ac:dyDescent="0.2">
      <c r="L4241" s="5"/>
      <c r="M4241" s="5"/>
    </row>
    <row r="4242" spans="12:13" x14ac:dyDescent="0.2">
      <c r="L4242" s="5"/>
      <c r="M4242" s="5"/>
    </row>
    <row r="4243" spans="12:13" x14ac:dyDescent="0.2">
      <c r="L4243" s="5"/>
      <c r="M4243" s="5"/>
    </row>
    <row r="4244" spans="12:13" x14ac:dyDescent="0.2">
      <c r="L4244" s="5"/>
      <c r="M4244" s="5"/>
    </row>
    <row r="4245" spans="12:13" x14ac:dyDescent="0.2">
      <c r="L4245" s="5"/>
      <c r="M4245" s="5"/>
    </row>
    <row r="4246" spans="12:13" x14ac:dyDescent="0.2">
      <c r="L4246" s="5"/>
      <c r="M4246" s="5"/>
    </row>
    <row r="4247" spans="12:13" x14ac:dyDescent="0.2">
      <c r="L4247" s="5"/>
      <c r="M4247" s="5"/>
    </row>
    <row r="4248" spans="12:13" x14ac:dyDescent="0.2">
      <c r="L4248" s="5"/>
      <c r="M4248" s="5"/>
    </row>
    <row r="4249" spans="12:13" x14ac:dyDescent="0.2">
      <c r="L4249" s="5"/>
      <c r="M4249" s="5"/>
    </row>
    <row r="4250" spans="12:13" x14ac:dyDescent="0.2">
      <c r="L4250" s="5"/>
      <c r="M4250" s="5"/>
    </row>
    <row r="4251" spans="12:13" x14ac:dyDescent="0.2">
      <c r="L4251" s="5"/>
      <c r="M4251" s="5"/>
    </row>
    <row r="4252" spans="12:13" x14ac:dyDescent="0.2">
      <c r="L4252" s="5"/>
      <c r="M4252" s="5"/>
    </row>
    <row r="4253" spans="12:13" x14ac:dyDescent="0.2">
      <c r="L4253" s="5"/>
      <c r="M4253" s="5"/>
    </row>
    <row r="4254" spans="12:13" x14ac:dyDescent="0.2">
      <c r="L4254" s="5"/>
      <c r="M4254" s="5"/>
    </row>
    <row r="4255" spans="12:13" x14ac:dyDescent="0.2">
      <c r="L4255" s="5"/>
      <c r="M4255" s="5"/>
    </row>
    <row r="4256" spans="12:13" x14ac:dyDescent="0.2">
      <c r="L4256" s="5"/>
      <c r="M4256" s="5"/>
    </row>
    <row r="4257" spans="12:13" x14ac:dyDescent="0.2">
      <c r="L4257" s="5"/>
      <c r="M4257" s="5"/>
    </row>
    <row r="4258" spans="12:13" x14ac:dyDescent="0.2">
      <c r="L4258" s="5"/>
      <c r="M4258" s="5"/>
    </row>
    <row r="4259" spans="12:13" x14ac:dyDescent="0.2">
      <c r="L4259" s="5"/>
      <c r="M4259" s="5"/>
    </row>
    <row r="4260" spans="12:13" x14ac:dyDescent="0.2">
      <c r="L4260" s="5"/>
      <c r="M4260" s="5"/>
    </row>
    <row r="4261" spans="12:13" x14ac:dyDescent="0.2">
      <c r="L4261" s="5"/>
      <c r="M4261" s="5"/>
    </row>
    <row r="4262" spans="12:13" x14ac:dyDescent="0.2">
      <c r="L4262" s="5"/>
      <c r="M4262" s="5"/>
    </row>
    <row r="4263" spans="12:13" x14ac:dyDescent="0.2">
      <c r="L4263" s="5"/>
      <c r="M4263" s="5"/>
    </row>
    <row r="4264" spans="12:13" x14ac:dyDescent="0.2">
      <c r="L4264" s="5"/>
      <c r="M4264" s="5"/>
    </row>
    <row r="4265" spans="12:13" x14ac:dyDescent="0.2">
      <c r="L4265" s="5"/>
      <c r="M4265" s="5"/>
    </row>
    <row r="4266" spans="12:13" x14ac:dyDescent="0.2">
      <c r="L4266" s="5"/>
      <c r="M4266" s="5"/>
    </row>
    <row r="4267" spans="12:13" x14ac:dyDescent="0.2">
      <c r="L4267" s="5"/>
      <c r="M4267" s="5"/>
    </row>
    <row r="4268" spans="12:13" x14ac:dyDescent="0.2">
      <c r="L4268" s="5"/>
      <c r="M4268" s="5"/>
    </row>
    <row r="4269" spans="12:13" x14ac:dyDescent="0.2">
      <c r="L4269" s="5"/>
      <c r="M4269" s="5"/>
    </row>
    <row r="4270" spans="12:13" x14ac:dyDescent="0.2">
      <c r="L4270" s="5"/>
      <c r="M4270" s="5"/>
    </row>
    <row r="4271" spans="12:13" x14ac:dyDescent="0.2">
      <c r="L4271" s="5"/>
      <c r="M4271" s="5"/>
    </row>
    <row r="4272" spans="12:13" x14ac:dyDescent="0.2">
      <c r="L4272" s="5"/>
      <c r="M4272" s="5"/>
    </row>
    <row r="4273" spans="12:13" x14ac:dyDescent="0.2">
      <c r="L4273" s="5"/>
      <c r="M4273" s="5"/>
    </row>
    <row r="4274" spans="12:13" x14ac:dyDescent="0.2">
      <c r="L4274" s="5"/>
      <c r="M4274" s="5"/>
    </row>
    <row r="4275" spans="12:13" x14ac:dyDescent="0.2">
      <c r="L4275" s="5"/>
      <c r="M4275" s="5"/>
    </row>
    <row r="4276" spans="12:13" x14ac:dyDescent="0.2">
      <c r="L4276" s="5"/>
      <c r="M4276" s="5"/>
    </row>
    <row r="4277" spans="12:13" x14ac:dyDescent="0.2">
      <c r="L4277" s="5"/>
      <c r="M4277" s="5"/>
    </row>
    <row r="4278" spans="12:13" x14ac:dyDescent="0.2">
      <c r="L4278" s="5"/>
      <c r="M4278" s="5"/>
    </row>
    <row r="4279" spans="12:13" x14ac:dyDescent="0.2">
      <c r="L4279" s="5"/>
      <c r="M4279" s="5"/>
    </row>
    <row r="4280" spans="12:13" x14ac:dyDescent="0.2">
      <c r="L4280" s="5"/>
      <c r="M4280" s="5"/>
    </row>
    <row r="4281" spans="12:13" x14ac:dyDescent="0.2">
      <c r="L4281" s="5"/>
      <c r="M4281" s="5"/>
    </row>
    <row r="4282" spans="12:13" x14ac:dyDescent="0.2">
      <c r="L4282" s="5"/>
      <c r="M4282" s="5"/>
    </row>
    <row r="4283" spans="12:13" x14ac:dyDescent="0.2">
      <c r="L4283" s="5"/>
      <c r="M4283" s="5"/>
    </row>
    <row r="4284" spans="12:13" x14ac:dyDescent="0.2">
      <c r="L4284" s="5"/>
      <c r="M4284" s="5"/>
    </row>
    <row r="4285" spans="12:13" x14ac:dyDescent="0.2">
      <c r="L4285" s="5"/>
      <c r="M4285" s="5"/>
    </row>
    <row r="4286" spans="12:13" x14ac:dyDescent="0.2">
      <c r="L4286" s="5"/>
      <c r="M4286" s="5"/>
    </row>
    <row r="4287" spans="12:13" x14ac:dyDescent="0.2">
      <c r="L4287" s="5"/>
      <c r="M4287" s="5"/>
    </row>
    <row r="4288" spans="12:13" x14ac:dyDescent="0.2">
      <c r="L4288" s="5"/>
      <c r="M4288" s="5"/>
    </row>
    <row r="4289" spans="12:13" x14ac:dyDescent="0.2">
      <c r="L4289" s="5"/>
      <c r="M4289" s="5"/>
    </row>
    <row r="4290" spans="12:13" x14ac:dyDescent="0.2">
      <c r="L4290" s="5"/>
      <c r="M4290" s="5"/>
    </row>
    <row r="4291" spans="12:13" x14ac:dyDescent="0.2">
      <c r="L4291" s="5"/>
      <c r="M4291" s="5"/>
    </row>
    <row r="4292" spans="12:13" x14ac:dyDescent="0.2">
      <c r="L4292" s="5"/>
      <c r="M4292" s="5"/>
    </row>
    <row r="4293" spans="12:13" x14ac:dyDescent="0.2">
      <c r="L4293" s="5"/>
      <c r="M4293" s="5"/>
    </row>
    <row r="4294" spans="12:13" x14ac:dyDescent="0.2">
      <c r="L4294" s="5"/>
      <c r="M4294" s="5"/>
    </row>
    <row r="4295" spans="12:13" x14ac:dyDescent="0.2">
      <c r="L4295" s="5"/>
      <c r="M4295" s="5"/>
    </row>
    <row r="4296" spans="12:13" x14ac:dyDescent="0.2">
      <c r="L4296" s="5"/>
      <c r="M4296" s="5"/>
    </row>
    <row r="4297" spans="12:13" x14ac:dyDescent="0.2">
      <c r="L4297" s="5"/>
      <c r="M4297" s="5"/>
    </row>
    <row r="4298" spans="12:13" x14ac:dyDescent="0.2">
      <c r="L4298" s="5"/>
      <c r="M4298" s="5"/>
    </row>
    <row r="4299" spans="12:13" x14ac:dyDescent="0.2">
      <c r="L4299" s="5"/>
      <c r="M4299" s="5"/>
    </row>
    <row r="4300" spans="12:13" x14ac:dyDescent="0.2">
      <c r="L4300" s="5"/>
      <c r="M4300" s="5"/>
    </row>
    <row r="4301" spans="12:13" x14ac:dyDescent="0.2">
      <c r="L4301" s="5"/>
      <c r="M4301" s="5"/>
    </row>
    <row r="4302" spans="12:13" x14ac:dyDescent="0.2">
      <c r="L4302" s="5"/>
      <c r="M4302" s="5"/>
    </row>
    <row r="4303" spans="12:13" x14ac:dyDescent="0.2">
      <c r="L4303" s="5"/>
      <c r="M4303" s="5"/>
    </row>
    <row r="4304" spans="12:13" x14ac:dyDescent="0.2">
      <c r="L4304" s="5"/>
      <c r="M4304" s="5"/>
    </row>
    <row r="4305" spans="12:13" x14ac:dyDescent="0.2">
      <c r="L4305" s="5"/>
      <c r="M4305" s="5"/>
    </row>
    <row r="4306" spans="12:13" x14ac:dyDescent="0.2">
      <c r="L4306" s="5"/>
      <c r="M4306" s="5"/>
    </row>
    <row r="4307" spans="12:13" x14ac:dyDescent="0.2">
      <c r="L4307" s="5"/>
      <c r="M4307" s="5"/>
    </row>
    <row r="4308" spans="12:13" x14ac:dyDescent="0.2">
      <c r="L4308" s="5"/>
      <c r="M4308" s="5"/>
    </row>
    <row r="4309" spans="12:13" x14ac:dyDescent="0.2">
      <c r="L4309" s="5"/>
      <c r="M4309" s="5"/>
    </row>
    <row r="4310" spans="12:13" x14ac:dyDescent="0.2">
      <c r="L4310" s="5"/>
      <c r="M4310" s="5"/>
    </row>
    <row r="4311" spans="12:13" x14ac:dyDescent="0.2">
      <c r="L4311" s="5"/>
      <c r="M4311" s="5"/>
    </row>
    <row r="4312" spans="12:13" x14ac:dyDescent="0.2">
      <c r="L4312" s="5"/>
      <c r="M4312" s="5"/>
    </row>
    <row r="4313" spans="12:13" x14ac:dyDescent="0.2">
      <c r="L4313" s="5"/>
      <c r="M4313" s="5"/>
    </row>
    <row r="4314" spans="12:13" x14ac:dyDescent="0.2">
      <c r="L4314" s="5"/>
      <c r="M4314" s="5"/>
    </row>
    <row r="4315" spans="12:13" x14ac:dyDescent="0.2">
      <c r="L4315" s="5"/>
      <c r="M4315" s="5"/>
    </row>
    <row r="4316" spans="12:13" x14ac:dyDescent="0.2">
      <c r="L4316" s="5"/>
      <c r="M4316" s="5"/>
    </row>
    <row r="4317" spans="12:13" x14ac:dyDescent="0.2">
      <c r="L4317" s="5"/>
      <c r="M4317" s="5"/>
    </row>
    <row r="4318" spans="12:13" x14ac:dyDescent="0.2">
      <c r="L4318" s="5"/>
      <c r="M4318" s="5"/>
    </row>
    <row r="4319" spans="12:13" x14ac:dyDescent="0.2">
      <c r="L4319" s="5"/>
      <c r="M4319" s="5"/>
    </row>
    <row r="4320" spans="12:13" x14ac:dyDescent="0.2">
      <c r="L4320" s="5"/>
      <c r="M4320" s="5"/>
    </row>
    <row r="4321" spans="12:13" x14ac:dyDescent="0.2">
      <c r="L4321" s="5"/>
      <c r="M4321" s="5"/>
    </row>
    <row r="4322" spans="12:13" x14ac:dyDescent="0.2">
      <c r="L4322" s="5"/>
      <c r="M4322" s="5"/>
    </row>
    <row r="4323" spans="12:13" x14ac:dyDescent="0.2">
      <c r="L4323" s="5"/>
      <c r="M4323" s="5"/>
    </row>
    <row r="4324" spans="12:13" x14ac:dyDescent="0.2">
      <c r="L4324" s="5"/>
      <c r="M4324" s="5"/>
    </row>
    <row r="4325" spans="12:13" x14ac:dyDescent="0.2">
      <c r="L4325" s="5"/>
      <c r="M4325" s="5"/>
    </row>
    <row r="4326" spans="12:13" x14ac:dyDescent="0.2">
      <c r="L4326" s="5"/>
      <c r="M4326" s="5"/>
    </row>
    <row r="4327" spans="12:13" x14ac:dyDescent="0.2">
      <c r="L4327" s="5"/>
      <c r="M4327" s="5"/>
    </row>
    <row r="4328" spans="12:13" x14ac:dyDescent="0.2">
      <c r="L4328" s="5"/>
      <c r="M4328" s="5"/>
    </row>
    <row r="4329" spans="12:13" x14ac:dyDescent="0.2">
      <c r="L4329" s="5"/>
      <c r="M4329" s="5"/>
    </row>
    <row r="4330" spans="12:13" x14ac:dyDescent="0.2">
      <c r="L4330" s="5"/>
      <c r="M4330" s="5"/>
    </row>
    <row r="4331" spans="12:13" x14ac:dyDescent="0.2">
      <c r="L4331" s="5"/>
      <c r="M4331" s="5"/>
    </row>
    <row r="4332" spans="12:13" x14ac:dyDescent="0.2">
      <c r="L4332" s="5"/>
      <c r="M4332" s="5"/>
    </row>
    <row r="4333" spans="12:13" x14ac:dyDescent="0.2">
      <c r="L4333" s="5"/>
      <c r="M4333" s="5"/>
    </row>
    <row r="4334" spans="12:13" x14ac:dyDescent="0.2">
      <c r="L4334" s="5"/>
      <c r="M4334" s="5"/>
    </row>
    <row r="4335" spans="12:13" x14ac:dyDescent="0.2">
      <c r="L4335" s="5"/>
      <c r="M4335" s="5"/>
    </row>
    <row r="4336" spans="12:13" x14ac:dyDescent="0.2">
      <c r="L4336" s="5"/>
      <c r="M4336" s="5"/>
    </row>
    <row r="4337" spans="12:13" x14ac:dyDescent="0.2">
      <c r="L4337" s="5"/>
      <c r="M4337" s="5"/>
    </row>
    <row r="4338" spans="12:13" x14ac:dyDescent="0.2">
      <c r="L4338" s="5"/>
      <c r="M4338" s="5"/>
    </row>
    <row r="4339" spans="12:13" x14ac:dyDescent="0.2">
      <c r="L4339" s="5"/>
      <c r="M4339" s="5"/>
    </row>
    <row r="4340" spans="12:13" x14ac:dyDescent="0.2">
      <c r="L4340" s="5"/>
      <c r="M4340" s="5"/>
    </row>
    <row r="4341" spans="12:13" x14ac:dyDescent="0.2">
      <c r="L4341" s="5"/>
      <c r="M4341" s="5"/>
    </row>
    <row r="4342" spans="12:13" x14ac:dyDescent="0.2">
      <c r="L4342" s="5"/>
      <c r="M4342" s="5"/>
    </row>
    <row r="4343" spans="12:13" x14ac:dyDescent="0.2">
      <c r="L4343" s="5"/>
      <c r="M4343" s="5"/>
    </row>
    <row r="4344" spans="12:13" x14ac:dyDescent="0.2">
      <c r="L4344" s="5"/>
      <c r="M4344" s="5"/>
    </row>
    <row r="4345" spans="12:13" x14ac:dyDescent="0.2">
      <c r="L4345" s="5"/>
      <c r="M4345" s="5"/>
    </row>
    <row r="4346" spans="12:13" x14ac:dyDescent="0.2">
      <c r="L4346" s="5"/>
      <c r="M4346" s="5"/>
    </row>
    <row r="4347" spans="12:13" x14ac:dyDescent="0.2">
      <c r="L4347" s="5"/>
      <c r="M4347" s="5"/>
    </row>
    <row r="4348" spans="12:13" x14ac:dyDescent="0.2">
      <c r="L4348" s="5"/>
      <c r="M4348" s="5"/>
    </row>
    <row r="4349" spans="12:13" x14ac:dyDescent="0.2">
      <c r="L4349" s="5"/>
      <c r="M4349" s="5"/>
    </row>
    <row r="4350" spans="12:13" x14ac:dyDescent="0.2">
      <c r="L4350" s="5"/>
      <c r="M4350" s="5"/>
    </row>
    <row r="4351" spans="12:13" x14ac:dyDescent="0.2">
      <c r="L4351" s="5"/>
      <c r="M4351" s="5"/>
    </row>
    <row r="4352" spans="12:13" x14ac:dyDescent="0.2">
      <c r="L4352" s="5"/>
      <c r="M4352" s="5"/>
    </row>
    <row r="4353" spans="12:13" x14ac:dyDescent="0.2">
      <c r="L4353" s="5"/>
      <c r="M4353" s="5"/>
    </row>
    <row r="4354" spans="12:13" x14ac:dyDescent="0.2">
      <c r="L4354" s="5"/>
      <c r="M4354" s="5"/>
    </row>
    <row r="4355" spans="12:13" x14ac:dyDescent="0.2">
      <c r="L4355" s="5"/>
      <c r="M4355" s="5"/>
    </row>
    <row r="4356" spans="12:13" x14ac:dyDescent="0.2">
      <c r="L4356" s="5"/>
      <c r="M4356" s="5"/>
    </row>
    <row r="4357" spans="12:13" x14ac:dyDescent="0.2">
      <c r="L4357" s="5"/>
      <c r="M4357" s="5"/>
    </row>
    <row r="4358" spans="12:13" x14ac:dyDescent="0.2">
      <c r="L4358" s="5"/>
      <c r="M4358" s="5"/>
    </row>
    <row r="4359" spans="12:13" x14ac:dyDescent="0.2">
      <c r="L4359" s="5"/>
      <c r="M4359" s="5"/>
    </row>
    <row r="4360" spans="12:13" x14ac:dyDescent="0.2">
      <c r="L4360" s="5"/>
      <c r="M4360" s="5"/>
    </row>
    <row r="4361" spans="12:13" x14ac:dyDescent="0.2">
      <c r="L4361" s="5"/>
      <c r="M4361" s="5"/>
    </row>
    <row r="4362" spans="12:13" x14ac:dyDescent="0.2">
      <c r="L4362" s="5"/>
      <c r="M4362" s="5"/>
    </row>
    <row r="4363" spans="12:13" x14ac:dyDescent="0.2">
      <c r="L4363" s="5"/>
      <c r="M4363" s="5"/>
    </row>
    <row r="4364" spans="12:13" x14ac:dyDescent="0.2">
      <c r="L4364" s="5"/>
      <c r="M4364" s="5"/>
    </row>
    <row r="4365" spans="12:13" x14ac:dyDescent="0.2">
      <c r="L4365" s="5"/>
      <c r="M4365" s="5"/>
    </row>
    <row r="4366" spans="12:13" x14ac:dyDescent="0.2">
      <c r="L4366" s="5"/>
      <c r="M4366" s="5"/>
    </row>
    <row r="4367" spans="12:13" x14ac:dyDescent="0.2">
      <c r="L4367" s="5"/>
      <c r="M4367" s="5"/>
    </row>
    <row r="4368" spans="12:13" x14ac:dyDescent="0.2">
      <c r="L4368" s="5"/>
      <c r="M4368" s="5"/>
    </row>
    <row r="4369" spans="12:13" x14ac:dyDescent="0.2">
      <c r="L4369" s="5"/>
      <c r="M4369" s="5"/>
    </row>
    <row r="4370" spans="12:13" x14ac:dyDescent="0.2">
      <c r="L4370" s="5"/>
      <c r="M4370" s="5"/>
    </row>
    <row r="4371" spans="12:13" x14ac:dyDescent="0.2">
      <c r="L4371" s="5"/>
      <c r="M4371" s="5"/>
    </row>
    <row r="4372" spans="12:13" x14ac:dyDescent="0.2">
      <c r="L4372" s="5"/>
      <c r="M4372" s="5"/>
    </row>
    <row r="4373" spans="12:13" x14ac:dyDescent="0.2">
      <c r="L4373" s="5"/>
      <c r="M4373" s="5"/>
    </row>
    <row r="4374" spans="12:13" x14ac:dyDescent="0.2">
      <c r="L4374" s="5"/>
      <c r="M4374" s="5"/>
    </row>
    <row r="4375" spans="12:13" x14ac:dyDescent="0.2">
      <c r="L4375" s="5"/>
      <c r="M4375" s="5"/>
    </row>
    <row r="4376" spans="12:13" x14ac:dyDescent="0.2">
      <c r="L4376" s="5"/>
      <c r="M4376" s="5"/>
    </row>
    <row r="4377" spans="12:13" x14ac:dyDescent="0.2">
      <c r="L4377" s="5"/>
      <c r="M4377" s="5"/>
    </row>
    <row r="4378" spans="12:13" x14ac:dyDescent="0.2">
      <c r="L4378" s="5"/>
      <c r="M4378" s="5"/>
    </row>
    <row r="4379" spans="12:13" x14ac:dyDescent="0.2">
      <c r="L4379" s="5"/>
      <c r="M4379" s="5"/>
    </row>
    <row r="4380" spans="12:13" x14ac:dyDescent="0.2">
      <c r="L4380" s="5"/>
      <c r="M4380" s="5"/>
    </row>
    <row r="4381" spans="12:13" x14ac:dyDescent="0.2">
      <c r="L4381" s="5"/>
      <c r="M4381" s="5"/>
    </row>
    <row r="4382" spans="12:13" x14ac:dyDescent="0.2">
      <c r="L4382" s="5"/>
      <c r="M4382" s="5"/>
    </row>
    <row r="4383" spans="12:13" x14ac:dyDescent="0.2">
      <c r="L4383" s="5"/>
      <c r="M4383" s="5"/>
    </row>
    <row r="4384" spans="12:13" x14ac:dyDescent="0.2">
      <c r="L4384" s="5"/>
      <c r="M4384" s="5"/>
    </row>
    <row r="4385" spans="12:13" x14ac:dyDescent="0.2">
      <c r="L4385" s="5"/>
      <c r="M4385" s="5"/>
    </row>
    <row r="4386" spans="12:13" x14ac:dyDescent="0.2">
      <c r="L4386" s="5"/>
      <c r="M4386" s="5"/>
    </row>
    <row r="4387" spans="12:13" x14ac:dyDescent="0.2">
      <c r="L4387" s="5"/>
      <c r="M4387" s="5"/>
    </row>
    <row r="4388" spans="12:13" x14ac:dyDescent="0.2">
      <c r="L4388" s="5"/>
      <c r="M4388" s="5"/>
    </row>
    <row r="4389" spans="12:13" x14ac:dyDescent="0.2">
      <c r="L4389" s="5"/>
      <c r="M4389" s="5"/>
    </row>
    <row r="4390" spans="12:13" x14ac:dyDescent="0.2">
      <c r="L4390" s="5"/>
      <c r="M4390" s="5"/>
    </row>
    <row r="4391" spans="12:13" x14ac:dyDescent="0.2">
      <c r="L4391" s="5"/>
      <c r="M4391" s="5"/>
    </row>
    <row r="4392" spans="12:13" x14ac:dyDescent="0.2">
      <c r="L4392" s="5"/>
      <c r="M4392" s="5"/>
    </row>
    <row r="4393" spans="12:13" x14ac:dyDescent="0.2">
      <c r="L4393" s="5"/>
      <c r="M4393" s="5"/>
    </row>
    <row r="4394" spans="12:13" x14ac:dyDescent="0.2">
      <c r="L4394" s="5"/>
      <c r="M4394" s="5"/>
    </row>
    <row r="4395" spans="12:13" x14ac:dyDescent="0.2">
      <c r="L4395" s="5"/>
      <c r="M4395" s="5"/>
    </row>
    <row r="4396" spans="12:13" x14ac:dyDescent="0.2">
      <c r="L4396" s="5"/>
      <c r="M4396" s="5"/>
    </row>
    <row r="4397" spans="12:13" x14ac:dyDescent="0.2">
      <c r="L4397" s="5"/>
      <c r="M4397" s="5"/>
    </row>
    <row r="4398" spans="12:13" x14ac:dyDescent="0.2">
      <c r="L4398" s="5"/>
      <c r="M4398" s="5"/>
    </row>
    <row r="4399" spans="12:13" x14ac:dyDescent="0.2">
      <c r="L4399" s="5"/>
      <c r="M4399" s="5"/>
    </row>
    <row r="4400" spans="12:13" x14ac:dyDescent="0.2">
      <c r="L4400" s="5"/>
      <c r="M4400" s="5"/>
    </row>
    <row r="4401" spans="12:13" x14ac:dyDescent="0.2">
      <c r="L4401" s="5"/>
      <c r="M4401" s="5"/>
    </row>
    <row r="4402" spans="12:13" x14ac:dyDescent="0.2">
      <c r="L4402" s="5"/>
      <c r="M4402" s="5"/>
    </row>
    <row r="4403" spans="12:13" x14ac:dyDescent="0.2">
      <c r="L4403" s="5"/>
      <c r="M4403" s="5"/>
    </row>
    <row r="4404" spans="12:13" x14ac:dyDescent="0.2">
      <c r="L4404" s="5"/>
      <c r="M4404" s="5"/>
    </row>
    <row r="4405" spans="12:13" x14ac:dyDescent="0.2">
      <c r="L4405" s="5"/>
      <c r="M4405" s="5"/>
    </row>
    <row r="4406" spans="12:13" x14ac:dyDescent="0.2">
      <c r="L4406" s="5"/>
      <c r="M4406" s="5"/>
    </row>
    <row r="4407" spans="12:13" x14ac:dyDescent="0.2">
      <c r="L4407" s="5"/>
      <c r="M4407" s="5"/>
    </row>
    <row r="4408" spans="12:13" x14ac:dyDescent="0.2">
      <c r="L4408" s="5"/>
      <c r="M4408" s="5"/>
    </row>
    <row r="4409" spans="12:13" x14ac:dyDescent="0.2">
      <c r="L4409" s="5"/>
      <c r="M4409" s="5"/>
    </row>
    <row r="4410" spans="12:13" x14ac:dyDescent="0.2">
      <c r="L4410" s="5"/>
      <c r="M4410" s="5"/>
    </row>
    <row r="4411" spans="12:13" x14ac:dyDescent="0.2">
      <c r="L4411" s="5"/>
      <c r="M4411" s="5"/>
    </row>
    <row r="4412" spans="12:13" x14ac:dyDescent="0.2">
      <c r="L4412" s="5"/>
      <c r="M4412" s="5"/>
    </row>
    <row r="4413" spans="12:13" x14ac:dyDescent="0.2">
      <c r="L4413" s="5"/>
      <c r="M4413" s="5"/>
    </row>
    <row r="4414" spans="12:13" x14ac:dyDescent="0.2">
      <c r="L4414" s="5"/>
      <c r="M4414" s="5"/>
    </row>
    <row r="4415" spans="12:13" x14ac:dyDescent="0.2">
      <c r="L4415" s="5"/>
      <c r="M4415" s="5"/>
    </row>
    <row r="4416" spans="12:13" x14ac:dyDescent="0.2">
      <c r="L4416" s="5"/>
      <c r="M4416" s="5"/>
    </row>
    <row r="4417" spans="12:13" x14ac:dyDescent="0.2">
      <c r="L4417" s="5"/>
      <c r="M4417" s="5"/>
    </row>
    <row r="4418" spans="12:13" x14ac:dyDescent="0.2">
      <c r="L4418" s="5"/>
      <c r="M4418" s="5"/>
    </row>
    <row r="4419" spans="12:13" x14ac:dyDescent="0.2">
      <c r="L4419" s="5"/>
      <c r="M4419" s="5"/>
    </row>
    <row r="4420" spans="12:13" x14ac:dyDescent="0.2">
      <c r="L4420" s="5"/>
      <c r="M4420" s="5"/>
    </row>
    <row r="4421" spans="12:13" x14ac:dyDescent="0.2">
      <c r="L4421" s="5"/>
      <c r="M4421" s="5"/>
    </row>
    <row r="4422" spans="12:13" x14ac:dyDescent="0.2">
      <c r="L4422" s="5"/>
      <c r="M4422" s="5"/>
    </row>
    <row r="4423" spans="12:13" x14ac:dyDescent="0.2">
      <c r="L4423" s="5"/>
      <c r="M4423" s="5"/>
    </row>
    <row r="4424" spans="12:13" x14ac:dyDescent="0.2">
      <c r="L4424" s="5"/>
      <c r="M4424" s="5"/>
    </row>
    <row r="4425" spans="12:13" x14ac:dyDescent="0.2">
      <c r="L4425" s="5"/>
      <c r="M4425" s="5"/>
    </row>
    <row r="4426" spans="12:13" x14ac:dyDescent="0.2">
      <c r="L4426" s="5"/>
      <c r="M4426" s="5"/>
    </row>
    <row r="4427" spans="12:13" x14ac:dyDescent="0.2">
      <c r="L4427" s="5"/>
      <c r="M4427" s="5"/>
    </row>
    <row r="4428" spans="12:13" x14ac:dyDescent="0.2">
      <c r="L4428" s="5"/>
      <c r="M4428" s="5"/>
    </row>
    <row r="4429" spans="12:13" x14ac:dyDescent="0.2">
      <c r="L4429" s="5"/>
      <c r="M4429" s="5"/>
    </row>
    <row r="4430" spans="12:13" x14ac:dyDescent="0.2">
      <c r="L4430" s="5"/>
      <c r="M4430" s="5"/>
    </row>
    <row r="4431" spans="12:13" x14ac:dyDescent="0.2">
      <c r="L4431" s="5"/>
      <c r="M4431" s="5"/>
    </row>
    <row r="4432" spans="12:13" x14ac:dyDescent="0.2">
      <c r="L4432" s="5"/>
      <c r="M4432" s="5"/>
    </row>
    <row r="4433" spans="12:13" x14ac:dyDescent="0.2">
      <c r="L4433" s="5"/>
      <c r="M4433" s="5"/>
    </row>
    <row r="4434" spans="12:13" x14ac:dyDescent="0.2">
      <c r="L4434" s="5"/>
      <c r="M4434" s="5"/>
    </row>
    <row r="4435" spans="12:13" x14ac:dyDescent="0.2">
      <c r="L4435" s="5"/>
      <c r="M4435" s="5"/>
    </row>
    <row r="4436" spans="12:13" x14ac:dyDescent="0.2">
      <c r="L4436" s="5"/>
      <c r="M4436" s="5"/>
    </row>
    <row r="4437" spans="12:13" x14ac:dyDescent="0.2">
      <c r="L4437" s="5"/>
      <c r="M4437" s="5"/>
    </row>
    <row r="4438" spans="12:13" x14ac:dyDescent="0.2">
      <c r="L4438" s="5"/>
      <c r="M4438" s="5"/>
    </row>
    <row r="4439" spans="12:13" x14ac:dyDescent="0.2">
      <c r="L4439" s="5"/>
      <c r="M4439" s="5"/>
    </row>
    <row r="4440" spans="12:13" x14ac:dyDescent="0.2">
      <c r="L4440" s="5"/>
      <c r="M4440" s="5"/>
    </row>
    <row r="4441" spans="12:13" x14ac:dyDescent="0.2">
      <c r="L4441" s="5"/>
      <c r="M4441" s="5"/>
    </row>
    <row r="4442" spans="12:13" x14ac:dyDescent="0.2">
      <c r="L4442" s="5"/>
      <c r="M4442" s="5"/>
    </row>
    <row r="4443" spans="12:13" x14ac:dyDescent="0.2">
      <c r="L4443" s="5"/>
      <c r="M4443" s="5"/>
    </row>
    <row r="4444" spans="12:13" x14ac:dyDescent="0.2">
      <c r="L4444" s="5"/>
      <c r="M4444" s="5"/>
    </row>
    <row r="4445" spans="12:13" x14ac:dyDescent="0.2">
      <c r="L4445" s="5"/>
      <c r="M4445" s="5"/>
    </row>
    <row r="4446" spans="12:13" x14ac:dyDescent="0.2">
      <c r="L4446" s="5"/>
      <c r="M4446" s="5"/>
    </row>
    <row r="4447" spans="12:13" x14ac:dyDescent="0.2">
      <c r="L4447" s="5"/>
      <c r="M4447" s="5"/>
    </row>
    <row r="4448" spans="12:13" x14ac:dyDescent="0.2">
      <c r="L4448" s="5"/>
      <c r="M4448" s="5"/>
    </row>
    <row r="4449" spans="12:13" x14ac:dyDescent="0.2">
      <c r="L4449" s="5"/>
      <c r="M4449" s="5"/>
    </row>
    <row r="4450" spans="12:13" x14ac:dyDescent="0.2">
      <c r="L4450" s="5"/>
      <c r="M4450" s="5"/>
    </row>
    <row r="4451" spans="12:13" x14ac:dyDescent="0.2">
      <c r="L4451" s="5"/>
      <c r="M4451" s="5"/>
    </row>
    <row r="4452" spans="12:13" x14ac:dyDescent="0.2">
      <c r="L4452" s="5"/>
      <c r="M4452" s="5"/>
    </row>
    <row r="4453" spans="12:13" x14ac:dyDescent="0.2">
      <c r="L4453" s="5"/>
      <c r="M4453" s="5"/>
    </row>
    <row r="4454" spans="12:13" x14ac:dyDescent="0.2">
      <c r="L4454" s="5"/>
      <c r="M4454" s="5"/>
    </row>
    <row r="4455" spans="12:13" x14ac:dyDescent="0.2">
      <c r="L4455" s="5"/>
      <c r="M4455" s="5"/>
    </row>
    <row r="4456" spans="12:13" x14ac:dyDescent="0.2">
      <c r="L4456" s="5"/>
      <c r="M4456" s="5"/>
    </row>
    <row r="4457" spans="12:13" x14ac:dyDescent="0.2">
      <c r="L4457" s="5"/>
      <c r="M4457" s="5"/>
    </row>
    <row r="4458" spans="12:13" x14ac:dyDescent="0.2">
      <c r="L4458" s="5"/>
      <c r="M4458" s="5"/>
    </row>
    <row r="4459" spans="12:13" x14ac:dyDescent="0.2">
      <c r="L4459" s="5"/>
      <c r="M4459" s="5"/>
    </row>
    <row r="4460" spans="12:13" x14ac:dyDescent="0.2">
      <c r="L4460" s="5"/>
      <c r="M4460" s="5"/>
    </row>
    <row r="4461" spans="12:13" x14ac:dyDescent="0.2">
      <c r="L4461" s="5"/>
      <c r="M4461" s="5"/>
    </row>
    <row r="4462" spans="12:13" x14ac:dyDescent="0.2">
      <c r="L4462" s="5"/>
      <c r="M4462" s="5"/>
    </row>
    <row r="4463" spans="12:13" x14ac:dyDescent="0.2">
      <c r="L4463" s="5"/>
      <c r="M4463" s="5"/>
    </row>
    <row r="4464" spans="12:13" x14ac:dyDescent="0.2">
      <c r="L4464" s="5"/>
      <c r="M4464" s="5"/>
    </row>
    <row r="4465" spans="12:13" x14ac:dyDescent="0.2">
      <c r="L4465" s="5"/>
      <c r="M4465" s="5"/>
    </row>
    <row r="4466" spans="12:13" x14ac:dyDescent="0.2">
      <c r="L4466" s="5"/>
      <c r="M4466" s="5"/>
    </row>
    <row r="4467" spans="12:13" x14ac:dyDescent="0.2">
      <c r="L4467" s="5"/>
      <c r="M4467" s="5"/>
    </row>
    <row r="4468" spans="12:13" x14ac:dyDescent="0.2">
      <c r="L4468" s="5"/>
      <c r="M4468" s="5"/>
    </row>
    <row r="4469" spans="12:13" x14ac:dyDescent="0.2">
      <c r="L4469" s="5"/>
      <c r="M4469" s="5"/>
    </row>
    <row r="4470" spans="12:13" x14ac:dyDescent="0.2">
      <c r="L4470" s="5"/>
      <c r="M4470" s="5"/>
    </row>
    <row r="4471" spans="12:13" x14ac:dyDescent="0.2">
      <c r="L4471" s="5"/>
      <c r="M4471" s="5"/>
    </row>
    <row r="4472" spans="12:13" x14ac:dyDescent="0.2">
      <c r="L4472" s="5"/>
      <c r="M4472" s="5"/>
    </row>
    <row r="4473" spans="12:13" x14ac:dyDescent="0.2">
      <c r="L4473" s="5"/>
      <c r="M4473" s="5"/>
    </row>
    <row r="4474" spans="12:13" x14ac:dyDescent="0.2">
      <c r="L4474" s="5"/>
      <c r="M4474" s="5"/>
    </row>
    <row r="4475" spans="12:13" x14ac:dyDescent="0.2">
      <c r="L4475" s="5"/>
      <c r="M4475" s="5"/>
    </row>
    <row r="4476" spans="12:13" x14ac:dyDescent="0.2">
      <c r="L4476" s="5"/>
      <c r="M4476" s="5"/>
    </row>
    <row r="4477" spans="12:13" x14ac:dyDescent="0.2">
      <c r="L4477" s="5"/>
      <c r="M4477" s="5"/>
    </row>
    <row r="4478" spans="12:13" x14ac:dyDescent="0.2">
      <c r="L4478" s="5"/>
      <c r="M4478" s="5"/>
    </row>
    <row r="4479" spans="12:13" x14ac:dyDescent="0.2">
      <c r="L4479" s="5"/>
      <c r="M4479" s="5"/>
    </row>
    <row r="4480" spans="12:13" x14ac:dyDescent="0.2">
      <c r="L4480" s="5"/>
      <c r="M4480" s="5"/>
    </row>
    <row r="4481" spans="12:13" x14ac:dyDescent="0.2">
      <c r="L4481" s="5"/>
      <c r="M4481" s="5"/>
    </row>
    <row r="4482" spans="12:13" x14ac:dyDescent="0.2">
      <c r="L4482" s="5"/>
      <c r="M4482" s="5"/>
    </row>
    <row r="4483" spans="12:13" x14ac:dyDescent="0.2">
      <c r="L4483" s="5"/>
      <c r="M4483" s="5"/>
    </row>
    <row r="4484" spans="12:13" x14ac:dyDescent="0.2">
      <c r="L4484" s="5"/>
      <c r="M4484" s="5"/>
    </row>
    <row r="4485" spans="12:13" x14ac:dyDescent="0.2">
      <c r="L4485" s="5"/>
      <c r="M4485" s="5"/>
    </row>
    <row r="4486" spans="12:13" x14ac:dyDescent="0.2">
      <c r="L4486" s="5"/>
      <c r="M4486" s="5"/>
    </row>
    <row r="4487" spans="12:13" x14ac:dyDescent="0.2">
      <c r="L4487" s="5"/>
      <c r="M4487" s="5"/>
    </row>
    <row r="4488" spans="12:13" x14ac:dyDescent="0.2">
      <c r="L4488" s="5"/>
      <c r="M4488" s="5"/>
    </row>
    <row r="4489" spans="12:13" x14ac:dyDescent="0.2">
      <c r="L4489" s="5"/>
      <c r="M4489" s="5"/>
    </row>
    <row r="4490" spans="12:13" x14ac:dyDescent="0.2">
      <c r="L4490" s="5"/>
      <c r="M4490" s="5"/>
    </row>
    <row r="4491" spans="12:13" x14ac:dyDescent="0.2">
      <c r="L4491" s="5"/>
      <c r="M4491" s="5"/>
    </row>
    <row r="4492" spans="12:13" x14ac:dyDescent="0.2">
      <c r="L4492" s="5"/>
      <c r="M4492" s="5"/>
    </row>
    <row r="4493" spans="12:13" x14ac:dyDescent="0.2">
      <c r="L4493" s="5"/>
      <c r="M4493" s="5"/>
    </row>
    <row r="4494" spans="12:13" x14ac:dyDescent="0.2">
      <c r="L4494" s="5"/>
      <c r="M4494" s="5"/>
    </row>
    <row r="4495" spans="12:13" x14ac:dyDescent="0.2">
      <c r="L4495" s="5"/>
      <c r="M4495" s="5"/>
    </row>
    <row r="4496" spans="12:13" x14ac:dyDescent="0.2">
      <c r="L4496" s="5"/>
      <c r="M4496" s="5"/>
    </row>
    <row r="4497" spans="12:13" x14ac:dyDescent="0.2">
      <c r="L4497" s="5"/>
      <c r="M4497" s="5"/>
    </row>
    <row r="4498" spans="12:13" x14ac:dyDescent="0.2">
      <c r="L4498" s="5"/>
      <c r="M4498" s="5"/>
    </row>
    <row r="4499" spans="12:13" x14ac:dyDescent="0.2">
      <c r="L4499" s="5"/>
      <c r="M4499" s="5"/>
    </row>
    <row r="4500" spans="12:13" x14ac:dyDescent="0.2">
      <c r="L4500" s="5"/>
      <c r="M4500" s="5"/>
    </row>
    <row r="4501" spans="12:13" x14ac:dyDescent="0.2">
      <c r="L4501" s="5"/>
      <c r="M4501" s="5"/>
    </row>
    <row r="4502" spans="12:13" x14ac:dyDescent="0.2">
      <c r="L4502" s="5"/>
      <c r="M4502" s="5"/>
    </row>
    <row r="4503" spans="12:13" x14ac:dyDescent="0.2">
      <c r="L4503" s="5"/>
      <c r="M4503" s="5"/>
    </row>
    <row r="4504" spans="12:13" x14ac:dyDescent="0.2">
      <c r="L4504" s="5"/>
      <c r="M4504" s="5"/>
    </row>
    <row r="4505" spans="12:13" x14ac:dyDescent="0.2">
      <c r="L4505" s="5"/>
      <c r="M4505" s="5"/>
    </row>
    <row r="4506" spans="12:13" x14ac:dyDescent="0.2">
      <c r="L4506" s="5"/>
      <c r="M4506" s="5"/>
    </row>
    <row r="4507" spans="12:13" x14ac:dyDescent="0.2">
      <c r="L4507" s="5"/>
      <c r="M4507" s="5"/>
    </row>
    <row r="4508" spans="12:13" x14ac:dyDescent="0.2">
      <c r="L4508" s="5"/>
      <c r="M4508" s="5"/>
    </row>
    <row r="4509" spans="12:13" x14ac:dyDescent="0.2">
      <c r="L4509" s="5"/>
      <c r="M4509" s="5"/>
    </row>
    <row r="4510" spans="12:13" x14ac:dyDescent="0.2">
      <c r="L4510" s="5"/>
      <c r="M4510" s="5"/>
    </row>
    <row r="4511" spans="12:13" x14ac:dyDescent="0.2">
      <c r="L4511" s="5"/>
      <c r="M4511" s="5"/>
    </row>
    <row r="4512" spans="12:13" x14ac:dyDescent="0.2">
      <c r="L4512" s="5"/>
      <c r="M4512" s="5"/>
    </row>
    <row r="4513" spans="12:13" x14ac:dyDescent="0.2">
      <c r="L4513" s="5"/>
      <c r="M4513" s="5"/>
    </row>
    <row r="4514" spans="12:13" x14ac:dyDescent="0.2">
      <c r="L4514" s="5"/>
      <c r="M4514" s="5"/>
    </row>
    <row r="4515" spans="12:13" x14ac:dyDescent="0.2">
      <c r="L4515" s="5"/>
      <c r="M4515" s="5"/>
    </row>
    <row r="4516" spans="12:13" x14ac:dyDescent="0.2">
      <c r="L4516" s="5"/>
      <c r="M4516" s="5"/>
    </row>
    <row r="4517" spans="12:13" x14ac:dyDescent="0.2">
      <c r="L4517" s="5"/>
      <c r="M4517" s="5"/>
    </row>
    <row r="4518" spans="12:13" x14ac:dyDescent="0.2">
      <c r="L4518" s="5"/>
      <c r="M4518" s="5"/>
    </row>
    <row r="4519" spans="12:13" x14ac:dyDescent="0.2">
      <c r="L4519" s="5"/>
      <c r="M4519" s="5"/>
    </row>
    <row r="4520" spans="12:13" x14ac:dyDescent="0.2">
      <c r="L4520" s="5"/>
      <c r="M4520" s="5"/>
    </row>
    <row r="4521" spans="12:13" x14ac:dyDescent="0.2">
      <c r="L4521" s="5"/>
      <c r="M4521" s="5"/>
    </row>
    <row r="4522" spans="12:13" x14ac:dyDescent="0.2">
      <c r="L4522" s="5"/>
      <c r="M4522" s="5"/>
    </row>
    <row r="4523" spans="12:13" x14ac:dyDescent="0.2">
      <c r="L4523" s="5"/>
      <c r="M4523" s="5"/>
    </row>
    <row r="4524" spans="12:13" x14ac:dyDescent="0.2">
      <c r="L4524" s="5"/>
      <c r="M4524" s="5"/>
    </row>
    <row r="4525" spans="12:13" x14ac:dyDescent="0.2">
      <c r="L4525" s="5"/>
      <c r="M4525" s="5"/>
    </row>
    <row r="4526" spans="12:13" x14ac:dyDescent="0.2">
      <c r="L4526" s="5"/>
      <c r="M4526" s="5"/>
    </row>
    <row r="4527" spans="12:13" x14ac:dyDescent="0.2">
      <c r="L4527" s="5"/>
      <c r="M4527" s="5"/>
    </row>
    <row r="4528" spans="12:13" x14ac:dyDescent="0.2">
      <c r="L4528" s="5"/>
      <c r="M4528" s="5"/>
    </row>
    <row r="4529" spans="12:13" x14ac:dyDescent="0.2">
      <c r="L4529" s="5"/>
      <c r="M4529" s="5"/>
    </row>
    <row r="4530" spans="12:13" x14ac:dyDescent="0.2">
      <c r="L4530" s="5"/>
      <c r="M4530" s="5"/>
    </row>
    <row r="4531" spans="12:13" x14ac:dyDescent="0.2">
      <c r="L4531" s="5"/>
      <c r="M4531" s="5"/>
    </row>
    <row r="4532" spans="12:13" x14ac:dyDescent="0.2">
      <c r="L4532" s="5"/>
      <c r="M4532" s="5"/>
    </row>
    <row r="4533" spans="12:13" x14ac:dyDescent="0.2">
      <c r="L4533" s="5"/>
      <c r="M4533" s="5"/>
    </row>
    <row r="4534" spans="12:13" x14ac:dyDescent="0.2">
      <c r="L4534" s="5"/>
      <c r="M4534" s="5"/>
    </row>
    <row r="4535" spans="12:13" x14ac:dyDescent="0.2">
      <c r="L4535" s="5"/>
      <c r="M4535" s="5"/>
    </row>
    <row r="4536" spans="12:13" x14ac:dyDescent="0.2">
      <c r="L4536" s="5"/>
      <c r="M4536" s="5"/>
    </row>
    <row r="4537" spans="12:13" x14ac:dyDescent="0.2">
      <c r="L4537" s="5"/>
      <c r="M4537" s="5"/>
    </row>
    <row r="4538" spans="12:13" x14ac:dyDescent="0.2">
      <c r="L4538" s="5"/>
      <c r="M4538" s="5"/>
    </row>
    <row r="4539" spans="12:13" x14ac:dyDescent="0.2">
      <c r="L4539" s="5"/>
      <c r="M4539" s="5"/>
    </row>
    <row r="4540" spans="12:13" x14ac:dyDescent="0.2">
      <c r="L4540" s="5"/>
      <c r="M4540" s="5"/>
    </row>
    <row r="4541" spans="12:13" x14ac:dyDescent="0.2">
      <c r="L4541" s="5"/>
      <c r="M4541" s="5"/>
    </row>
    <row r="4542" spans="12:13" x14ac:dyDescent="0.2">
      <c r="L4542" s="5"/>
      <c r="M4542" s="5"/>
    </row>
    <row r="4543" spans="12:13" x14ac:dyDescent="0.2">
      <c r="L4543" s="5"/>
      <c r="M4543" s="5"/>
    </row>
    <row r="4544" spans="12:13" x14ac:dyDescent="0.2">
      <c r="L4544" s="5"/>
      <c r="M4544" s="5"/>
    </row>
    <row r="4545" spans="12:13" x14ac:dyDescent="0.2">
      <c r="L4545" s="5"/>
      <c r="M4545" s="5"/>
    </row>
    <row r="4546" spans="12:13" x14ac:dyDescent="0.2">
      <c r="L4546" s="5"/>
      <c r="M4546" s="5"/>
    </row>
    <row r="4547" spans="12:13" x14ac:dyDescent="0.2">
      <c r="L4547" s="5"/>
      <c r="M4547" s="5"/>
    </row>
    <row r="4548" spans="12:13" x14ac:dyDescent="0.2">
      <c r="L4548" s="5"/>
      <c r="M4548" s="5"/>
    </row>
    <row r="4549" spans="12:13" x14ac:dyDescent="0.2">
      <c r="L4549" s="5"/>
      <c r="M4549" s="5"/>
    </row>
    <row r="4550" spans="12:13" x14ac:dyDescent="0.2">
      <c r="L4550" s="5"/>
      <c r="M4550" s="5"/>
    </row>
    <row r="4551" spans="12:13" x14ac:dyDescent="0.2">
      <c r="L4551" s="5"/>
      <c r="M4551" s="5"/>
    </row>
    <row r="4552" spans="12:13" x14ac:dyDescent="0.2">
      <c r="L4552" s="5"/>
      <c r="M4552" s="5"/>
    </row>
    <row r="4553" spans="12:13" x14ac:dyDescent="0.2">
      <c r="L4553" s="5"/>
      <c r="M4553" s="5"/>
    </row>
    <row r="4554" spans="12:13" x14ac:dyDescent="0.2">
      <c r="L4554" s="5"/>
      <c r="M4554" s="5"/>
    </row>
    <row r="4555" spans="12:13" x14ac:dyDescent="0.2">
      <c r="L4555" s="5"/>
      <c r="M4555" s="5"/>
    </row>
    <row r="4556" spans="12:13" x14ac:dyDescent="0.2">
      <c r="L4556" s="5"/>
      <c r="M4556" s="5"/>
    </row>
    <row r="4557" spans="12:13" x14ac:dyDescent="0.2">
      <c r="L4557" s="5"/>
      <c r="M4557" s="5"/>
    </row>
    <row r="4558" spans="12:13" x14ac:dyDescent="0.2">
      <c r="L4558" s="5"/>
      <c r="M4558" s="5"/>
    </row>
    <row r="4559" spans="12:13" x14ac:dyDescent="0.2">
      <c r="L4559" s="5"/>
      <c r="M4559" s="5"/>
    </row>
    <row r="4560" spans="12:13" x14ac:dyDescent="0.2">
      <c r="L4560" s="5"/>
      <c r="M4560" s="5"/>
    </row>
    <row r="4561" spans="12:13" x14ac:dyDescent="0.2">
      <c r="L4561" s="5"/>
      <c r="M4561" s="5"/>
    </row>
    <row r="4562" spans="12:13" x14ac:dyDescent="0.2">
      <c r="L4562" s="5"/>
      <c r="M4562" s="5"/>
    </row>
    <row r="4563" spans="12:13" x14ac:dyDescent="0.2">
      <c r="L4563" s="5"/>
      <c r="M4563" s="5"/>
    </row>
    <row r="4564" spans="12:13" x14ac:dyDescent="0.2">
      <c r="L4564" s="5"/>
      <c r="M4564" s="5"/>
    </row>
    <row r="4565" spans="12:13" x14ac:dyDescent="0.2">
      <c r="L4565" s="5"/>
      <c r="M4565" s="5"/>
    </row>
    <row r="4566" spans="12:13" x14ac:dyDescent="0.2">
      <c r="L4566" s="5"/>
      <c r="M4566" s="5"/>
    </row>
    <row r="4567" spans="12:13" x14ac:dyDescent="0.2">
      <c r="L4567" s="5"/>
      <c r="M4567" s="5"/>
    </row>
    <row r="4568" spans="12:13" x14ac:dyDescent="0.2">
      <c r="L4568" s="5"/>
      <c r="M4568" s="5"/>
    </row>
    <row r="4569" spans="12:13" x14ac:dyDescent="0.2">
      <c r="L4569" s="5"/>
      <c r="M4569" s="5"/>
    </row>
    <row r="4570" spans="12:13" x14ac:dyDescent="0.2">
      <c r="L4570" s="5"/>
      <c r="M4570" s="5"/>
    </row>
    <row r="4571" spans="12:13" x14ac:dyDescent="0.2">
      <c r="L4571" s="5"/>
      <c r="M4571" s="5"/>
    </row>
    <row r="4572" spans="12:13" x14ac:dyDescent="0.2">
      <c r="L4572" s="5"/>
      <c r="M4572" s="5"/>
    </row>
    <row r="4573" spans="12:13" x14ac:dyDescent="0.2">
      <c r="L4573" s="5"/>
      <c r="M4573" s="5"/>
    </row>
    <row r="4574" spans="12:13" x14ac:dyDescent="0.2">
      <c r="L4574" s="5"/>
      <c r="M4574" s="5"/>
    </row>
    <row r="4575" spans="12:13" x14ac:dyDescent="0.2">
      <c r="L4575" s="5"/>
      <c r="M4575" s="5"/>
    </row>
    <row r="4576" spans="12:13" x14ac:dyDescent="0.2">
      <c r="L4576" s="5"/>
      <c r="M4576" s="5"/>
    </row>
    <row r="4577" spans="12:13" x14ac:dyDescent="0.2">
      <c r="L4577" s="5"/>
      <c r="M4577" s="5"/>
    </row>
    <row r="4578" spans="12:13" x14ac:dyDescent="0.2">
      <c r="L4578" s="5"/>
      <c r="M4578" s="5"/>
    </row>
    <row r="4579" spans="12:13" x14ac:dyDescent="0.2">
      <c r="L4579" s="5"/>
      <c r="M4579" s="5"/>
    </row>
    <row r="4580" spans="12:13" x14ac:dyDescent="0.2">
      <c r="L4580" s="5"/>
      <c r="M4580" s="5"/>
    </row>
    <row r="4581" spans="12:13" x14ac:dyDescent="0.2">
      <c r="L4581" s="5"/>
      <c r="M4581" s="5"/>
    </row>
    <row r="4582" spans="12:13" x14ac:dyDescent="0.2">
      <c r="L4582" s="5"/>
      <c r="M4582" s="5"/>
    </row>
    <row r="4583" spans="12:13" x14ac:dyDescent="0.2">
      <c r="L4583" s="5"/>
      <c r="M4583" s="5"/>
    </row>
    <row r="4584" spans="12:13" x14ac:dyDescent="0.2">
      <c r="L4584" s="5"/>
      <c r="M4584" s="5"/>
    </row>
    <row r="4585" spans="12:13" x14ac:dyDescent="0.2">
      <c r="L4585" s="5"/>
      <c r="M4585" s="5"/>
    </row>
    <row r="4586" spans="12:13" x14ac:dyDescent="0.2">
      <c r="L4586" s="5"/>
      <c r="M4586" s="5"/>
    </row>
    <row r="4587" spans="12:13" x14ac:dyDescent="0.2">
      <c r="L4587" s="5"/>
      <c r="M4587" s="5"/>
    </row>
    <row r="4588" spans="12:13" x14ac:dyDescent="0.2">
      <c r="L4588" s="5"/>
      <c r="M4588" s="5"/>
    </row>
    <row r="4589" spans="12:13" x14ac:dyDescent="0.2">
      <c r="L4589" s="5"/>
      <c r="M4589" s="5"/>
    </row>
    <row r="4590" spans="12:13" x14ac:dyDescent="0.2">
      <c r="L4590" s="5"/>
      <c r="M4590" s="5"/>
    </row>
    <row r="4591" spans="12:13" x14ac:dyDescent="0.2">
      <c r="L4591" s="5"/>
      <c r="M4591" s="5"/>
    </row>
    <row r="4592" spans="12:13" x14ac:dyDescent="0.2">
      <c r="L4592" s="5"/>
      <c r="M4592" s="5"/>
    </row>
    <row r="4593" spans="12:13" x14ac:dyDescent="0.2">
      <c r="L4593" s="5"/>
      <c r="M4593" s="5"/>
    </row>
    <row r="4594" spans="12:13" x14ac:dyDescent="0.2">
      <c r="L4594" s="5"/>
      <c r="M4594" s="5"/>
    </row>
    <row r="4595" spans="12:13" x14ac:dyDescent="0.2">
      <c r="L4595" s="5"/>
      <c r="M4595" s="5"/>
    </row>
    <row r="4596" spans="12:13" x14ac:dyDescent="0.2">
      <c r="L4596" s="5"/>
      <c r="M4596" s="5"/>
    </row>
    <row r="4597" spans="12:13" x14ac:dyDescent="0.2">
      <c r="L4597" s="5"/>
      <c r="M4597" s="5"/>
    </row>
    <row r="4598" spans="12:13" x14ac:dyDescent="0.2">
      <c r="L4598" s="5"/>
      <c r="M4598" s="5"/>
    </row>
    <row r="4599" spans="12:13" x14ac:dyDescent="0.2">
      <c r="L4599" s="5"/>
      <c r="M4599" s="5"/>
    </row>
    <row r="4600" spans="12:13" x14ac:dyDescent="0.2">
      <c r="L4600" s="5"/>
      <c r="M4600" s="5"/>
    </row>
    <row r="4601" spans="12:13" x14ac:dyDescent="0.2">
      <c r="L4601" s="5"/>
      <c r="M4601" s="5"/>
    </row>
    <row r="4602" spans="12:13" x14ac:dyDescent="0.2">
      <c r="L4602" s="5"/>
      <c r="M4602" s="5"/>
    </row>
    <row r="4603" spans="12:13" x14ac:dyDescent="0.2">
      <c r="L4603" s="5"/>
      <c r="M4603" s="5"/>
    </row>
    <row r="4604" spans="12:13" x14ac:dyDescent="0.2">
      <c r="L4604" s="5"/>
      <c r="M4604" s="5"/>
    </row>
    <row r="4605" spans="12:13" x14ac:dyDescent="0.2">
      <c r="L4605" s="5"/>
      <c r="M4605" s="5"/>
    </row>
    <row r="4606" spans="12:13" x14ac:dyDescent="0.2">
      <c r="L4606" s="5"/>
      <c r="M4606" s="5"/>
    </row>
    <row r="4607" spans="12:13" x14ac:dyDescent="0.2">
      <c r="L4607" s="5"/>
      <c r="M4607" s="5"/>
    </row>
    <row r="4608" spans="12:13" x14ac:dyDescent="0.2">
      <c r="L4608" s="5"/>
      <c r="M4608" s="5"/>
    </row>
    <row r="4609" spans="12:13" x14ac:dyDescent="0.2">
      <c r="L4609" s="5"/>
      <c r="M4609" s="5"/>
    </row>
    <row r="4610" spans="12:13" x14ac:dyDescent="0.2">
      <c r="L4610" s="5"/>
      <c r="M4610" s="5"/>
    </row>
    <row r="4611" spans="12:13" x14ac:dyDescent="0.2">
      <c r="L4611" s="5"/>
      <c r="M4611" s="5"/>
    </row>
    <row r="4612" spans="12:13" x14ac:dyDescent="0.2">
      <c r="L4612" s="5"/>
      <c r="M4612" s="5"/>
    </row>
    <row r="4613" spans="12:13" x14ac:dyDescent="0.2">
      <c r="L4613" s="5"/>
      <c r="M4613" s="5"/>
    </row>
    <row r="4614" spans="12:13" x14ac:dyDescent="0.2">
      <c r="L4614" s="5"/>
      <c r="M4614" s="5"/>
    </row>
    <row r="4615" spans="12:13" x14ac:dyDescent="0.2">
      <c r="L4615" s="5"/>
      <c r="M4615" s="5"/>
    </row>
    <row r="4616" spans="12:13" x14ac:dyDescent="0.2">
      <c r="L4616" s="5"/>
      <c r="M4616" s="5"/>
    </row>
    <row r="4617" spans="12:13" x14ac:dyDescent="0.2">
      <c r="L4617" s="5"/>
      <c r="M4617" s="5"/>
    </row>
    <row r="4618" spans="12:13" x14ac:dyDescent="0.2">
      <c r="L4618" s="5"/>
      <c r="M4618" s="5"/>
    </row>
    <row r="4619" spans="12:13" x14ac:dyDescent="0.2">
      <c r="L4619" s="5"/>
      <c r="M4619" s="5"/>
    </row>
    <row r="4620" spans="12:13" x14ac:dyDescent="0.2">
      <c r="L4620" s="5"/>
      <c r="M4620" s="5"/>
    </row>
    <row r="4621" spans="12:13" x14ac:dyDescent="0.2">
      <c r="L4621" s="5"/>
      <c r="M4621" s="5"/>
    </row>
    <row r="4622" spans="12:13" x14ac:dyDescent="0.2">
      <c r="L4622" s="5"/>
      <c r="M4622" s="5"/>
    </row>
    <row r="4623" spans="12:13" x14ac:dyDescent="0.2">
      <c r="L4623" s="5"/>
      <c r="M4623" s="5"/>
    </row>
    <row r="4624" spans="12:13" x14ac:dyDescent="0.2">
      <c r="L4624" s="5"/>
      <c r="M4624" s="5"/>
    </row>
    <row r="4625" spans="12:13" x14ac:dyDescent="0.2">
      <c r="L4625" s="5"/>
      <c r="M4625" s="5"/>
    </row>
    <row r="4626" spans="12:13" x14ac:dyDescent="0.2">
      <c r="L4626" s="5"/>
      <c r="M4626" s="5"/>
    </row>
    <row r="4627" spans="12:13" x14ac:dyDescent="0.2">
      <c r="L4627" s="5"/>
      <c r="M4627" s="5"/>
    </row>
    <row r="4628" spans="12:13" x14ac:dyDescent="0.2">
      <c r="L4628" s="5"/>
      <c r="M4628" s="5"/>
    </row>
    <row r="4629" spans="12:13" x14ac:dyDescent="0.2">
      <c r="L4629" s="5"/>
      <c r="M4629" s="5"/>
    </row>
    <row r="4630" spans="12:13" x14ac:dyDescent="0.2">
      <c r="L4630" s="5"/>
      <c r="M4630" s="5"/>
    </row>
    <row r="4631" spans="12:13" x14ac:dyDescent="0.2">
      <c r="L4631" s="5"/>
      <c r="M4631" s="5"/>
    </row>
    <row r="4632" spans="12:13" x14ac:dyDescent="0.2">
      <c r="L4632" s="5"/>
      <c r="M4632" s="5"/>
    </row>
    <row r="4633" spans="12:13" x14ac:dyDescent="0.2">
      <c r="L4633" s="5"/>
      <c r="M4633" s="5"/>
    </row>
    <row r="4634" spans="12:13" x14ac:dyDescent="0.2">
      <c r="L4634" s="5"/>
      <c r="M4634" s="5"/>
    </row>
    <row r="4635" spans="12:13" x14ac:dyDescent="0.2">
      <c r="L4635" s="5"/>
      <c r="M4635" s="5"/>
    </row>
    <row r="4636" spans="12:13" x14ac:dyDescent="0.2">
      <c r="L4636" s="5"/>
      <c r="M4636" s="5"/>
    </row>
    <row r="4637" spans="12:13" x14ac:dyDescent="0.2">
      <c r="L4637" s="5"/>
      <c r="M4637" s="5"/>
    </row>
    <row r="4638" spans="12:13" x14ac:dyDescent="0.2">
      <c r="L4638" s="5"/>
      <c r="M4638" s="5"/>
    </row>
    <row r="4639" spans="12:13" x14ac:dyDescent="0.2">
      <c r="L4639" s="5"/>
      <c r="M4639" s="5"/>
    </row>
    <row r="4640" spans="12:13" x14ac:dyDescent="0.2">
      <c r="L4640" s="5"/>
      <c r="M4640" s="5"/>
    </row>
    <row r="4641" spans="12:13" x14ac:dyDescent="0.2">
      <c r="L4641" s="5"/>
      <c r="M4641" s="5"/>
    </row>
    <row r="4642" spans="12:13" x14ac:dyDescent="0.2">
      <c r="L4642" s="5"/>
      <c r="M4642" s="5"/>
    </row>
    <row r="4643" spans="12:13" x14ac:dyDescent="0.2">
      <c r="L4643" s="5"/>
      <c r="M4643" s="5"/>
    </row>
    <row r="4644" spans="12:13" x14ac:dyDescent="0.2">
      <c r="L4644" s="5"/>
      <c r="M4644" s="5"/>
    </row>
    <row r="4645" spans="12:13" x14ac:dyDescent="0.2">
      <c r="L4645" s="5"/>
      <c r="M4645" s="5"/>
    </row>
    <row r="4646" spans="12:13" x14ac:dyDescent="0.2">
      <c r="L4646" s="5"/>
      <c r="M4646" s="5"/>
    </row>
    <row r="4647" spans="12:13" x14ac:dyDescent="0.2">
      <c r="L4647" s="5"/>
      <c r="M4647" s="5"/>
    </row>
    <row r="4648" spans="12:13" x14ac:dyDescent="0.2">
      <c r="L4648" s="5"/>
      <c r="M4648" s="5"/>
    </row>
    <row r="4649" spans="12:13" x14ac:dyDescent="0.2">
      <c r="L4649" s="5"/>
      <c r="M4649" s="5"/>
    </row>
    <row r="4650" spans="12:13" x14ac:dyDescent="0.2">
      <c r="L4650" s="5"/>
      <c r="M4650" s="5"/>
    </row>
    <row r="4651" spans="12:13" x14ac:dyDescent="0.2">
      <c r="L4651" s="5"/>
      <c r="M4651" s="5"/>
    </row>
    <row r="4652" spans="12:13" x14ac:dyDescent="0.2">
      <c r="L4652" s="5"/>
      <c r="M4652" s="5"/>
    </row>
    <row r="4653" spans="12:13" x14ac:dyDescent="0.2">
      <c r="L4653" s="5"/>
      <c r="M4653" s="5"/>
    </row>
    <row r="4654" spans="12:13" x14ac:dyDescent="0.2">
      <c r="L4654" s="5"/>
      <c r="M4654" s="5"/>
    </row>
    <row r="4655" spans="12:13" x14ac:dyDescent="0.2">
      <c r="L4655" s="5"/>
      <c r="M4655" s="5"/>
    </row>
    <row r="4656" spans="12:13" x14ac:dyDescent="0.2">
      <c r="L4656" s="5"/>
      <c r="M4656" s="5"/>
    </row>
    <row r="4657" spans="12:13" x14ac:dyDescent="0.2">
      <c r="L4657" s="5"/>
      <c r="M4657" s="5"/>
    </row>
    <row r="4658" spans="12:13" x14ac:dyDescent="0.2">
      <c r="L4658" s="5"/>
      <c r="M4658" s="5"/>
    </row>
    <row r="4659" spans="12:13" x14ac:dyDescent="0.2">
      <c r="L4659" s="5"/>
      <c r="M4659" s="5"/>
    </row>
    <row r="4660" spans="12:13" x14ac:dyDescent="0.2">
      <c r="L4660" s="5"/>
      <c r="M4660" s="5"/>
    </row>
    <row r="4661" spans="12:13" x14ac:dyDescent="0.2">
      <c r="L4661" s="5"/>
      <c r="M4661" s="5"/>
    </row>
    <row r="4662" spans="12:13" x14ac:dyDescent="0.2">
      <c r="L4662" s="5"/>
      <c r="M4662" s="5"/>
    </row>
    <row r="4663" spans="12:13" x14ac:dyDescent="0.2">
      <c r="L4663" s="5"/>
      <c r="M4663" s="5"/>
    </row>
    <row r="4664" spans="12:13" x14ac:dyDescent="0.2">
      <c r="L4664" s="5"/>
      <c r="M4664" s="5"/>
    </row>
    <row r="4665" spans="12:13" x14ac:dyDescent="0.2">
      <c r="L4665" s="5"/>
      <c r="M4665" s="5"/>
    </row>
    <row r="4666" spans="12:13" x14ac:dyDescent="0.2">
      <c r="L4666" s="5"/>
      <c r="M4666" s="5"/>
    </row>
    <row r="4667" spans="12:13" x14ac:dyDescent="0.2">
      <c r="L4667" s="5"/>
      <c r="M4667" s="5"/>
    </row>
    <row r="4668" spans="12:13" x14ac:dyDescent="0.2">
      <c r="L4668" s="5"/>
      <c r="M4668" s="5"/>
    </row>
    <row r="4669" spans="12:13" x14ac:dyDescent="0.2">
      <c r="L4669" s="5"/>
      <c r="M4669" s="5"/>
    </row>
    <row r="4670" spans="12:13" x14ac:dyDescent="0.2">
      <c r="L4670" s="5"/>
      <c r="M4670" s="5"/>
    </row>
    <row r="4671" spans="12:13" x14ac:dyDescent="0.2">
      <c r="L4671" s="5"/>
      <c r="M4671" s="5"/>
    </row>
    <row r="4672" spans="12:13" x14ac:dyDescent="0.2">
      <c r="L4672" s="5"/>
      <c r="M4672" s="5"/>
    </row>
    <row r="4673" spans="12:13" x14ac:dyDescent="0.2">
      <c r="L4673" s="5"/>
      <c r="M4673" s="5"/>
    </row>
    <row r="4674" spans="12:13" x14ac:dyDescent="0.2">
      <c r="L4674" s="5"/>
      <c r="M4674" s="5"/>
    </row>
    <row r="4675" spans="12:13" x14ac:dyDescent="0.2">
      <c r="L4675" s="5"/>
      <c r="M4675" s="5"/>
    </row>
    <row r="4676" spans="12:13" x14ac:dyDescent="0.2">
      <c r="L4676" s="5"/>
      <c r="M4676" s="5"/>
    </row>
    <row r="4677" spans="12:13" x14ac:dyDescent="0.2">
      <c r="L4677" s="5"/>
      <c r="M4677" s="5"/>
    </row>
    <row r="4678" spans="12:13" x14ac:dyDescent="0.2">
      <c r="L4678" s="5"/>
      <c r="M4678" s="5"/>
    </row>
    <row r="4679" spans="12:13" x14ac:dyDescent="0.2">
      <c r="L4679" s="5"/>
      <c r="M4679" s="5"/>
    </row>
    <row r="4680" spans="12:13" x14ac:dyDescent="0.2">
      <c r="L4680" s="5"/>
      <c r="M4680" s="5"/>
    </row>
    <row r="4681" spans="12:13" x14ac:dyDescent="0.2">
      <c r="L4681" s="5"/>
      <c r="M4681" s="5"/>
    </row>
    <row r="4682" spans="12:13" x14ac:dyDescent="0.2">
      <c r="L4682" s="5"/>
      <c r="M4682" s="5"/>
    </row>
    <row r="4683" spans="12:13" x14ac:dyDescent="0.2">
      <c r="L4683" s="5"/>
      <c r="M4683" s="5"/>
    </row>
    <row r="4684" spans="12:13" x14ac:dyDescent="0.2">
      <c r="L4684" s="5"/>
      <c r="M4684" s="5"/>
    </row>
    <row r="4685" spans="12:13" x14ac:dyDescent="0.2">
      <c r="L4685" s="5"/>
      <c r="M4685" s="5"/>
    </row>
    <row r="4686" spans="12:13" x14ac:dyDescent="0.2">
      <c r="L4686" s="5"/>
      <c r="M4686" s="5"/>
    </row>
    <row r="4687" spans="12:13" x14ac:dyDescent="0.2">
      <c r="L4687" s="5"/>
      <c r="M4687" s="5"/>
    </row>
    <row r="4688" spans="12:13" x14ac:dyDescent="0.2">
      <c r="L4688" s="5"/>
      <c r="M4688" s="5"/>
    </row>
    <row r="4689" spans="12:13" x14ac:dyDescent="0.2">
      <c r="L4689" s="5"/>
      <c r="M4689" s="5"/>
    </row>
    <row r="4690" spans="12:13" x14ac:dyDescent="0.2">
      <c r="L4690" s="5"/>
      <c r="M4690" s="5"/>
    </row>
    <row r="4691" spans="12:13" x14ac:dyDescent="0.2">
      <c r="L4691" s="5"/>
      <c r="M4691" s="5"/>
    </row>
    <row r="4692" spans="12:13" x14ac:dyDescent="0.2">
      <c r="L4692" s="5"/>
      <c r="M4692" s="5"/>
    </row>
    <row r="4693" spans="12:13" x14ac:dyDescent="0.2">
      <c r="L4693" s="5"/>
      <c r="M4693" s="5"/>
    </row>
    <row r="4694" spans="12:13" x14ac:dyDescent="0.2">
      <c r="L4694" s="5"/>
      <c r="M4694" s="5"/>
    </row>
    <row r="4695" spans="12:13" x14ac:dyDescent="0.2">
      <c r="L4695" s="5"/>
      <c r="M4695" s="5"/>
    </row>
    <row r="4696" spans="12:13" x14ac:dyDescent="0.2">
      <c r="L4696" s="5"/>
      <c r="M4696" s="5"/>
    </row>
    <row r="4697" spans="12:13" x14ac:dyDescent="0.2">
      <c r="L4697" s="5"/>
      <c r="M4697" s="5"/>
    </row>
    <row r="4698" spans="12:13" x14ac:dyDescent="0.2">
      <c r="L4698" s="5"/>
      <c r="M4698" s="5"/>
    </row>
    <row r="4699" spans="12:13" x14ac:dyDescent="0.2">
      <c r="L4699" s="5"/>
      <c r="M4699" s="5"/>
    </row>
    <row r="4700" spans="12:13" x14ac:dyDescent="0.2">
      <c r="L4700" s="5"/>
      <c r="M4700" s="5"/>
    </row>
    <row r="4701" spans="12:13" x14ac:dyDescent="0.2">
      <c r="L4701" s="5"/>
      <c r="M4701" s="5"/>
    </row>
    <row r="4702" spans="12:13" x14ac:dyDescent="0.2">
      <c r="L4702" s="5"/>
      <c r="M4702" s="5"/>
    </row>
    <row r="4703" spans="12:13" x14ac:dyDescent="0.2">
      <c r="L4703" s="5"/>
      <c r="M4703" s="5"/>
    </row>
    <row r="4704" spans="12:13" x14ac:dyDescent="0.2">
      <c r="L4704" s="5"/>
      <c r="M4704" s="5"/>
    </row>
    <row r="4705" spans="12:13" x14ac:dyDescent="0.2">
      <c r="L4705" s="5"/>
      <c r="M4705" s="5"/>
    </row>
    <row r="4706" spans="12:13" x14ac:dyDescent="0.2">
      <c r="L4706" s="5"/>
      <c r="M4706" s="5"/>
    </row>
    <row r="4707" spans="12:13" x14ac:dyDescent="0.2">
      <c r="L4707" s="5"/>
      <c r="M4707" s="5"/>
    </row>
    <row r="4708" spans="12:13" x14ac:dyDescent="0.2">
      <c r="L4708" s="5"/>
      <c r="M4708" s="5"/>
    </row>
    <row r="4709" spans="12:13" x14ac:dyDescent="0.2">
      <c r="L4709" s="5"/>
      <c r="M4709" s="5"/>
    </row>
    <row r="4710" spans="12:13" x14ac:dyDescent="0.2">
      <c r="L4710" s="5"/>
      <c r="M4710" s="5"/>
    </row>
    <row r="4711" spans="12:13" x14ac:dyDescent="0.2">
      <c r="L4711" s="5"/>
      <c r="M4711" s="5"/>
    </row>
    <row r="4712" spans="12:13" x14ac:dyDescent="0.2">
      <c r="L4712" s="5"/>
      <c r="M4712" s="5"/>
    </row>
    <row r="4713" spans="12:13" x14ac:dyDescent="0.2">
      <c r="L4713" s="5"/>
      <c r="M4713" s="5"/>
    </row>
    <row r="4714" spans="12:13" x14ac:dyDescent="0.2">
      <c r="L4714" s="5"/>
      <c r="M4714" s="5"/>
    </row>
    <row r="4715" spans="12:13" x14ac:dyDescent="0.2">
      <c r="L4715" s="5"/>
      <c r="M4715" s="5"/>
    </row>
    <row r="4716" spans="12:13" x14ac:dyDescent="0.2">
      <c r="L4716" s="5"/>
      <c r="M4716" s="5"/>
    </row>
    <row r="4717" spans="12:13" x14ac:dyDescent="0.2">
      <c r="L4717" s="5"/>
      <c r="M4717" s="5"/>
    </row>
    <row r="4718" spans="12:13" x14ac:dyDescent="0.2">
      <c r="L4718" s="5"/>
      <c r="M4718" s="5"/>
    </row>
    <row r="4719" spans="12:13" x14ac:dyDescent="0.2">
      <c r="L4719" s="5"/>
      <c r="M4719" s="5"/>
    </row>
    <row r="4720" spans="12:13" x14ac:dyDescent="0.2">
      <c r="L4720" s="5"/>
      <c r="M4720" s="5"/>
    </row>
    <row r="4721" spans="12:13" x14ac:dyDescent="0.2">
      <c r="L4721" s="5"/>
      <c r="M4721" s="5"/>
    </row>
    <row r="4722" spans="12:13" x14ac:dyDescent="0.2">
      <c r="L4722" s="5"/>
      <c r="M4722" s="5"/>
    </row>
    <row r="4723" spans="12:13" x14ac:dyDescent="0.2">
      <c r="L4723" s="5"/>
      <c r="M4723" s="5"/>
    </row>
    <row r="4724" spans="12:13" x14ac:dyDescent="0.2">
      <c r="L4724" s="5"/>
      <c r="M4724" s="5"/>
    </row>
    <row r="4725" spans="12:13" x14ac:dyDescent="0.2">
      <c r="L4725" s="5"/>
      <c r="M4725" s="5"/>
    </row>
    <row r="4726" spans="12:13" x14ac:dyDescent="0.2">
      <c r="L4726" s="5"/>
      <c r="M4726" s="5"/>
    </row>
    <row r="4727" spans="12:13" x14ac:dyDescent="0.2">
      <c r="L4727" s="5"/>
      <c r="M4727" s="5"/>
    </row>
    <row r="4728" spans="12:13" x14ac:dyDescent="0.2">
      <c r="L4728" s="5"/>
      <c r="M4728" s="5"/>
    </row>
    <row r="4729" spans="12:13" x14ac:dyDescent="0.2">
      <c r="L4729" s="5"/>
      <c r="M4729" s="5"/>
    </row>
    <row r="4730" spans="12:13" x14ac:dyDescent="0.2">
      <c r="L4730" s="5"/>
      <c r="M4730" s="5"/>
    </row>
    <row r="4731" spans="12:13" x14ac:dyDescent="0.2">
      <c r="L4731" s="5"/>
      <c r="M4731" s="5"/>
    </row>
    <row r="4732" spans="12:13" x14ac:dyDescent="0.2">
      <c r="L4732" s="5"/>
      <c r="M4732" s="5"/>
    </row>
    <row r="4733" spans="12:13" x14ac:dyDescent="0.2">
      <c r="L4733" s="5"/>
      <c r="M4733" s="5"/>
    </row>
    <row r="4734" spans="12:13" x14ac:dyDescent="0.2">
      <c r="L4734" s="5"/>
      <c r="M4734" s="5"/>
    </row>
    <row r="4735" spans="12:13" x14ac:dyDescent="0.2">
      <c r="L4735" s="5"/>
      <c r="M4735" s="5"/>
    </row>
    <row r="4736" spans="12:13" x14ac:dyDescent="0.2">
      <c r="L4736" s="5"/>
      <c r="M4736" s="5"/>
    </row>
    <row r="4737" spans="12:13" x14ac:dyDescent="0.2">
      <c r="L4737" s="5"/>
      <c r="M4737" s="5"/>
    </row>
    <row r="4738" spans="12:13" x14ac:dyDescent="0.2">
      <c r="L4738" s="5"/>
      <c r="M4738" s="5"/>
    </row>
    <row r="4739" spans="12:13" x14ac:dyDescent="0.2">
      <c r="L4739" s="5"/>
      <c r="M4739" s="5"/>
    </row>
    <row r="4740" spans="12:13" x14ac:dyDescent="0.2">
      <c r="L4740" s="5"/>
      <c r="M4740" s="5"/>
    </row>
    <row r="4741" spans="12:13" x14ac:dyDescent="0.2">
      <c r="L4741" s="5"/>
      <c r="M4741" s="5"/>
    </row>
    <row r="4742" spans="12:13" x14ac:dyDescent="0.2">
      <c r="L4742" s="5"/>
      <c r="M4742" s="5"/>
    </row>
    <row r="4743" spans="12:13" x14ac:dyDescent="0.2">
      <c r="L4743" s="5"/>
      <c r="M4743" s="5"/>
    </row>
    <row r="4744" spans="12:13" x14ac:dyDescent="0.2">
      <c r="L4744" s="5"/>
      <c r="M4744" s="5"/>
    </row>
    <row r="4745" spans="12:13" x14ac:dyDescent="0.2">
      <c r="L4745" s="5"/>
      <c r="M4745" s="5"/>
    </row>
    <row r="4746" spans="12:13" x14ac:dyDescent="0.2">
      <c r="L4746" s="5"/>
      <c r="M4746" s="5"/>
    </row>
    <row r="4747" spans="12:13" x14ac:dyDescent="0.2">
      <c r="L4747" s="5"/>
      <c r="M4747" s="5"/>
    </row>
    <row r="4748" spans="12:13" x14ac:dyDescent="0.2">
      <c r="L4748" s="5"/>
      <c r="M4748" s="5"/>
    </row>
    <row r="4749" spans="12:13" x14ac:dyDescent="0.2">
      <c r="L4749" s="5"/>
      <c r="M4749" s="5"/>
    </row>
    <row r="4750" spans="12:13" x14ac:dyDescent="0.2">
      <c r="L4750" s="5"/>
      <c r="M4750" s="5"/>
    </row>
    <row r="4751" spans="12:13" x14ac:dyDescent="0.2">
      <c r="L4751" s="5"/>
      <c r="M4751" s="5"/>
    </row>
    <row r="4752" spans="12:13" x14ac:dyDescent="0.2">
      <c r="L4752" s="5"/>
      <c r="M4752" s="5"/>
    </row>
    <row r="4753" spans="12:13" x14ac:dyDescent="0.2">
      <c r="L4753" s="5"/>
      <c r="M4753" s="5"/>
    </row>
    <row r="4754" spans="12:13" x14ac:dyDescent="0.2">
      <c r="L4754" s="5"/>
      <c r="M4754" s="5"/>
    </row>
    <row r="4755" spans="12:13" x14ac:dyDescent="0.2">
      <c r="L4755" s="5"/>
      <c r="M4755" s="5"/>
    </row>
    <row r="4756" spans="12:13" x14ac:dyDescent="0.2">
      <c r="L4756" s="5"/>
      <c r="M4756" s="5"/>
    </row>
    <row r="4757" spans="12:13" x14ac:dyDescent="0.2">
      <c r="L4757" s="5"/>
      <c r="M4757" s="5"/>
    </row>
    <row r="4758" spans="12:13" x14ac:dyDescent="0.2">
      <c r="L4758" s="5"/>
      <c r="M4758" s="5"/>
    </row>
    <row r="4759" spans="12:13" x14ac:dyDescent="0.2">
      <c r="L4759" s="5"/>
      <c r="M4759" s="5"/>
    </row>
    <row r="4760" spans="12:13" x14ac:dyDescent="0.2">
      <c r="L4760" s="5"/>
      <c r="M4760" s="5"/>
    </row>
    <row r="4761" spans="12:13" x14ac:dyDescent="0.2">
      <c r="L4761" s="5"/>
      <c r="M4761" s="5"/>
    </row>
    <row r="4762" spans="12:13" x14ac:dyDescent="0.2">
      <c r="L4762" s="5"/>
      <c r="M4762" s="5"/>
    </row>
    <row r="4763" spans="12:13" x14ac:dyDescent="0.2">
      <c r="L4763" s="5"/>
      <c r="M4763" s="5"/>
    </row>
    <row r="4764" spans="12:13" x14ac:dyDescent="0.2">
      <c r="L4764" s="5"/>
      <c r="M4764" s="5"/>
    </row>
    <row r="4765" spans="12:13" x14ac:dyDescent="0.2">
      <c r="L4765" s="5"/>
      <c r="M4765" s="5"/>
    </row>
    <row r="4766" spans="12:13" x14ac:dyDescent="0.2">
      <c r="L4766" s="5"/>
      <c r="M4766" s="5"/>
    </row>
    <row r="4767" spans="12:13" x14ac:dyDescent="0.2">
      <c r="L4767" s="5"/>
      <c r="M4767" s="5"/>
    </row>
    <row r="4768" spans="12:13" x14ac:dyDescent="0.2">
      <c r="L4768" s="5"/>
      <c r="M4768" s="5"/>
    </row>
    <row r="4769" spans="12:13" x14ac:dyDescent="0.2">
      <c r="L4769" s="5"/>
      <c r="M4769" s="5"/>
    </row>
    <row r="4770" spans="12:13" x14ac:dyDescent="0.2">
      <c r="L4770" s="5"/>
      <c r="M4770" s="5"/>
    </row>
    <row r="4771" spans="12:13" x14ac:dyDescent="0.2">
      <c r="L4771" s="5"/>
      <c r="M4771" s="5"/>
    </row>
    <row r="4772" spans="12:13" x14ac:dyDescent="0.2">
      <c r="L4772" s="5"/>
      <c r="M4772" s="5"/>
    </row>
    <row r="4773" spans="12:13" x14ac:dyDescent="0.2">
      <c r="L4773" s="5"/>
      <c r="M4773" s="5"/>
    </row>
    <row r="4774" spans="12:13" x14ac:dyDescent="0.2">
      <c r="L4774" s="5"/>
      <c r="M4774" s="5"/>
    </row>
    <row r="4775" spans="12:13" x14ac:dyDescent="0.2">
      <c r="L4775" s="5"/>
      <c r="M4775" s="5"/>
    </row>
    <row r="4776" spans="12:13" x14ac:dyDescent="0.2">
      <c r="L4776" s="5"/>
      <c r="M4776" s="5"/>
    </row>
    <row r="4777" spans="12:13" x14ac:dyDescent="0.2">
      <c r="L4777" s="5"/>
      <c r="M4777" s="5"/>
    </row>
    <row r="4778" spans="12:13" x14ac:dyDescent="0.2">
      <c r="L4778" s="5"/>
      <c r="M4778" s="5"/>
    </row>
    <row r="4779" spans="12:13" x14ac:dyDescent="0.2">
      <c r="L4779" s="5"/>
      <c r="M4779" s="5"/>
    </row>
    <row r="4780" spans="12:13" x14ac:dyDescent="0.2">
      <c r="L4780" s="5"/>
      <c r="M4780" s="5"/>
    </row>
    <row r="4781" spans="12:13" x14ac:dyDescent="0.2">
      <c r="L4781" s="5"/>
      <c r="M4781" s="5"/>
    </row>
    <row r="4782" spans="12:13" x14ac:dyDescent="0.2">
      <c r="L4782" s="5"/>
      <c r="M4782" s="5"/>
    </row>
    <row r="4783" spans="12:13" x14ac:dyDescent="0.2">
      <c r="L4783" s="5"/>
      <c r="M4783" s="5"/>
    </row>
    <row r="4784" spans="12:13" x14ac:dyDescent="0.2">
      <c r="L4784" s="5"/>
      <c r="M4784" s="5"/>
    </row>
    <row r="4785" spans="12:13" x14ac:dyDescent="0.2">
      <c r="L4785" s="5"/>
      <c r="M4785" s="5"/>
    </row>
    <row r="4786" spans="12:13" x14ac:dyDescent="0.2">
      <c r="L4786" s="5"/>
      <c r="M4786" s="5"/>
    </row>
    <row r="4787" spans="12:13" x14ac:dyDescent="0.2">
      <c r="L4787" s="5"/>
      <c r="M4787" s="5"/>
    </row>
    <row r="4788" spans="12:13" x14ac:dyDescent="0.2">
      <c r="L4788" s="5"/>
      <c r="M4788" s="5"/>
    </row>
    <row r="4789" spans="12:13" x14ac:dyDescent="0.2">
      <c r="L4789" s="5"/>
      <c r="M4789" s="5"/>
    </row>
    <row r="4790" spans="12:13" x14ac:dyDescent="0.2">
      <c r="L4790" s="5"/>
      <c r="M4790" s="5"/>
    </row>
    <row r="4791" spans="12:13" x14ac:dyDescent="0.2">
      <c r="L4791" s="5"/>
      <c r="M4791" s="5"/>
    </row>
    <row r="4792" spans="12:13" x14ac:dyDescent="0.2">
      <c r="L4792" s="5"/>
      <c r="M4792" s="5"/>
    </row>
    <row r="4793" spans="12:13" x14ac:dyDescent="0.2">
      <c r="L4793" s="5"/>
      <c r="M4793" s="5"/>
    </row>
    <row r="4794" spans="12:13" x14ac:dyDescent="0.2">
      <c r="L4794" s="5"/>
      <c r="M4794" s="5"/>
    </row>
    <row r="4795" spans="12:13" x14ac:dyDescent="0.2">
      <c r="L4795" s="5"/>
      <c r="M4795" s="5"/>
    </row>
    <row r="4796" spans="12:13" x14ac:dyDescent="0.2">
      <c r="L4796" s="5"/>
      <c r="M4796" s="5"/>
    </row>
    <row r="4797" spans="12:13" x14ac:dyDescent="0.2">
      <c r="L4797" s="5"/>
      <c r="M4797" s="5"/>
    </row>
    <row r="4798" spans="12:13" x14ac:dyDescent="0.2">
      <c r="L4798" s="5"/>
      <c r="M4798" s="5"/>
    </row>
    <row r="4799" spans="12:13" x14ac:dyDescent="0.2">
      <c r="L4799" s="5"/>
      <c r="M4799" s="5"/>
    </row>
    <row r="4800" spans="12:13" x14ac:dyDescent="0.2">
      <c r="L4800" s="5"/>
      <c r="M4800" s="5"/>
    </row>
    <row r="4801" spans="12:13" x14ac:dyDescent="0.2">
      <c r="L4801" s="5"/>
      <c r="M4801" s="5"/>
    </row>
    <row r="4802" spans="12:13" x14ac:dyDescent="0.2">
      <c r="L4802" s="5"/>
      <c r="M4802" s="5"/>
    </row>
    <row r="4803" spans="12:13" x14ac:dyDescent="0.2">
      <c r="L4803" s="5"/>
      <c r="M4803" s="5"/>
    </row>
    <row r="4804" spans="12:13" x14ac:dyDescent="0.2">
      <c r="L4804" s="5"/>
      <c r="M4804" s="5"/>
    </row>
    <row r="4805" spans="12:13" x14ac:dyDescent="0.2">
      <c r="L4805" s="5"/>
      <c r="M4805" s="5"/>
    </row>
    <row r="4806" spans="12:13" x14ac:dyDescent="0.2">
      <c r="L4806" s="5"/>
      <c r="M4806" s="5"/>
    </row>
    <row r="4807" spans="12:13" x14ac:dyDescent="0.2">
      <c r="L4807" s="5"/>
      <c r="M4807" s="5"/>
    </row>
    <row r="4808" spans="12:13" x14ac:dyDescent="0.2">
      <c r="L4808" s="5"/>
      <c r="M4808" s="5"/>
    </row>
    <row r="4809" spans="12:13" x14ac:dyDescent="0.2">
      <c r="L4809" s="5"/>
      <c r="M4809" s="5"/>
    </row>
    <row r="4810" spans="12:13" x14ac:dyDescent="0.2">
      <c r="L4810" s="5"/>
      <c r="M4810" s="5"/>
    </row>
    <row r="4811" spans="12:13" x14ac:dyDescent="0.2">
      <c r="L4811" s="5"/>
      <c r="M4811" s="5"/>
    </row>
    <row r="4812" spans="12:13" x14ac:dyDescent="0.2">
      <c r="L4812" s="5"/>
      <c r="M4812" s="5"/>
    </row>
    <row r="4813" spans="12:13" x14ac:dyDescent="0.2">
      <c r="L4813" s="5"/>
      <c r="M4813" s="5"/>
    </row>
    <row r="4814" spans="12:13" x14ac:dyDescent="0.2">
      <c r="L4814" s="5"/>
      <c r="M4814" s="5"/>
    </row>
    <row r="4815" spans="12:13" x14ac:dyDescent="0.2">
      <c r="L4815" s="5"/>
      <c r="M4815" s="5"/>
    </row>
    <row r="4816" spans="12:13" x14ac:dyDescent="0.2">
      <c r="L4816" s="5"/>
      <c r="M4816" s="5"/>
    </row>
    <row r="4817" spans="12:13" x14ac:dyDescent="0.2">
      <c r="L4817" s="5"/>
      <c r="M4817" s="5"/>
    </row>
    <row r="4818" spans="12:13" x14ac:dyDescent="0.2">
      <c r="L4818" s="5"/>
      <c r="M4818" s="5"/>
    </row>
    <row r="4819" spans="12:13" x14ac:dyDescent="0.2">
      <c r="L4819" s="5"/>
      <c r="M4819" s="5"/>
    </row>
    <row r="4820" spans="12:13" x14ac:dyDescent="0.2">
      <c r="L4820" s="5"/>
      <c r="M4820" s="5"/>
    </row>
    <row r="4821" spans="12:13" x14ac:dyDescent="0.2">
      <c r="L4821" s="5"/>
      <c r="M4821" s="5"/>
    </row>
    <row r="4822" spans="12:13" x14ac:dyDescent="0.2">
      <c r="L4822" s="5"/>
      <c r="M4822" s="5"/>
    </row>
    <row r="4823" spans="12:13" x14ac:dyDescent="0.2">
      <c r="L4823" s="5"/>
      <c r="M4823" s="5"/>
    </row>
    <row r="4824" spans="12:13" x14ac:dyDescent="0.2">
      <c r="L4824" s="5"/>
      <c r="M4824" s="5"/>
    </row>
    <row r="4825" spans="12:13" x14ac:dyDescent="0.2">
      <c r="L4825" s="5"/>
      <c r="M4825" s="5"/>
    </row>
    <row r="4826" spans="12:13" x14ac:dyDescent="0.2">
      <c r="L4826" s="5"/>
      <c r="M4826" s="5"/>
    </row>
    <row r="4827" spans="12:13" x14ac:dyDescent="0.2">
      <c r="L4827" s="5"/>
      <c r="M4827" s="5"/>
    </row>
    <row r="4828" spans="12:13" x14ac:dyDescent="0.2">
      <c r="L4828" s="5"/>
      <c r="M4828" s="5"/>
    </row>
    <row r="4829" spans="12:13" x14ac:dyDescent="0.2">
      <c r="L4829" s="5"/>
      <c r="M4829" s="5"/>
    </row>
    <row r="4830" spans="12:13" x14ac:dyDescent="0.2">
      <c r="L4830" s="5"/>
      <c r="M4830" s="5"/>
    </row>
    <row r="4831" spans="12:13" x14ac:dyDescent="0.2">
      <c r="L4831" s="5"/>
      <c r="M4831" s="5"/>
    </row>
    <row r="4832" spans="12:13" x14ac:dyDescent="0.2">
      <c r="L4832" s="5"/>
      <c r="M4832" s="5"/>
    </row>
    <row r="4833" spans="12:13" x14ac:dyDescent="0.2">
      <c r="L4833" s="5"/>
      <c r="M4833" s="5"/>
    </row>
    <row r="4834" spans="12:13" x14ac:dyDescent="0.2">
      <c r="L4834" s="5"/>
      <c r="M4834" s="5"/>
    </row>
    <row r="4835" spans="12:13" x14ac:dyDescent="0.2">
      <c r="L4835" s="5"/>
      <c r="M4835" s="5"/>
    </row>
    <row r="4836" spans="12:13" x14ac:dyDescent="0.2">
      <c r="L4836" s="5"/>
      <c r="M4836" s="5"/>
    </row>
    <row r="4837" spans="12:13" x14ac:dyDescent="0.2">
      <c r="L4837" s="5"/>
      <c r="M4837" s="5"/>
    </row>
    <row r="4838" spans="12:13" x14ac:dyDescent="0.2">
      <c r="L4838" s="5"/>
      <c r="M4838" s="5"/>
    </row>
    <row r="4839" spans="12:13" x14ac:dyDescent="0.2">
      <c r="L4839" s="5"/>
      <c r="M4839" s="5"/>
    </row>
    <row r="4840" spans="12:13" x14ac:dyDescent="0.2">
      <c r="L4840" s="5"/>
      <c r="M4840" s="5"/>
    </row>
    <row r="4841" spans="12:13" x14ac:dyDescent="0.2">
      <c r="L4841" s="5"/>
      <c r="M4841" s="5"/>
    </row>
    <row r="4842" spans="12:13" x14ac:dyDescent="0.2">
      <c r="L4842" s="5"/>
      <c r="M4842" s="5"/>
    </row>
    <row r="4843" spans="12:13" x14ac:dyDescent="0.2">
      <c r="L4843" s="5"/>
      <c r="M4843" s="5"/>
    </row>
    <row r="4844" spans="12:13" x14ac:dyDescent="0.2">
      <c r="L4844" s="5"/>
      <c r="M4844" s="5"/>
    </row>
    <row r="4845" spans="12:13" x14ac:dyDescent="0.2">
      <c r="L4845" s="5"/>
      <c r="M4845" s="5"/>
    </row>
    <row r="4846" spans="12:13" x14ac:dyDescent="0.2">
      <c r="L4846" s="5"/>
      <c r="M4846" s="5"/>
    </row>
    <row r="4847" spans="12:13" x14ac:dyDescent="0.2">
      <c r="L4847" s="5"/>
      <c r="M4847" s="5"/>
    </row>
    <row r="4848" spans="12:13" x14ac:dyDescent="0.2">
      <c r="L4848" s="5"/>
      <c r="M4848" s="5"/>
    </row>
    <row r="4849" spans="12:13" x14ac:dyDescent="0.2">
      <c r="L4849" s="5"/>
      <c r="M4849" s="5"/>
    </row>
    <row r="4850" spans="12:13" x14ac:dyDescent="0.2">
      <c r="L4850" s="5"/>
      <c r="M4850" s="5"/>
    </row>
    <row r="4851" spans="12:13" x14ac:dyDescent="0.2">
      <c r="L4851" s="5"/>
      <c r="M4851" s="5"/>
    </row>
    <row r="4852" spans="12:13" x14ac:dyDescent="0.2">
      <c r="L4852" s="5"/>
      <c r="M4852" s="5"/>
    </row>
    <row r="4853" spans="12:13" x14ac:dyDescent="0.2">
      <c r="L4853" s="5"/>
      <c r="M4853" s="5"/>
    </row>
    <row r="4854" spans="12:13" x14ac:dyDescent="0.2">
      <c r="L4854" s="5"/>
      <c r="M4854" s="5"/>
    </row>
    <row r="4855" spans="12:13" x14ac:dyDescent="0.2">
      <c r="L4855" s="5"/>
      <c r="M4855" s="5"/>
    </row>
    <row r="4856" spans="12:13" x14ac:dyDescent="0.2">
      <c r="L4856" s="5"/>
      <c r="M4856" s="5"/>
    </row>
    <row r="4857" spans="12:13" x14ac:dyDescent="0.2">
      <c r="L4857" s="5"/>
      <c r="M4857" s="5"/>
    </row>
    <row r="4858" spans="12:13" x14ac:dyDescent="0.2">
      <c r="L4858" s="5"/>
      <c r="M4858" s="5"/>
    </row>
    <row r="4859" spans="12:13" x14ac:dyDescent="0.2">
      <c r="L4859" s="5"/>
      <c r="M4859" s="5"/>
    </row>
    <row r="4860" spans="12:13" x14ac:dyDescent="0.2">
      <c r="L4860" s="5"/>
      <c r="M4860" s="5"/>
    </row>
    <row r="4861" spans="12:13" x14ac:dyDescent="0.2">
      <c r="L4861" s="5"/>
      <c r="M4861" s="5"/>
    </row>
    <row r="4862" spans="12:13" x14ac:dyDescent="0.2">
      <c r="L4862" s="5"/>
      <c r="M4862" s="5"/>
    </row>
    <row r="4863" spans="12:13" x14ac:dyDescent="0.2">
      <c r="L4863" s="5"/>
      <c r="M4863" s="5"/>
    </row>
    <row r="4864" spans="12:13" x14ac:dyDescent="0.2">
      <c r="L4864" s="5"/>
      <c r="M4864" s="5"/>
    </row>
    <row r="4865" spans="12:13" x14ac:dyDescent="0.2">
      <c r="L4865" s="5"/>
      <c r="M4865" s="5"/>
    </row>
    <row r="4866" spans="12:13" x14ac:dyDescent="0.2">
      <c r="L4866" s="5"/>
      <c r="M4866" s="5"/>
    </row>
    <row r="4867" spans="12:13" x14ac:dyDescent="0.2">
      <c r="L4867" s="5"/>
      <c r="M4867" s="5"/>
    </row>
    <row r="4868" spans="12:13" x14ac:dyDescent="0.2">
      <c r="L4868" s="5"/>
      <c r="M4868" s="5"/>
    </row>
    <row r="4869" spans="12:13" x14ac:dyDescent="0.2">
      <c r="L4869" s="5"/>
      <c r="M4869" s="5"/>
    </row>
    <row r="4870" spans="12:13" x14ac:dyDescent="0.2">
      <c r="L4870" s="5"/>
      <c r="M4870" s="5"/>
    </row>
    <row r="4871" spans="12:13" x14ac:dyDescent="0.2">
      <c r="L4871" s="5"/>
      <c r="M4871" s="5"/>
    </row>
    <row r="4872" spans="12:13" x14ac:dyDescent="0.2">
      <c r="L4872" s="5"/>
      <c r="M4872" s="5"/>
    </row>
    <row r="4873" spans="12:13" x14ac:dyDescent="0.2">
      <c r="L4873" s="5"/>
      <c r="M4873" s="5"/>
    </row>
    <row r="4874" spans="12:13" x14ac:dyDescent="0.2">
      <c r="L4874" s="5"/>
      <c r="M4874" s="5"/>
    </row>
    <row r="4875" spans="12:13" x14ac:dyDescent="0.2">
      <c r="L4875" s="5"/>
      <c r="M4875" s="5"/>
    </row>
    <row r="4876" spans="12:13" x14ac:dyDescent="0.2">
      <c r="L4876" s="5"/>
      <c r="M4876" s="5"/>
    </row>
    <row r="4877" spans="12:13" x14ac:dyDescent="0.2">
      <c r="L4877" s="5"/>
      <c r="M4877" s="5"/>
    </row>
    <row r="4878" spans="12:13" x14ac:dyDescent="0.2">
      <c r="L4878" s="5"/>
      <c r="M4878" s="5"/>
    </row>
    <row r="4879" spans="12:13" x14ac:dyDescent="0.2">
      <c r="L4879" s="5"/>
      <c r="M4879" s="5"/>
    </row>
    <row r="4880" spans="12:13" x14ac:dyDescent="0.2">
      <c r="L4880" s="5"/>
      <c r="M4880" s="5"/>
    </row>
    <row r="4881" spans="12:13" x14ac:dyDescent="0.2">
      <c r="L4881" s="5"/>
      <c r="M4881" s="5"/>
    </row>
    <row r="4882" spans="12:13" x14ac:dyDescent="0.2">
      <c r="L4882" s="5"/>
      <c r="M4882" s="5"/>
    </row>
    <row r="4883" spans="12:13" x14ac:dyDescent="0.2">
      <c r="L4883" s="5"/>
      <c r="M4883" s="5"/>
    </row>
    <row r="4884" spans="12:13" x14ac:dyDescent="0.2">
      <c r="L4884" s="5"/>
      <c r="M4884" s="5"/>
    </row>
    <row r="4885" spans="12:13" x14ac:dyDescent="0.2">
      <c r="L4885" s="5"/>
      <c r="M4885" s="5"/>
    </row>
    <row r="4886" spans="12:13" x14ac:dyDescent="0.2">
      <c r="L4886" s="5"/>
      <c r="M4886" s="5"/>
    </row>
    <row r="4887" spans="12:13" x14ac:dyDescent="0.2">
      <c r="L4887" s="5"/>
      <c r="M4887" s="5"/>
    </row>
    <row r="4888" spans="12:13" x14ac:dyDescent="0.2">
      <c r="L4888" s="5"/>
      <c r="M4888" s="5"/>
    </row>
    <row r="4889" spans="12:13" x14ac:dyDescent="0.2">
      <c r="L4889" s="5"/>
      <c r="M4889" s="5"/>
    </row>
    <row r="4890" spans="12:13" x14ac:dyDescent="0.2">
      <c r="L4890" s="5"/>
      <c r="M4890" s="5"/>
    </row>
    <row r="4891" spans="12:13" x14ac:dyDescent="0.2">
      <c r="L4891" s="5"/>
      <c r="M4891" s="5"/>
    </row>
    <row r="4892" spans="12:13" x14ac:dyDescent="0.2">
      <c r="L4892" s="5"/>
      <c r="M4892" s="5"/>
    </row>
    <row r="4893" spans="12:13" x14ac:dyDescent="0.2">
      <c r="L4893" s="5"/>
      <c r="M4893" s="5"/>
    </row>
    <row r="4894" spans="12:13" x14ac:dyDescent="0.2">
      <c r="L4894" s="5"/>
      <c r="M4894" s="5"/>
    </row>
    <row r="4895" spans="12:13" x14ac:dyDescent="0.2">
      <c r="L4895" s="5"/>
      <c r="M4895" s="5"/>
    </row>
    <row r="4896" spans="12:13" x14ac:dyDescent="0.2">
      <c r="L4896" s="5"/>
      <c r="M4896" s="5"/>
    </row>
    <row r="4897" spans="12:13" x14ac:dyDescent="0.2">
      <c r="L4897" s="5"/>
      <c r="M4897" s="5"/>
    </row>
    <row r="4898" spans="12:13" x14ac:dyDescent="0.2">
      <c r="L4898" s="5"/>
      <c r="M4898" s="5"/>
    </row>
    <row r="4899" spans="12:13" x14ac:dyDescent="0.2">
      <c r="L4899" s="5"/>
      <c r="M4899" s="5"/>
    </row>
    <row r="4900" spans="12:13" x14ac:dyDescent="0.2">
      <c r="L4900" s="5"/>
      <c r="M4900" s="5"/>
    </row>
    <row r="4901" spans="12:13" x14ac:dyDescent="0.2">
      <c r="L4901" s="5"/>
      <c r="M4901" s="5"/>
    </row>
    <row r="4902" spans="12:13" x14ac:dyDescent="0.2">
      <c r="L4902" s="5"/>
      <c r="M4902" s="5"/>
    </row>
    <row r="4903" spans="12:13" x14ac:dyDescent="0.2">
      <c r="L4903" s="5"/>
      <c r="M4903" s="5"/>
    </row>
    <row r="4904" spans="12:13" x14ac:dyDescent="0.2">
      <c r="L4904" s="5"/>
      <c r="M4904" s="5"/>
    </row>
    <row r="4905" spans="12:13" x14ac:dyDescent="0.2">
      <c r="L4905" s="5"/>
      <c r="M4905" s="5"/>
    </row>
    <row r="4906" spans="12:13" x14ac:dyDescent="0.2">
      <c r="L4906" s="5"/>
      <c r="M4906" s="5"/>
    </row>
    <row r="4907" spans="12:13" x14ac:dyDescent="0.2">
      <c r="L4907" s="5"/>
      <c r="M4907" s="5"/>
    </row>
    <row r="4908" spans="12:13" x14ac:dyDescent="0.2">
      <c r="L4908" s="5"/>
      <c r="M4908" s="5"/>
    </row>
    <row r="4909" spans="12:13" x14ac:dyDescent="0.2">
      <c r="L4909" s="5"/>
      <c r="M4909" s="5"/>
    </row>
    <row r="4910" spans="12:13" x14ac:dyDescent="0.2">
      <c r="L4910" s="5"/>
      <c r="M4910" s="5"/>
    </row>
    <row r="4911" spans="12:13" x14ac:dyDescent="0.2">
      <c r="L4911" s="5"/>
      <c r="M4911" s="5"/>
    </row>
    <row r="4912" spans="12:13" x14ac:dyDescent="0.2">
      <c r="L4912" s="5"/>
      <c r="M4912" s="5"/>
    </row>
    <row r="4913" spans="12:13" x14ac:dyDescent="0.2">
      <c r="L4913" s="5"/>
      <c r="M4913" s="5"/>
    </row>
    <row r="4914" spans="12:13" x14ac:dyDescent="0.2">
      <c r="L4914" s="5"/>
      <c r="M4914" s="5"/>
    </row>
    <row r="4915" spans="12:13" x14ac:dyDescent="0.2">
      <c r="L4915" s="5"/>
      <c r="M4915" s="5"/>
    </row>
    <row r="4916" spans="12:13" x14ac:dyDescent="0.2">
      <c r="L4916" s="5"/>
      <c r="M4916" s="5"/>
    </row>
    <row r="4917" spans="12:13" x14ac:dyDescent="0.2">
      <c r="L4917" s="5"/>
      <c r="M4917" s="5"/>
    </row>
    <row r="4918" spans="12:13" x14ac:dyDescent="0.2">
      <c r="L4918" s="5"/>
      <c r="M4918" s="5"/>
    </row>
    <row r="4919" spans="12:13" x14ac:dyDescent="0.2">
      <c r="L4919" s="5"/>
      <c r="M4919" s="5"/>
    </row>
    <row r="4920" spans="12:13" x14ac:dyDescent="0.2">
      <c r="L4920" s="5"/>
      <c r="M4920" s="5"/>
    </row>
    <row r="4921" spans="12:13" x14ac:dyDescent="0.2">
      <c r="L4921" s="5"/>
      <c r="M4921" s="5"/>
    </row>
    <row r="4922" spans="12:13" x14ac:dyDescent="0.2">
      <c r="L4922" s="5"/>
      <c r="M4922" s="5"/>
    </row>
    <row r="4923" spans="12:13" x14ac:dyDescent="0.2">
      <c r="L4923" s="5"/>
      <c r="M4923" s="5"/>
    </row>
    <row r="4924" spans="12:13" x14ac:dyDescent="0.2">
      <c r="L4924" s="5"/>
      <c r="M4924" s="5"/>
    </row>
    <row r="4925" spans="12:13" x14ac:dyDescent="0.2">
      <c r="L4925" s="5"/>
      <c r="M4925" s="5"/>
    </row>
    <row r="4926" spans="12:13" x14ac:dyDescent="0.2">
      <c r="L4926" s="5"/>
      <c r="M4926" s="5"/>
    </row>
    <row r="4927" spans="12:13" x14ac:dyDescent="0.2">
      <c r="L4927" s="5"/>
      <c r="M4927" s="5"/>
    </row>
    <row r="4928" spans="12:13" x14ac:dyDescent="0.2">
      <c r="L4928" s="5"/>
      <c r="M4928" s="5"/>
    </row>
    <row r="4929" spans="12:13" x14ac:dyDescent="0.2">
      <c r="L4929" s="5"/>
      <c r="M4929" s="5"/>
    </row>
    <row r="4930" spans="12:13" x14ac:dyDescent="0.2">
      <c r="L4930" s="5"/>
      <c r="M4930" s="5"/>
    </row>
    <row r="4931" spans="12:13" x14ac:dyDescent="0.2">
      <c r="L4931" s="5"/>
      <c r="M4931" s="5"/>
    </row>
    <row r="4932" spans="12:13" x14ac:dyDescent="0.2">
      <c r="L4932" s="5"/>
      <c r="M4932" s="5"/>
    </row>
    <row r="4933" spans="12:13" x14ac:dyDescent="0.2">
      <c r="L4933" s="5"/>
      <c r="M4933" s="5"/>
    </row>
    <row r="4934" spans="12:13" x14ac:dyDescent="0.2">
      <c r="L4934" s="5"/>
      <c r="M4934" s="5"/>
    </row>
    <row r="4935" spans="12:13" x14ac:dyDescent="0.2">
      <c r="L4935" s="5"/>
      <c r="M4935" s="5"/>
    </row>
    <row r="4936" spans="12:13" x14ac:dyDescent="0.2">
      <c r="L4936" s="5"/>
      <c r="M4936" s="5"/>
    </row>
    <row r="4937" spans="12:13" x14ac:dyDescent="0.2">
      <c r="L4937" s="5"/>
      <c r="M4937" s="5"/>
    </row>
    <row r="4938" spans="12:13" x14ac:dyDescent="0.2">
      <c r="L4938" s="5"/>
      <c r="M4938" s="5"/>
    </row>
    <row r="4939" spans="12:13" x14ac:dyDescent="0.2">
      <c r="L4939" s="5"/>
      <c r="M4939" s="5"/>
    </row>
    <row r="4940" spans="12:13" x14ac:dyDescent="0.2">
      <c r="L4940" s="5"/>
      <c r="M4940" s="5"/>
    </row>
    <row r="4941" spans="12:13" x14ac:dyDescent="0.2">
      <c r="L4941" s="5"/>
      <c r="M4941" s="5"/>
    </row>
    <row r="4942" spans="12:13" x14ac:dyDescent="0.2">
      <c r="L4942" s="5"/>
      <c r="M4942" s="5"/>
    </row>
    <row r="4943" spans="12:13" x14ac:dyDescent="0.2">
      <c r="L4943" s="5"/>
      <c r="M4943" s="5"/>
    </row>
    <row r="4944" spans="12:13" x14ac:dyDescent="0.2">
      <c r="L4944" s="5"/>
      <c r="M4944" s="5"/>
    </row>
    <row r="4945" spans="12:13" x14ac:dyDescent="0.2">
      <c r="L4945" s="5"/>
      <c r="M4945" s="5"/>
    </row>
    <row r="4946" spans="12:13" x14ac:dyDescent="0.2">
      <c r="L4946" s="5"/>
      <c r="M4946" s="5"/>
    </row>
    <row r="4947" spans="12:13" x14ac:dyDescent="0.2">
      <c r="L4947" s="5"/>
      <c r="M4947" s="5"/>
    </row>
    <row r="4948" spans="12:13" x14ac:dyDescent="0.2">
      <c r="L4948" s="5"/>
      <c r="M4948" s="5"/>
    </row>
    <row r="4949" spans="12:13" x14ac:dyDescent="0.2">
      <c r="L4949" s="5"/>
      <c r="M4949" s="5"/>
    </row>
    <row r="4950" spans="12:13" x14ac:dyDescent="0.2">
      <c r="L4950" s="5"/>
      <c r="M4950" s="5"/>
    </row>
    <row r="4951" spans="12:13" x14ac:dyDescent="0.2">
      <c r="L4951" s="5"/>
      <c r="M4951" s="5"/>
    </row>
    <row r="4952" spans="12:13" x14ac:dyDescent="0.2">
      <c r="L4952" s="5"/>
      <c r="M4952" s="5"/>
    </row>
    <row r="4953" spans="12:13" x14ac:dyDescent="0.2">
      <c r="L4953" s="5"/>
      <c r="M4953" s="5"/>
    </row>
    <row r="4954" spans="12:13" x14ac:dyDescent="0.2">
      <c r="L4954" s="5"/>
      <c r="M4954" s="5"/>
    </row>
    <row r="4955" spans="12:13" x14ac:dyDescent="0.2">
      <c r="L4955" s="5"/>
      <c r="M4955" s="5"/>
    </row>
    <row r="4956" spans="12:13" x14ac:dyDescent="0.2">
      <c r="L4956" s="5"/>
      <c r="M4956" s="5"/>
    </row>
    <row r="4957" spans="12:13" x14ac:dyDescent="0.2">
      <c r="L4957" s="5"/>
      <c r="M4957" s="5"/>
    </row>
    <row r="4958" spans="12:13" x14ac:dyDescent="0.2">
      <c r="L4958" s="5"/>
      <c r="M4958" s="5"/>
    </row>
    <row r="4959" spans="12:13" x14ac:dyDescent="0.2">
      <c r="L4959" s="5"/>
      <c r="M4959" s="5"/>
    </row>
    <row r="4960" spans="12:13" x14ac:dyDescent="0.2">
      <c r="L4960" s="5"/>
      <c r="M4960" s="5"/>
    </row>
    <row r="4961" spans="12:13" x14ac:dyDescent="0.2">
      <c r="L4961" s="5"/>
      <c r="M4961" s="5"/>
    </row>
    <row r="4962" spans="12:13" x14ac:dyDescent="0.2">
      <c r="L4962" s="5"/>
      <c r="M4962" s="5"/>
    </row>
    <row r="4963" spans="12:13" x14ac:dyDescent="0.2">
      <c r="L4963" s="5"/>
      <c r="M4963" s="5"/>
    </row>
    <row r="4964" spans="12:13" x14ac:dyDescent="0.2">
      <c r="L4964" s="5"/>
      <c r="M4964" s="5"/>
    </row>
    <row r="4965" spans="12:13" x14ac:dyDescent="0.2">
      <c r="L4965" s="5"/>
      <c r="M4965" s="5"/>
    </row>
    <row r="4966" spans="12:13" x14ac:dyDescent="0.2">
      <c r="L4966" s="5"/>
      <c r="M4966" s="5"/>
    </row>
    <row r="4967" spans="12:13" x14ac:dyDescent="0.2">
      <c r="L4967" s="5"/>
      <c r="M4967" s="5"/>
    </row>
    <row r="4968" spans="12:13" x14ac:dyDescent="0.2">
      <c r="L4968" s="5"/>
      <c r="M4968" s="5"/>
    </row>
    <row r="4969" spans="12:13" x14ac:dyDescent="0.2">
      <c r="L4969" s="5"/>
      <c r="M4969" s="5"/>
    </row>
    <row r="4970" spans="12:13" x14ac:dyDescent="0.2">
      <c r="L4970" s="5"/>
      <c r="M4970" s="5"/>
    </row>
    <row r="4971" spans="12:13" x14ac:dyDescent="0.2">
      <c r="L4971" s="5"/>
      <c r="M4971" s="5"/>
    </row>
    <row r="4972" spans="12:13" x14ac:dyDescent="0.2">
      <c r="L4972" s="5"/>
      <c r="M4972" s="5"/>
    </row>
    <row r="4973" spans="12:13" x14ac:dyDescent="0.2">
      <c r="L4973" s="5"/>
      <c r="M4973" s="5"/>
    </row>
    <row r="4974" spans="12:13" x14ac:dyDescent="0.2">
      <c r="L4974" s="5"/>
      <c r="M4974" s="5"/>
    </row>
    <row r="4975" spans="12:13" x14ac:dyDescent="0.2">
      <c r="L4975" s="5"/>
      <c r="M4975" s="5"/>
    </row>
    <row r="4976" spans="12:13" x14ac:dyDescent="0.2">
      <c r="L4976" s="5"/>
      <c r="M4976" s="5"/>
    </row>
    <row r="4977" spans="12:13" x14ac:dyDescent="0.2">
      <c r="L4977" s="5"/>
      <c r="M4977" s="5"/>
    </row>
    <row r="4978" spans="12:13" x14ac:dyDescent="0.2">
      <c r="L4978" s="5"/>
      <c r="M4978" s="5"/>
    </row>
    <row r="4979" spans="12:13" x14ac:dyDescent="0.2">
      <c r="L4979" s="5"/>
      <c r="M4979" s="5"/>
    </row>
    <row r="4980" spans="12:13" x14ac:dyDescent="0.2">
      <c r="L4980" s="5"/>
      <c r="M4980" s="5"/>
    </row>
    <row r="4981" spans="12:13" x14ac:dyDescent="0.2">
      <c r="L4981" s="5"/>
      <c r="M4981" s="5"/>
    </row>
    <row r="4982" spans="12:13" x14ac:dyDescent="0.2">
      <c r="L4982" s="5"/>
      <c r="M4982" s="5"/>
    </row>
    <row r="4983" spans="12:13" x14ac:dyDescent="0.2">
      <c r="L4983" s="5"/>
      <c r="M4983" s="5"/>
    </row>
    <row r="4984" spans="12:13" x14ac:dyDescent="0.2">
      <c r="L4984" s="5"/>
      <c r="M4984" s="5"/>
    </row>
    <row r="4985" spans="12:13" x14ac:dyDescent="0.2">
      <c r="L4985" s="5"/>
      <c r="M4985" s="5"/>
    </row>
    <row r="4986" spans="12:13" x14ac:dyDescent="0.2">
      <c r="L4986" s="5"/>
      <c r="M4986" s="5"/>
    </row>
    <row r="4987" spans="12:13" x14ac:dyDescent="0.2">
      <c r="L4987" s="5"/>
      <c r="M4987" s="5"/>
    </row>
    <row r="4988" spans="12:13" x14ac:dyDescent="0.2">
      <c r="L4988" s="5"/>
      <c r="M4988" s="5"/>
    </row>
    <row r="4989" spans="12:13" x14ac:dyDescent="0.2">
      <c r="L4989" s="5"/>
      <c r="M4989" s="5"/>
    </row>
    <row r="4990" spans="12:13" x14ac:dyDescent="0.2">
      <c r="L4990" s="5"/>
      <c r="M4990" s="5"/>
    </row>
    <row r="4991" spans="12:13" x14ac:dyDescent="0.2">
      <c r="L4991" s="5"/>
      <c r="M4991" s="5"/>
    </row>
    <row r="4992" spans="12:13" x14ac:dyDescent="0.2">
      <c r="L4992" s="5"/>
      <c r="M4992" s="5"/>
    </row>
    <row r="4993" spans="12:13" x14ac:dyDescent="0.2">
      <c r="L4993" s="5"/>
      <c r="M4993" s="5"/>
    </row>
    <row r="4994" spans="12:13" x14ac:dyDescent="0.2">
      <c r="L4994" s="5"/>
      <c r="M4994" s="5"/>
    </row>
    <row r="4995" spans="12:13" x14ac:dyDescent="0.2">
      <c r="L4995" s="5"/>
      <c r="M4995" s="5"/>
    </row>
    <row r="4996" spans="12:13" x14ac:dyDescent="0.2">
      <c r="L4996" s="5"/>
      <c r="M4996" s="5"/>
    </row>
    <row r="4997" spans="12:13" x14ac:dyDescent="0.2">
      <c r="L4997" s="5"/>
      <c r="M4997" s="5"/>
    </row>
    <row r="4998" spans="12:13" x14ac:dyDescent="0.2">
      <c r="L4998" s="5"/>
      <c r="M4998" s="5"/>
    </row>
    <row r="4999" spans="12:13" x14ac:dyDescent="0.2">
      <c r="L4999" s="5"/>
      <c r="M4999" s="5"/>
    </row>
    <row r="5000" spans="12:13" x14ac:dyDescent="0.2">
      <c r="L5000" s="5"/>
      <c r="M5000" s="5"/>
    </row>
    <row r="5001" spans="12:13" x14ac:dyDescent="0.2">
      <c r="L5001" s="5"/>
      <c r="M5001" s="5"/>
    </row>
    <row r="5002" spans="12:13" x14ac:dyDescent="0.2">
      <c r="L5002" s="5"/>
      <c r="M5002" s="5"/>
    </row>
    <row r="5003" spans="12:13" x14ac:dyDescent="0.2">
      <c r="L5003" s="5"/>
      <c r="M5003" s="5"/>
    </row>
    <row r="5004" spans="12:13" x14ac:dyDescent="0.2">
      <c r="L5004" s="5"/>
      <c r="M5004" s="5"/>
    </row>
    <row r="5005" spans="12:13" x14ac:dyDescent="0.2">
      <c r="L5005" s="5"/>
      <c r="M5005" s="5"/>
    </row>
    <row r="5006" spans="12:13" x14ac:dyDescent="0.2">
      <c r="L5006" s="5"/>
      <c r="M5006" s="5"/>
    </row>
    <row r="5007" spans="12:13" x14ac:dyDescent="0.2">
      <c r="L5007" s="5"/>
      <c r="M5007" s="5"/>
    </row>
    <row r="5008" spans="12:13" x14ac:dyDescent="0.2">
      <c r="L5008" s="5"/>
      <c r="M5008" s="5"/>
    </row>
    <row r="5009" spans="12:13" x14ac:dyDescent="0.2">
      <c r="L5009" s="5"/>
      <c r="M5009" s="5"/>
    </row>
    <row r="5010" spans="12:13" x14ac:dyDescent="0.2">
      <c r="L5010" s="5"/>
      <c r="M5010" s="5"/>
    </row>
    <row r="5011" spans="12:13" x14ac:dyDescent="0.2">
      <c r="L5011" s="5"/>
      <c r="M5011" s="5"/>
    </row>
    <row r="5012" spans="12:13" x14ac:dyDescent="0.2">
      <c r="L5012" s="5"/>
      <c r="M5012" s="5"/>
    </row>
    <row r="5013" spans="12:13" x14ac:dyDescent="0.2">
      <c r="L5013" s="5"/>
      <c r="M5013" s="5"/>
    </row>
    <row r="5014" spans="12:13" x14ac:dyDescent="0.2">
      <c r="L5014" s="5"/>
      <c r="M5014" s="5"/>
    </row>
    <row r="5015" spans="12:13" x14ac:dyDescent="0.2">
      <c r="L5015" s="5"/>
      <c r="M5015" s="5"/>
    </row>
    <row r="5016" spans="12:13" x14ac:dyDescent="0.2">
      <c r="L5016" s="5"/>
      <c r="M5016" s="5"/>
    </row>
    <row r="5017" spans="12:13" x14ac:dyDescent="0.2">
      <c r="L5017" s="5"/>
      <c r="M5017" s="5"/>
    </row>
    <row r="5018" spans="12:13" x14ac:dyDescent="0.2">
      <c r="L5018" s="5"/>
      <c r="M5018" s="5"/>
    </row>
    <row r="5019" spans="12:13" x14ac:dyDescent="0.2">
      <c r="L5019" s="5"/>
      <c r="M5019" s="5"/>
    </row>
    <row r="5020" spans="12:13" x14ac:dyDescent="0.2">
      <c r="L5020" s="5"/>
      <c r="M5020" s="5"/>
    </row>
    <row r="5021" spans="12:13" x14ac:dyDescent="0.2">
      <c r="L5021" s="5"/>
      <c r="M5021" s="5"/>
    </row>
    <row r="5022" spans="12:13" x14ac:dyDescent="0.2">
      <c r="L5022" s="5"/>
      <c r="M5022" s="5"/>
    </row>
    <row r="5023" spans="12:13" x14ac:dyDescent="0.2">
      <c r="L5023" s="5"/>
      <c r="M5023" s="5"/>
    </row>
    <row r="5024" spans="12:13" x14ac:dyDescent="0.2">
      <c r="L5024" s="5"/>
      <c r="M5024" s="5"/>
    </row>
    <row r="5025" spans="12:13" x14ac:dyDescent="0.2">
      <c r="L5025" s="5"/>
      <c r="M5025" s="5"/>
    </row>
    <row r="5026" spans="12:13" x14ac:dyDescent="0.2">
      <c r="L5026" s="5"/>
      <c r="M5026" s="5"/>
    </row>
    <row r="5027" spans="12:13" x14ac:dyDescent="0.2">
      <c r="L5027" s="5"/>
      <c r="M5027" s="5"/>
    </row>
    <row r="5028" spans="12:13" x14ac:dyDescent="0.2">
      <c r="L5028" s="5"/>
      <c r="M5028" s="5"/>
    </row>
    <row r="5029" spans="12:13" x14ac:dyDescent="0.2">
      <c r="L5029" s="5"/>
      <c r="M5029" s="5"/>
    </row>
    <row r="5030" spans="12:13" x14ac:dyDescent="0.2">
      <c r="L5030" s="5"/>
      <c r="M5030" s="5"/>
    </row>
    <row r="5031" spans="12:13" x14ac:dyDescent="0.2">
      <c r="L5031" s="5"/>
      <c r="M5031" s="5"/>
    </row>
    <row r="5032" spans="12:13" x14ac:dyDescent="0.2">
      <c r="L5032" s="5"/>
      <c r="M5032" s="5"/>
    </row>
    <row r="5033" spans="12:13" x14ac:dyDescent="0.2">
      <c r="L5033" s="5"/>
      <c r="M5033" s="5"/>
    </row>
    <row r="5034" spans="12:13" x14ac:dyDescent="0.2">
      <c r="L5034" s="5"/>
      <c r="M5034" s="5"/>
    </row>
    <row r="5035" spans="12:13" x14ac:dyDescent="0.2">
      <c r="L5035" s="5"/>
      <c r="M5035" s="5"/>
    </row>
    <row r="5036" spans="12:13" x14ac:dyDescent="0.2">
      <c r="L5036" s="5"/>
      <c r="M5036" s="5"/>
    </row>
    <row r="5037" spans="12:13" x14ac:dyDescent="0.2">
      <c r="L5037" s="5"/>
      <c r="M5037" s="5"/>
    </row>
    <row r="5038" spans="12:13" x14ac:dyDescent="0.2">
      <c r="L5038" s="5"/>
      <c r="M5038" s="5"/>
    </row>
    <row r="5039" spans="12:13" x14ac:dyDescent="0.2">
      <c r="L5039" s="5"/>
      <c r="M5039" s="5"/>
    </row>
    <row r="5040" spans="12:13" x14ac:dyDescent="0.2">
      <c r="L5040" s="5"/>
      <c r="M5040" s="5"/>
    </row>
    <row r="5041" spans="12:13" x14ac:dyDescent="0.2">
      <c r="L5041" s="5"/>
      <c r="M5041" s="5"/>
    </row>
    <row r="5042" spans="12:13" x14ac:dyDescent="0.2">
      <c r="L5042" s="5"/>
      <c r="M5042" s="5"/>
    </row>
    <row r="5043" spans="12:13" x14ac:dyDescent="0.2">
      <c r="L5043" s="5"/>
      <c r="M5043" s="5"/>
    </row>
    <row r="5044" spans="12:13" x14ac:dyDescent="0.2">
      <c r="L5044" s="5"/>
      <c r="M5044" s="5"/>
    </row>
    <row r="5045" spans="12:13" x14ac:dyDescent="0.2">
      <c r="L5045" s="5"/>
      <c r="M5045" s="5"/>
    </row>
    <row r="5046" spans="12:13" x14ac:dyDescent="0.2">
      <c r="L5046" s="5"/>
      <c r="M5046" s="5"/>
    </row>
    <row r="5047" spans="12:13" x14ac:dyDescent="0.2">
      <c r="L5047" s="5"/>
      <c r="M5047" s="5"/>
    </row>
    <row r="5048" spans="12:13" x14ac:dyDescent="0.2">
      <c r="L5048" s="5"/>
      <c r="M5048" s="5"/>
    </row>
    <row r="5049" spans="12:13" x14ac:dyDescent="0.2">
      <c r="L5049" s="5"/>
      <c r="M5049" s="5"/>
    </row>
    <row r="5050" spans="12:13" x14ac:dyDescent="0.2">
      <c r="L5050" s="5"/>
      <c r="M5050" s="5"/>
    </row>
    <row r="5051" spans="12:13" x14ac:dyDescent="0.2">
      <c r="L5051" s="5"/>
      <c r="M5051" s="5"/>
    </row>
    <row r="5052" spans="12:13" x14ac:dyDescent="0.2">
      <c r="L5052" s="5"/>
      <c r="M5052" s="5"/>
    </row>
    <row r="5053" spans="12:13" x14ac:dyDescent="0.2">
      <c r="L5053" s="5"/>
      <c r="M5053" s="5"/>
    </row>
    <row r="5054" spans="12:13" x14ac:dyDescent="0.2">
      <c r="L5054" s="5"/>
      <c r="M5054" s="5"/>
    </row>
    <row r="5055" spans="12:13" x14ac:dyDescent="0.2">
      <c r="L5055" s="5"/>
      <c r="M5055" s="5"/>
    </row>
    <row r="5056" spans="12:13" x14ac:dyDescent="0.2">
      <c r="L5056" s="5"/>
      <c r="M5056" s="5"/>
    </row>
    <row r="5057" spans="12:13" x14ac:dyDescent="0.2">
      <c r="L5057" s="5"/>
      <c r="M5057" s="5"/>
    </row>
    <row r="5058" spans="12:13" x14ac:dyDescent="0.2">
      <c r="L5058" s="5"/>
      <c r="M5058" s="5"/>
    </row>
    <row r="5059" spans="12:13" x14ac:dyDescent="0.2">
      <c r="L5059" s="5"/>
      <c r="M5059" s="5"/>
    </row>
    <row r="5060" spans="12:13" x14ac:dyDescent="0.2">
      <c r="L5060" s="5"/>
      <c r="M5060" s="5"/>
    </row>
    <row r="5061" spans="12:13" x14ac:dyDescent="0.2">
      <c r="L5061" s="5"/>
      <c r="M5061" s="5"/>
    </row>
    <row r="5062" spans="12:13" x14ac:dyDescent="0.2">
      <c r="L5062" s="5"/>
      <c r="M5062" s="5"/>
    </row>
    <row r="5063" spans="12:13" x14ac:dyDescent="0.2">
      <c r="L5063" s="5"/>
      <c r="M5063" s="5"/>
    </row>
    <row r="5064" spans="12:13" x14ac:dyDescent="0.2">
      <c r="L5064" s="5"/>
      <c r="M5064" s="5"/>
    </row>
    <row r="5065" spans="12:13" x14ac:dyDescent="0.2">
      <c r="L5065" s="5"/>
      <c r="M5065" s="5"/>
    </row>
    <row r="5066" spans="12:13" x14ac:dyDescent="0.2">
      <c r="L5066" s="5"/>
      <c r="M5066" s="5"/>
    </row>
    <row r="5067" spans="12:13" x14ac:dyDescent="0.2">
      <c r="L5067" s="5"/>
      <c r="M5067" s="5"/>
    </row>
    <row r="5068" spans="12:13" x14ac:dyDescent="0.2">
      <c r="L5068" s="5"/>
      <c r="M5068" s="5"/>
    </row>
    <row r="5069" spans="12:13" x14ac:dyDescent="0.2">
      <c r="L5069" s="5"/>
      <c r="M5069" s="5"/>
    </row>
    <row r="5070" spans="12:13" x14ac:dyDescent="0.2">
      <c r="L5070" s="5"/>
      <c r="M5070" s="5"/>
    </row>
    <row r="5071" spans="12:13" x14ac:dyDescent="0.2">
      <c r="L5071" s="5"/>
      <c r="M5071" s="5"/>
    </row>
    <row r="5072" spans="12:13" x14ac:dyDescent="0.2">
      <c r="L5072" s="5"/>
      <c r="M5072" s="5"/>
    </row>
    <row r="5073" spans="12:13" x14ac:dyDescent="0.2">
      <c r="L5073" s="5"/>
      <c r="M5073" s="5"/>
    </row>
    <row r="5074" spans="12:13" x14ac:dyDescent="0.2">
      <c r="L5074" s="5"/>
      <c r="M5074" s="5"/>
    </row>
    <row r="5075" spans="12:13" x14ac:dyDescent="0.2">
      <c r="L5075" s="5"/>
      <c r="M5075" s="5"/>
    </row>
    <row r="5076" spans="12:13" x14ac:dyDescent="0.2">
      <c r="L5076" s="5"/>
      <c r="M5076" s="5"/>
    </row>
    <row r="5077" spans="12:13" x14ac:dyDescent="0.2">
      <c r="L5077" s="5"/>
      <c r="M5077" s="5"/>
    </row>
    <row r="5078" spans="12:13" x14ac:dyDescent="0.2">
      <c r="L5078" s="5"/>
      <c r="M5078" s="5"/>
    </row>
    <row r="5079" spans="12:13" x14ac:dyDescent="0.2">
      <c r="L5079" s="5"/>
      <c r="M5079" s="5"/>
    </row>
    <row r="5080" spans="12:13" x14ac:dyDescent="0.2">
      <c r="L5080" s="5"/>
      <c r="M5080" s="5"/>
    </row>
    <row r="5081" spans="12:13" x14ac:dyDescent="0.2">
      <c r="L5081" s="5"/>
      <c r="M5081" s="5"/>
    </row>
    <row r="5082" spans="12:13" x14ac:dyDescent="0.2">
      <c r="L5082" s="5"/>
      <c r="M5082" s="5"/>
    </row>
    <row r="5083" spans="12:13" x14ac:dyDescent="0.2">
      <c r="L5083" s="5"/>
      <c r="M5083" s="5"/>
    </row>
    <row r="5084" spans="12:13" x14ac:dyDescent="0.2">
      <c r="L5084" s="5"/>
      <c r="M5084" s="5"/>
    </row>
    <row r="5085" spans="12:13" x14ac:dyDescent="0.2">
      <c r="L5085" s="5"/>
      <c r="M5085" s="5"/>
    </row>
    <row r="5086" spans="12:13" x14ac:dyDescent="0.2">
      <c r="L5086" s="5"/>
      <c r="M5086" s="5"/>
    </row>
    <row r="5087" spans="12:13" x14ac:dyDescent="0.2">
      <c r="L5087" s="5"/>
      <c r="M5087" s="5"/>
    </row>
    <row r="5088" spans="12:13" x14ac:dyDescent="0.2">
      <c r="L5088" s="5"/>
      <c r="M5088" s="5"/>
    </row>
    <row r="5089" spans="12:13" x14ac:dyDescent="0.2">
      <c r="L5089" s="5"/>
      <c r="M5089" s="5"/>
    </row>
    <row r="5090" spans="12:13" x14ac:dyDescent="0.2">
      <c r="L5090" s="5"/>
      <c r="M5090" s="5"/>
    </row>
    <row r="5091" spans="12:13" x14ac:dyDescent="0.2">
      <c r="L5091" s="5"/>
      <c r="M5091" s="5"/>
    </row>
    <row r="5092" spans="12:13" x14ac:dyDescent="0.2">
      <c r="L5092" s="5"/>
      <c r="M5092" s="5"/>
    </row>
    <row r="5093" spans="12:13" x14ac:dyDescent="0.2">
      <c r="L5093" s="5"/>
      <c r="M5093" s="5"/>
    </row>
    <row r="5094" spans="12:13" x14ac:dyDescent="0.2">
      <c r="L5094" s="5"/>
      <c r="M5094" s="5"/>
    </row>
    <row r="5095" spans="12:13" x14ac:dyDescent="0.2">
      <c r="L5095" s="5"/>
      <c r="M5095" s="5"/>
    </row>
    <row r="5096" spans="12:13" x14ac:dyDescent="0.2">
      <c r="L5096" s="5"/>
      <c r="M5096" s="5"/>
    </row>
    <row r="5097" spans="12:13" x14ac:dyDescent="0.2">
      <c r="L5097" s="5"/>
      <c r="M5097" s="5"/>
    </row>
    <row r="5098" spans="12:13" x14ac:dyDescent="0.2">
      <c r="L5098" s="5"/>
      <c r="M5098" s="5"/>
    </row>
    <row r="5099" spans="12:13" x14ac:dyDescent="0.2">
      <c r="L5099" s="5"/>
      <c r="M5099" s="5"/>
    </row>
    <row r="5100" spans="12:13" x14ac:dyDescent="0.2">
      <c r="L5100" s="5"/>
      <c r="M5100" s="5"/>
    </row>
    <row r="5101" spans="12:13" x14ac:dyDescent="0.2">
      <c r="L5101" s="5"/>
      <c r="M5101" s="5"/>
    </row>
    <row r="5102" spans="12:13" x14ac:dyDescent="0.2">
      <c r="L5102" s="5"/>
      <c r="M5102" s="5"/>
    </row>
    <row r="5103" spans="12:13" x14ac:dyDescent="0.2">
      <c r="L5103" s="5"/>
      <c r="M5103" s="5"/>
    </row>
    <row r="5104" spans="12:13" x14ac:dyDescent="0.2">
      <c r="L5104" s="5"/>
      <c r="M5104" s="5"/>
    </row>
    <row r="5105" spans="12:13" x14ac:dyDescent="0.2">
      <c r="L5105" s="5"/>
      <c r="M5105" s="5"/>
    </row>
    <row r="5106" spans="12:13" x14ac:dyDescent="0.2">
      <c r="L5106" s="5"/>
      <c r="M5106" s="5"/>
    </row>
    <row r="5107" spans="12:13" x14ac:dyDescent="0.2">
      <c r="L5107" s="5"/>
      <c r="M5107" s="5"/>
    </row>
    <row r="5108" spans="12:13" x14ac:dyDescent="0.2">
      <c r="L5108" s="5"/>
      <c r="M5108" s="5"/>
    </row>
    <row r="5109" spans="12:13" x14ac:dyDescent="0.2">
      <c r="L5109" s="5"/>
      <c r="M5109" s="5"/>
    </row>
    <row r="5110" spans="12:13" x14ac:dyDescent="0.2">
      <c r="L5110" s="5"/>
      <c r="M5110" s="5"/>
    </row>
    <row r="5111" spans="12:13" x14ac:dyDescent="0.2">
      <c r="L5111" s="5"/>
      <c r="M5111" s="5"/>
    </row>
    <row r="5112" spans="12:13" x14ac:dyDescent="0.2">
      <c r="L5112" s="5"/>
      <c r="M5112" s="5"/>
    </row>
    <row r="5113" spans="12:13" x14ac:dyDescent="0.2">
      <c r="L5113" s="5"/>
      <c r="M5113" s="5"/>
    </row>
    <row r="5114" spans="12:13" x14ac:dyDescent="0.2">
      <c r="L5114" s="5"/>
      <c r="M5114" s="5"/>
    </row>
    <row r="5115" spans="12:13" x14ac:dyDescent="0.2">
      <c r="L5115" s="5"/>
      <c r="M5115" s="5"/>
    </row>
    <row r="5116" spans="12:13" x14ac:dyDescent="0.2">
      <c r="L5116" s="5"/>
      <c r="M5116" s="5"/>
    </row>
    <row r="5117" spans="12:13" x14ac:dyDescent="0.2">
      <c r="L5117" s="5"/>
      <c r="M5117" s="5"/>
    </row>
    <row r="5118" spans="12:13" x14ac:dyDescent="0.2">
      <c r="L5118" s="5"/>
      <c r="M5118" s="5"/>
    </row>
    <row r="5119" spans="12:13" x14ac:dyDescent="0.2">
      <c r="L5119" s="5"/>
      <c r="M5119" s="5"/>
    </row>
    <row r="5120" spans="12:13" x14ac:dyDescent="0.2">
      <c r="L5120" s="5"/>
      <c r="M5120" s="5"/>
    </row>
    <row r="5121" spans="12:13" x14ac:dyDescent="0.2">
      <c r="L5121" s="5"/>
      <c r="M5121" s="5"/>
    </row>
    <row r="5122" spans="12:13" x14ac:dyDescent="0.2">
      <c r="L5122" s="5"/>
      <c r="M5122" s="5"/>
    </row>
    <row r="5123" spans="12:13" x14ac:dyDescent="0.2">
      <c r="L5123" s="5"/>
      <c r="M5123" s="5"/>
    </row>
    <row r="5124" spans="12:13" x14ac:dyDescent="0.2">
      <c r="L5124" s="5"/>
      <c r="M5124" s="5"/>
    </row>
    <row r="5125" spans="12:13" x14ac:dyDescent="0.2">
      <c r="L5125" s="5"/>
      <c r="M5125" s="5"/>
    </row>
    <row r="5126" spans="12:13" x14ac:dyDescent="0.2">
      <c r="L5126" s="5"/>
      <c r="M5126" s="5"/>
    </row>
    <row r="5127" spans="12:13" x14ac:dyDescent="0.2">
      <c r="L5127" s="5"/>
      <c r="M5127" s="5"/>
    </row>
    <row r="5128" spans="12:13" x14ac:dyDescent="0.2">
      <c r="L5128" s="5"/>
      <c r="M5128" s="5"/>
    </row>
    <row r="5129" spans="12:13" x14ac:dyDescent="0.2">
      <c r="L5129" s="5"/>
      <c r="M5129" s="5"/>
    </row>
    <row r="5130" spans="12:13" x14ac:dyDescent="0.2">
      <c r="L5130" s="5"/>
      <c r="M5130" s="5"/>
    </row>
    <row r="5131" spans="12:13" x14ac:dyDescent="0.2">
      <c r="L5131" s="5"/>
      <c r="M5131" s="5"/>
    </row>
    <row r="5132" spans="12:13" x14ac:dyDescent="0.2">
      <c r="L5132" s="5"/>
      <c r="M5132" s="5"/>
    </row>
    <row r="5133" spans="12:13" x14ac:dyDescent="0.2">
      <c r="L5133" s="5"/>
      <c r="M5133" s="5"/>
    </row>
    <row r="5134" spans="12:13" x14ac:dyDescent="0.2">
      <c r="L5134" s="5"/>
      <c r="M5134" s="5"/>
    </row>
    <row r="5135" spans="12:13" x14ac:dyDescent="0.2">
      <c r="L5135" s="5"/>
      <c r="M5135" s="5"/>
    </row>
    <row r="5136" spans="12:13" x14ac:dyDescent="0.2">
      <c r="L5136" s="5"/>
      <c r="M5136" s="5"/>
    </row>
    <row r="5137" spans="12:13" x14ac:dyDescent="0.2">
      <c r="L5137" s="5"/>
      <c r="M5137" s="5"/>
    </row>
    <row r="5138" spans="12:13" x14ac:dyDescent="0.2">
      <c r="L5138" s="5"/>
      <c r="M5138" s="5"/>
    </row>
    <row r="5139" spans="12:13" x14ac:dyDescent="0.2">
      <c r="L5139" s="5"/>
      <c r="M5139" s="5"/>
    </row>
    <row r="5140" spans="12:13" x14ac:dyDescent="0.2">
      <c r="L5140" s="5"/>
      <c r="M5140" s="5"/>
    </row>
    <row r="5141" spans="12:13" x14ac:dyDescent="0.2">
      <c r="L5141" s="5"/>
      <c r="M5141" s="5"/>
    </row>
    <row r="5142" spans="12:13" x14ac:dyDescent="0.2">
      <c r="L5142" s="5"/>
      <c r="M5142" s="5"/>
    </row>
    <row r="5143" spans="12:13" x14ac:dyDescent="0.2">
      <c r="L5143" s="5"/>
      <c r="M5143" s="5"/>
    </row>
    <row r="5144" spans="12:13" x14ac:dyDescent="0.2">
      <c r="L5144" s="5"/>
      <c r="M5144" s="5"/>
    </row>
    <row r="5145" spans="12:13" x14ac:dyDescent="0.2">
      <c r="L5145" s="5"/>
      <c r="M5145" s="5"/>
    </row>
    <row r="5146" spans="12:13" x14ac:dyDescent="0.2">
      <c r="L5146" s="5"/>
      <c r="M5146" s="5"/>
    </row>
    <row r="5147" spans="12:13" x14ac:dyDescent="0.2">
      <c r="L5147" s="5"/>
      <c r="M5147" s="5"/>
    </row>
    <row r="5148" spans="12:13" x14ac:dyDescent="0.2">
      <c r="L5148" s="5"/>
      <c r="M5148" s="5"/>
    </row>
    <row r="5149" spans="12:13" x14ac:dyDescent="0.2">
      <c r="L5149" s="5"/>
      <c r="M5149" s="5"/>
    </row>
    <row r="5150" spans="12:13" x14ac:dyDescent="0.2">
      <c r="L5150" s="5"/>
      <c r="M5150" s="5"/>
    </row>
    <row r="5151" spans="12:13" x14ac:dyDescent="0.2">
      <c r="L5151" s="5"/>
      <c r="M5151" s="5"/>
    </row>
    <row r="5152" spans="12:13" x14ac:dyDescent="0.2">
      <c r="L5152" s="5"/>
      <c r="M5152" s="5"/>
    </row>
    <row r="5153" spans="12:13" x14ac:dyDescent="0.2">
      <c r="L5153" s="5"/>
      <c r="M5153" s="5"/>
    </row>
    <row r="5154" spans="12:13" x14ac:dyDescent="0.2">
      <c r="L5154" s="5"/>
      <c r="M5154" s="5"/>
    </row>
    <row r="5155" spans="12:13" x14ac:dyDescent="0.2">
      <c r="L5155" s="5"/>
      <c r="M5155" s="5"/>
    </row>
    <row r="5156" spans="12:13" x14ac:dyDescent="0.2">
      <c r="L5156" s="5"/>
      <c r="M5156" s="5"/>
    </row>
    <row r="5157" spans="12:13" x14ac:dyDescent="0.2">
      <c r="L5157" s="5"/>
      <c r="M5157" s="5"/>
    </row>
    <row r="5158" spans="12:13" x14ac:dyDescent="0.2">
      <c r="L5158" s="5"/>
      <c r="M5158" s="5"/>
    </row>
    <row r="5159" spans="12:13" x14ac:dyDescent="0.2">
      <c r="L5159" s="5"/>
      <c r="M5159" s="5"/>
    </row>
    <row r="5160" spans="12:13" x14ac:dyDescent="0.2">
      <c r="L5160" s="5"/>
      <c r="M5160" s="5"/>
    </row>
    <row r="5161" spans="12:13" x14ac:dyDescent="0.2">
      <c r="L5161" s="5"/>
      <c r="M5161" s="5"/>
    </row>
    <row r="5162" spans="12:13" x14ac:dyDescent="0.2">
      <c r="L5162" s="5"/>
      <c r="M5162" s="5"/>
    </row>
    <row r="5163" spans="12:13" x14ac:dyDescent="0.2">
      <c r="L5163" s="5"/>
      <c r="M5163" s="5"/>
    </row>
    <row r="5164" spans="12:13" x14ac:dyDescent="0.2">
      <c r="L5164" s="5"/>
      <c r="M5164" s="5"/>
    </row>
    <row r="5165" spans="12:13" x14ac:dyDescent="0.2">
      <c r="L5165" s="5"/>
      <c r="M5165" s="5"/>
    </row>
    <row r="5166" spans="12:13" x14ac:dyDescent="0.2">
      <c r="L5166" s="5"/>
      <c r="M5166" s="5"/>
    </row>
    <row r="5167" spans="12:13" x14ac:dyDescent="0.2">
      <c r="L5167" s="5"/>
      <c r="M5167" s="5"/>
    </row>
    <row r="5168" spans="12:13" x14ac:dyDescent="0.2">
      <c r="L5168" s="5"/>
      <c r="M5168" s="5"/>
    </row>
    <row r="5169" spans="12:13" x14ac:dyDescent="0.2">
      <c r="L5169" s="5"/>
      <c r="M5169" s="5"/>
    </row>
    <row r="5170" spans="12:13" x14ac:dyDescent="0.2">
      <c r="L5170" s="5"/>
      <c r="M5170" s="5"/>
    </row>
    <row r="5171" spans="12:13" x14ac:dyDescent="0.2">
      <c r="L5171" s="5"/>
      <c r="M5171" s="5"/>
    </row>
    <row r="5172" spans="12:13" x14ac:dyDescent="0.2">
      <c r="L5172" s="5"/>
      <c r="M5172" s="5"/>
    </row>
    <row r="5173" spans="12:13" x14ac:dyDescent="0.2">
      <c r="L5173" s="5"/>
      <c r="M5173" s="5"/>
    </row>
    <row r="5174" spans="12:13" x14ac:dyDescent="0.2">
      <c r="L5174" s="5"/>
      <c r="M5174" s="5"/>
    </row>
    <row r="5175" spans="12:13" x14ac:dyDescent="0.2">
      <c r="L5175" s="5"/>
      <c r="M5175" s="5"/>
    </row>
    <row r="5176" spans="12:13" x14ac:dyDescent="0.2">
      <c r="L5176" s="5"/>
      <c r="M5176" s="5"/>
    </row>
    <row r="5177" spans="12:13" x14ac:dyDescent="0.2">
      <c r="L5177" s="5"/>
      <c r="M5177" s="5"/>
    </row>
    <row r="5178" spans="12:13" x14ac:dyDescent="0.2">
      <c r="L5178" s="5"/>
      <c r="M5178" s="5"/>
    </row>
    <row r="5179" spans="12:13" x14ac:dyDescent="0.2">
      <c r="L5179" s="5"/>
      <c r="M5179" s="5"/>
    </row>
    <row r="5180" spans="12:13" x14ac:dyDescent="0.2">
      <c r="L5180" s="5"/>
      <c r="M5180" s="5"/>
    </row>
    <row r="5181" spans="12:13" x14ac:dyDescent="0.2">
      <c r="L5181" s="5"/>
      <c r="M5181" s="5"/>
    </row>
    <row r="5182" spans="12:13" x14ac:dyDescent="0.2">
      <c r="L5182" s="5"/>
      <c r="M5182" s="5"/>
    </row>
    <row r="5183" spans="12:13" x14ac:dyDescent="0.2">
      <c r="L5183" s="5"/>
      <c r="M5183" s="5"/>
    </row>
    <row r="5184" spans="12:13" x14ac:dyDescent="0.2">
      <c r="L5184" s="5"/>
      <c r="M5184" s="5"/>
    </row>
    <row r="5185" spans="12:13" x14ac:dyDescent="0.2">
      <c r="L5185" s="5"/>
      <c r="M5185" s="5"/>
    </row>
    <row r="5186" spans="12:13" x14ac:dyDescent="0.2">
      <c r="L5186" s="5"/>
      <c r="M5186" s="5"/>
    </row>
    <row r="5187" spans="12:13" x14ac:dyDescent="0.2">
      <c r="L5187" s="5"/>
      <c r="M5187" s="5"/>
    </row>
    <row r="5188" spans="12:13" x14ac:dyDescent="0.2">
      <c r="L5188" s="5"/>
      <c r="M5188" s="5"/>
    </row>
    <row r="5189" spans="12:13" x14ac:dyDescent="0.2">
      <c r="L5189" s="5"/>
      <c r="M5189" s="5"/>
    </row>
    <row r="5190" spans="12:13" x14ac:dyDescent="0.2">
      <c r="L5190" s="5"/>
      <c r="M5190" s="5"/>
    </row>
    <row r="5191" spans="12:13" x14ac:dyDescent="0.2">
      <c r="L5191" s="5"/>
      <c r="M5191" s="5"/>
    </row>
    <row r="5192" spans="12:13" x14ac:dyDescent="0.2">
      <c r="L5192" s="5"/>
      <c r="M5192" s="5"/>
    </row>
    <row r="5193" spans="12:13" x14ac:dyDescent="0.2">
      <c r="L5193" s="5"/>
      <c r="M5193" s="5"/>
    </row>
    <row r="5194" spans="12:13" x14ac:dyDescent="0.2">
      <c r="L5194" s="5"/>
      <c r="M5194" s="5"/>
    </row>
    <row r="5195" spans="12:13" x14ac:dyDescent="0.2">
      <c r="L5195" s="5"/>
      <c r="M5195" s="5"/>
    </row>
    <row r="5196" spans="12:13" x14ac:dyDescent="0.2">
      <c r="L5196" s="5"/>
      <c r="M5196" s="5"/>
    </row>
    <row r="5197" spans="12:13" x14ac:dyDescent="0.2">
      <c r="L5197" s="5"/>
      <c r="M5197" s="5"/>
    </row>
    <row r="5198" spans="12:13" x14ac:dyDescent="0.2">
      <c r="L5198" s="5"/>
      <c r="M5198" s="5"/>
    </row>
    <row r="5199" spans="12:13" x14ac:dyDescent="0.2">
      <c r="L5199" s="5"/>
      <c r="M5199" s="5"/>
    </row>
    <row r="5200" spans="12:13" x14ac:dyDescent="0.2">
      <c r="L5200" s="5"/>
      <c r="M5200" s="5"/>
    </row>
    <row r="5201" spans="12:13" x14ac:dyDescent="0.2">
      <c r="L5201" s="5"/>
      <c r="M5201" s="5"/>
    </row>
    <row r="5202" spans="12:13" x14ac:dyDescent="0.2">
      <c r="L5202" s="5"/>
      <c r="M5202" s="5"/>
    </row>
    <row r="5203" spans="12:13" x14ac:dyDescent="0.2">
      <c r="L5203" s="5"/>
      <c r="M5203" s="5"/>
    </row>
    <row r="5204" spans="12:13" x14ac:dyDescent="0.2">
      <c r="L5204" s="5"/>
      <c r="M5204" s="5"/>
    </row>
    <row r="5205" spans="12:13" x14ac:dyDescent="0.2">
      <c r="L5205" s="5"/>
      <c r="M5205" s="5"/>
    </row>
    <row r="5206" spans="12:13" x14ac:dyDescent="0.2">
      <c r="L5206" s="5"/>
      <c r="M5206" s="5"/>
    </row>
    <row r="5207" spans="12:13" x14ac:dyDescent="0.2">
      <c r="L5207" s="5"/>
      <c r="M5207" s="5"/>
    </row>
    <row r="5208" spans="12:13" x14ac:dyDescent="0.2">
      <c r="L5208" s="5"/>
      <c r="M5208" s="5"/>
    </row>
    <row r="5209" spans="12:13" x14ac:dyDescent="0.2">
      <c r="L5209" s="5"/>
      <c r="M5209" s="5"/>
    </row>
    <row r="5210" spans="12:13" x14ac:dyDescent="0.2">
      <c r="L5210" s="5"/>
      <c r="M5210" s="5"/>
    </row>
    <row r="5211" spans="12:13" x14ac:dyDescent="0.2">
      <c r="L5211" s="5"/>
      <c r="M5211" s="5"/>
    </row>
    <row r="5212" spans="12:13" x14ac:dyDescent="0.2">
      <c r="L5212" s="5"/>
      <c r="M5212" s="5"/>
    </row>
    <row r="5213" spans="12:13" x14ac:dyDescent="0.2">
      <c r="L5213" s="5"/>
      <c r="M5213" s="5"/>
    </row>
    <row r="5214" spans="12:13" x14ac:dyDescent="0.2">
      <c r="L5214" s="5"/>
      <c r="M5214" s="5"/>
    </row>
    <row r="5215" spans="12:13" x14ac:dyDescent="0.2">
      <c r="L5215" s="5"/>
      <c r="M5215" s="5"/>
    </row>
    <row r="5216" spans="12:13" x14ac:dyDescent="0.2">
      <c r="L5216" s="5"/>
      <c r="M5216" s="5"/>
    </row>
    <row r="5217" spans="12:13" x14ac:dyDescent="0.2">
      <c r="L5217" s="5"/>
      <c r="M5217" s="5"/>
    </row>
    <row r="5218" spans="12:13" x14ac:dyDescent="0.2">
      <c r="L5218" s="5"/>
      <c r="M5218" s="5"/>
    </row>
    <row r="5219" spans="12:13" x14ac:dyDescent="0.2">
      <c r="L5219" s="5"/>
      <c r="M5219" s="5"/>
    </row>
    <row r="5220" spans="12:13" x14ac:dyDescent="0.2">
      <c r="L5220" s="5"/>
      <c r="M5220" s="5"/>
    </row>
    <row r="5221" spans="12:13" x14ac:dyDescent="0.2">
      <c r="L5221" s="5"/>
      <c r="M5221" s="5"/>
    </row>
    <row r="5222" spans="12:13" x14ac:dyDescent="0.2">
      <c r="L5222" s="5"/>
      <c r="M5222" s="5"/>
    </row>
    <row r="5223" spans="12:13" x14ac:dyDescent="0.2">
      <c r="L5223" s="5"/>
      <c r="M5223" s="5"/>
    </row>
    <row r="5224" spans="12:13" x14ac:dyDescent="0.2">
      <c r="L5224" s="5"/>
      <c r="M5224" s="5"/>
    </row>
    <row r="5225" spans="12:13" x14ac:dyDescent="0.2">
      <c r="L5225" s="5"/>
      <c r="M5225" s="5"/>
    </row>
    <row r="5226" spans="12:13" x14ac:dyDescent="0.2">
      <c r="L5226" s="5"/>
      <c r="M5226" s="5"/>
    </row>
    <row r="5227" spans="12:13" x14ac:dyDescent="0.2">
      <c r="L5227" s="5"/>
      <c r="M5227" s="5"/>
    </row>
    <row r="5228" spans="12:13" x14ac:dyDescent="0.2">
      <c r="L5228" s="5"/>
      <c r="M5228" s="5"/>
    </row>
    <row r="5229" spans="12:13" x14ac:dyDescent="0.2">
      <c r="L5229" s="5"/>
      <c r="M5229" s="5"/>
    </row>
    <row r="5230" spans="12:13" x14ac:dyDescent="0.2">
      <c r="L5230" s="5"/>
      <c r="M5230" s="5"/>
    </row>
    <row r="5231" spans="12:13" x14ac:dyDescent="0.2">
      <c r="L5231" s="5"/>
      <c r="M5231" s="5"/>
    </row>
    <row r="5232" spans="12:13" x14ac:dyDescent="0.2">
      <c r="L5232" s="5"/>
      <c r="M5232" s="5"/>
    </row>
    <row r="5233" spans="12:13" x14ac:dyDescent="0.2">
      <c r="L5233" s="5"/>
      <c r="M5233" s="5"/>
    </row>
    <row r="5234" spans="12:13" x14ac:dyDescent="0.2">
      <c r="L5234" s="5"/>
      <c r="M5234" s="5"/>
    </row>
    <row r="5235" spans="12:13" x14ac:dyDescent="0.2">
      <c r="L5235" s="5"/>
      <c r="M5235" s="5"/>
    </row>
    <row r="5236" spans="12:13" x14ac:dyDescent="0.2">
      <c r="L5236" s="5"/>
      <c r="M5236" s="5"/>
    </row>
    <row r="5237" spans="12:13" x14ac:dyDescent="0.2">
      <c r="L5237" s="5"/>
      <c r="M5237" s="5"/>
    </row>
    <row r="5238" spans="12:13" x14ac:dyDescent="0.2">
      <c r="L5238" s="5"/>
      <c r="M5238" s="5"/>
    </row>
    <row r="5239" spans="12:13" x14ac:dyDescent="0.2">
      <c r="L5239" s="5"/>
      <c r="M5239" s="5"/>
    </row>
    <row r="5240" spans="12:13" x14ac:dyDescent="0.2">
      <c r="L5240" s="5"/>
      <c r="M5240" s="5"/>
    </row>
    <row r="5241" spans="12:13" x14ac:dyDescent="0.2">
      <c r="L5241" s="5"/>
      <c r="M5241" s="5"/>
    </row>
    <row r="5242" spans="12:13" x14ac:dyDescent="0.2">
      <c r="L5242" s="5"/>
      <c r="M5242" s="5"/>
    </row>
    <row r="5243" spans="12:13" x14ac:dyDescent="0.2">
      <c r="L5243" s="5"/>
      <c r="M5243" s="5"/>
    </row>
    <row r="5244" spans="12:13" x14ac:dyDescent="0.2">
      <c r="L5244" s="5"/>
      <c r="M5244" s="5"/>
    </row>
    <row r="5245" spans="12:13" x14ac:dyDescent="0.2">
      <c r="L5245" s="5"/>
      <c r="M5245" s="5"/>
    </row>
    <row r="5246" spans="12:13" x14ac:dyDescent="0.2">
      <c r="L5246" s="5"/>
      <c r="M5246" s="5"/>
    </row>
    <row r="5247" spans="12:13" x14ac:dyDescent="0.2">
      <c r="L5247" s="5"/>
      <c r="M5247" s="5"/>
    </row>
    <row r="5248" spans="12:13" x14ac:dyDescent="0.2">
      <c r="L5248" s="5"/>
      <c r="M5248" s="5"/>
    </row>
    <row r="5249" spans="12:13" x14ac:dyDescent="0.2">
      <c r="L5249" s="5"/>
      <c r="M5249" s="5"/>
    </row>
    <row r="5250" spans="12:13" x14ac:dyDescent="0.2">
      <c r="L5250" s="5"/>
      <c r="M5250" s="5"/>
    </row>
    <row r="5251" spans="12:13" x14ac:dyDescent="0.2">
      <c r="L5251" s="5"/>
      <c r="M5251" s="5"/>
    </row>
    <row r="5252" spans="12:13" x14ac:dyDescent="0.2">
      <c r="L5252" s="5"/>
      <c r="M5252" s="5"/>
    </row>
    <row r="5253" spans="12:13" x14ac:dyDescent="0.2">
      <c r="L5253" s="5"/>
      <c r="M5253" s="5"/>
    </row>
    <row r="5254" spans="12:13" x14ac:dyDescent="0.2">
      <c r="L5254" s="5"/>
      <c r="M5254" s="5"/>
    </row>
    <row r="5255" spans="12:13" x14ac:dyDescent="0.2">
      <c r="L5255" s="5"/>
      <c r="M5255" s="5"/>
    </row>
    <row r="5256" spans="12:13" x14ac:dyDescent="0.2">
      <c r="L5256" s="5"/>
      <c r="M5256" s="5"/>
    </row>
    <row r="5257" spans="12:13" x14ac:dyDescent="0.2">
      <c r="L5257" s="5"/>
      <c r="M5257" s="5"/>
    </row>
    <row r="5258" spans="12:13" x14ac:dyDescent="0.2">
      <c r="L5258" s="5"/>
      <c r="M5258" s="5"/>
    </row>
    <row r="5259" spans="12:13" x14ac:dyDescent="0.2">
      <c r="L5259" s="5"/>
      <c r="M5259" s="5"/>
    </row>
    <row r="5260" spans="12:13" x14ac:dyDescent="0.2">
      <c r="L5260" s="5"/>
      <c r="M5260" s="5"/>
    </row>
    <row r="5261" spans="12:13" x14ac:dyDescent="0.2">
      <c r="L5261" s="5"/>
      <c r="M5261" s="5"/>
    </row>
    <row r="5262" spans="12:13" x14ac:dyDescent="0.2">
      <c r="L5262" s="5"/>
      <c r="M5262" s="5"/>
    </row>
    <row r="5263" spans="12:13" x14ac:dyDescent="0.2">
      <c r="L5263" s="5"/>
      <c r="M5263" s="5"/>
    </row>
    <row r="5264" spans="12:13" x14ac:dyDescent="0.2">
      <c r="L5264" s="5"/>
      <c r="M5264" s="5"/>
    </row>
    <row r="5265" spans="12:13" x14ac:dyDescent="0.2">
      <c r="L5265" s="5"/>
      <c r="M5265" s="5"/>
    </row>
    <row r="5266" spans="12:13" x14ac:dyDescent="0.2">
      <c r="L5266" s="5"/>
      <c r="M5266" s="5"/>
    </row>
    <row r="5267" spans="12:13" x14ac:dyDescent="0.2">
      <c r="L5267" s="5"/>
      <c r="M5267" s="5"/>
    </row>
    <row r="5268" spans="12:13" x14ac:dyDescent="0.2">
      <c r="L5268" s="5"/>
      <c r="M5268" s="5"/>
    </row>
    <row r="5269" spans="12:13" x14ac:dyDescent="0.2">
      <c r="L5269" s="5"/>
      <c r="M5269" s="5"/>
    </row>
    <row r="5270" spans="12:13" x14ac:dyDescent="0.2">
      <c r="L5270" s="5"/>
      <c r="M5270" s="5"/>
    </row>
    <row r="5271" spans="12:13" x14ac:dyDescent="0.2">
      <c r="L5271" s="5"/>
      <c r="M5271" s="5"/>
    </row>
    <row r="5272" spans="12:13" x14ac:dyDescent="0.2">
      <c r="L5272" s="5"/>
      <c r="M5272" s="5"/>
    </row>
    <row r="5273" spans="12:13" x14ac:dyDescent="0.2">
      <c r="L5273" s="5"/>
      <c r="M5273" s="5"/>
    </row>
    <row r="5274" spans="12:13" x14ac:dyDescent="0.2">
      <c r="L5274" s="5"/>
      <c r="M5274" s="5"/>
    </row>
    <row r="5275" spans="12:13" x14ac:dyDescent="0.2">
      <c r="L5275" s="5"/>
      <c r="M5275" s="5"/>
    </row>
    <row r="5276" spans="12:13" x14ac:dyDescent="0.2">
      <c r="L5276" s="5"/>
      <c r="M5276" s="5"/>
    </row>
    <row r="5277" spans="12:13" x14ac:dyDescent="0.2">
      <c r="L5277" s="5"/>
      <c r="M5277" s="5"/>
    </row>
    <row r="5278" spans="12:13" x14ac:dyDescent="0.2">
      <c r="L5278" s="5"/>
      <c r="M5278" s="5"/>
    </row>
    <row r="5279" spans="12:13" x14ac:dyDescent="0.2">
      <c r="L5279" s="5"/>
      <c r="M5279" s="5"/>
    </row>
    <row r="5280" spans="12:13" x14ac:dyDescent="0.2">
      <c r="L5280" s="5"/>
      <c r="M5280" s="5"/>
    </row>
    <row r="5281" spans="12:13" x14ac:dyDescent="0.2">
      <c r="L5281" s="5"/>
      <c r="M5281" s="5"/>
    </row>
    <row r="5282" spans="12:13" x14ac:dyDescent="0.2">
      <c r="L5282" s="5"/>
      <c r="M5282" s="5"/>
    </row>
    <row r="5283" spans="12:13" x14ac:dyDescent="0.2">
      <c r="L5283" s="5"/>
      <c r="M5283" s="5"/>
    </row>
    <row r="5284" spans="12:13" x14ac:dyDescent="0.2">
      <c r="L5284" s="5"/>
      <c r="M5284" s="5"/>
    </row>
    <row r="5285" spans="12:13" x14ac:dyDescent="0.2">
      <c r="L5285" s="5"/>
      <c r="M5285" s="5"/>
    </row>
    <row r="5286" spans="12:13" x14ac:dyDescent="0.2">
      <c r="L5286" s="5"/>
      <c r="M5286" s="5"/>
    </row>
    <row r="5287" spans="12:13" x14ac:dyDescent="0.2">
      <c r="L5287" s="5"/>
      <c r="M5287" s="5"/>
    </row>
    <row r="5288" spans="12:13" x14ac:dyDescent="0.2">
      <c r="L5288" s="5"/>
      <c r="M5288" s="5"/>
    </row>
    <row r="5289" spans="12:13" x14ac:dyDescent="0.2">
      <c r="L5289" s="5"/>
      <c r="M5289" s="5"/>
    </row>
    <row r="5290" spans="12:13" x14ac:dyDescent="0.2">
      <c r="L5290" s="5"/>
      <c r="M5290" s="5"/>
    </row>
    <row r="5291" spans="12:13" x14ac:dyDescent="0.2">
      <c r="L5291" s="5"/>
      <c r="M5291" s="5"/>
    </row>
    <row r="5292" spans="12:13" x14ac:dyDescent="0.2">
      <c r="L5292" s="5"/>
      <c r="M5292" s="5"/>
    </row>
    <row r="5293" spans="12:13" x14ac:dyDescent="0.2">
      <c r="L5293" s="5"/>
      <c r="M5293" s="5"/>
    </row>
    <row r="5294" spans="12:13" x14ac:dyDescent="0.2">
      <c r="L5294" s="5"/>
      <c r="M5294" s="5"/>
    </row>
    <row r="5295" spans="12:13" x14ac:dyDescent="0.2">
      <c r="L5295" s="5"/>
      <c r="M5295" s="5"/>
    </row>
    <row r="5296" spans="12:13" x14ac:dyDescent="0.2">
      <c r="L5296" s="5"/>
      <c r="M5296" s="5"/>
    </row>
    <row r="5297" spans="12:13" x14ac:dyDescent="0.2">
      <c r="L5297" s="5"/>
      <c r="M5297" s="5"/>
    </row>
    <row r="5298" spans="12:13" x14ac:dyDescent="0.2">
      <c r="L5298" s="5"/>
      <c r="M5298" s="5"/>
    </row>
    <row r="5299" spans="12:13" x14ac:dyDescent="0.2">
      <c r="L5299" s="5"/>
      <c r="M5299" s="5"/>
    </row>
    <row r="5300" spans="12:13" x14ac:dyDescent="0.2">
      <c r="L5300" s="5"/>
      <c r="M5300" s="5"/>
    </row>
    <row r="5301" spans="12:13" x14ac:dyDescent="0.2">
      <c r="L5301" s="5"/>
      <c r="M5301" s="5"/>
    </row>
    <row r="5302" spans="12:13" x14ac:dyDescent="0.2">
      <c r="L5302" s="5"/>
      <c r="M5302" s="5"/>
    </row>
    <row r="5303" spans="12:13" x14ac:dyDescent="0.2">
      <c r="L5303" s="5"/>
      <c r="M5303" s="5"/>
    </row>
    <row r="5304" spans="12:13" x14ac:dyDescent="0.2">
      <c r="L5304" s="5"/>
      <c r="M5304" s="5"/>
    </row>
    <row r="5305" spans="12:13" x14ac:dyDescent="0.2">
      <c r="L5305" s="5"/>
      <c r="M5305" s="5"/>
    </row>
    <row r="5306" spans="12:13" x14ac:dyDescent="0.2">
      <c r="L5306" s="5"/>
      <c r="M5306" s="5"/>
    </row>
    <row r="5307" spans="12:13" x14ac:dyDescent="0.2">
      <c r="L5307" s="5"/>
      <c r="M5307" s="5"/>
    </row>
    <row r="5308" spans="12:13" x14ac:dyDescent="0.2">
      <c r="L5308" s="5"/>
      <c r="M5308" s="5"/>
    </row>
    <row r="5309" spans="12:13" x14ac:dyDescent="0.2">
      <c r="L5309" s="5"/>
      <c r="M5309" s="5"/>
    </row>
    <row r="5310" spans="12:13" x14ac:dyDescent="0.2">
      <c r="L5310" s="5"/>
      <c r="M5310" s="5"/>
    </row>
    <row r="5311" spans="12:13" x14ac:dyDescent="0.2">
      <c r="L5311" s="5"/>
      <c r="M5311" s="5"/>
    </row>
    <row r="5312" spans="12:13" x14ac:dyDescent="0.2">
      <c r="L5312" s="5"/>
      <c r="M5312" s="5"/>
    </row>
    <row r="5313" spans="12:13" x14ac:dyDescent="0.2">
      <c r="L5313" s="5"/>
      <c r="M5313" s="5"/>
    </row>
    <row r="5314" spans="12:13" x14ac:dyDescent="0.2">
      <c r="L5314" s="5"/>
      <c r="M5314" s="5"/>
    </row>
    <row r="5315" spans="12:13" x14ac:dyDescent="0.2">
      <c r="L5315" s="5"/>
      <c r="M5315" s="5"/>
    </row>
    <row r="5316" spans="12:13" x14ac:dyDescent="0.2">
      <c r="L5316" s="5"/>
      <c r="M5316" s="5"/>
    </row>
    <row r="5317" spans="12:13" x14ac:dyDescent="0.2">
      <c r="L5317" s="5"/>
      <c r="M5317" s="5"/>
    </row>
    <row r="5318" spans="12:13" x14ac:dyDescent="0.2">
      <c r="L5318" s="5"/>
      <c r="M5318" s="5"/>
    </row>
    <row r="5319" spans="12:13" x14ac:dyDescent="0.2">
      <c r="L5319" s="5"/>
      <c r="M5319" s="5"/>
    </row>
    <row r="5320" spans="12:13" x14ac:dyDescent="0.2">
      <c r="L5320" s="5"/>
      <c r="M5320" s="5"/>
    </row>
    <row r="5321" spans="12:13" x14ac:dyDescent="0.2">
      <c r="L5321" s="5"/>
      <c r="M5321" s="5"/>
    </row>
    <row r="5322" spans="12:13" x14ac:dyDescent="0.2">
      <c r="L5322" s="5"/>
      <c r="M5322" s="5"/>
    </row>
    <row r="5323" spans="12:13" x14ac:dyDescent="0.2">
      <c r="L5323" s="5"/>
      <c r="M5323" s="5"/>
    </row>
    <row r="5324" spans="12:13" x14ac:dyDescent="0.2">
      <c r="L5324" s="5"/>
      <c r="M5324" s="5"/>
    </row>
    <row r="5325" spans="12:13" x14ac:dyDescent="0.2">
      <c r="L5325" s="5"/>
      <c r="M5325" s="5"/>
    </row>
    <row r="5326" spans="12:13" x14ac:dyDescent="0.2">
      <c r="L5326" s="5"/>
      <c r="M5326" s="5"/>
    </row>
    <row r="5327" spans="12:13" x14ac:dyDescent="0.2">
      <c r="L5327" s="5"/>
      <c r="M5327" s="5"/>
    </row>
    <row r="5328" spans="12:13" x14ac:dyDescent="0.2">
      <c r="L5328" s="5"/>
      <c r="M5328" s="5"/>
    </row>
    <row r="5329" spans="12:13" x14ac:dyDescent="0.2">
      <c r="L5329" s="5"/>
      <c r="M5329" s="5"/>
    </row>
    <row r="5330" spans="12:13" x14ac:dyDescent="0.2">
      <c r="L5330" s="5"/>
      <c r="M5330" s="5"/>
    </row>
    <row r="5331" spans="12:13" x14ac:dyDescent="0.2">
      <c r="L5331" s="5"/>
      <c r="M5331" s="5"/>
    </row>
    <row r="5332" spans="12:13" x14ac:dyDescent="0.2">
      <c r="L5332" s="5"/>
      <c r="M5332" s="5"/>
    </row>
    <row r="5333" spans="12:13" x14ac:dyDescent="0.2">
      <c r="L5333" s="5"/>
      <c r="M5333" s="5"/>
    </row>
    <row r="5334" spans="12:13" x14ac:dyDescent="0.2">
      <c r="L5334" s="5"/>
      <c r="M5334" s="5"/>
    </row>
    <row r="5335" spans="12:13" x14ac:dyDescent="0.2">
      <c r="L5335" s="5"/>
      <c r="M5335" s="5"/>
    </row>
    <row r="5336" spans="12:13" x14ac:dyDescent="0.2">
      <c r="L5336" s="5"/>
      <c r="M5336" s="5"/>
    </row>
    <row r="5337" spans="12:13" x14ac:dyDescent="0.2">
      <c r="L5337" s="5"/>
      <c r="M5337" s="5"/>
    </row>
    <row r="5338" spans="12:13" x14ac:dyDescent="0.2">
      <c r="L5338" s="5"/>
      <c r="M5338" s="5"/>
    </row>
    <row r="5339" spans="12:13" x14ac:dyDescent="0.2">
      <c r="L5339" s="5"/>
      <c r="M5339" s="5"/>
    </row>
    <row r="5340" spans="12:13" x14ac:dyDescent="0.2">
      <c r="L5340" s="5"/>
      <c r="M5340" s="5"/>
    </row>
    <row r="5341" spans="12:13" x14ac:dyDescent="0.2">
      <c r="L5341" s="5"/>
      <c r="M5341" s="5"/>
    </row>
    <row r="5342" spans="12:13" x14ac:dyDescent="0.2">
      <c r="L5342" s="5"/>
      <c r="M5342" s="5"/>
    </row>
    <row r="5343" spans="12:13" x14ac:dyDescent="0.2">
      <c r="L5343" s="5"/>
      <c r="M5343" s="5"/>
    </row>
    <row r="5344" spans="12:13" x14ac:dyDescent="0.2">
      <c r="L5344" s="5"/>
      <c r="M5344" s="5"/>
    </row>
    <row r="5345" spans="12:13" x14ac:dyDescent="0.2">
      <c r="L5345" s="5"/>
      <c r="M5345" s="5"/>
    </row>
    <row r="5346" spans="12:13" x14ac:dyDescent="0.2">
      <c r="L5346" s="5"/>
      <c r="M5346" s="5"/>
    </row>
    <row r="5347" spans="12:13" x14ac:dyDescent="0.2">
      <c r="L5347" s="5"/>
      <c r="M5347" s="5"/>
    </row>
    <row r="5348" spans="12:13" x14ac:dyDescent="0.2">
      <c r="L5348" s="5"/>
      <c r="M5348" s="5"/>
    </row>
    <row r="5349" spans="12:13" x14ac:dyDescent="0.2">
      <c r="L5349" s="5"/>
      <c r="M5349" s="5"/>
    </row>
    <row r="5350" spans="12:13" x14ac:dyDescent="0.2">
      <c r="L5350" s="5"/>
      <c r="M5350" s="5"/>
    </row>
    <row r="5351" spans="12:13" x14ac:dyDescent="0.2">
      <c r="L5351" s="5"/>
      <c r="M5351" s="5"/>
    </row>
    <row r="5352" spans="12:13" x14ac:dyDescent="0.2">
      <c r="L5352" s="5"/>
      <c r="M5352" s="5"/>
    </row>
    <row r="5353" spans="12:13" x14ac:dyDescent="0.2">
      <c r="L5353" s="5"/>
      <c r="M5353" s="5"/>
    </row>
    <row r="5354" spans="12:13" x14ac:dyDescent="0.2">
      <c r="L5354" s="5"/>
      <c r="M5354" s="5"/>
    </row>
    <row r="5355" spans="12:13" x14ac:dyDescent="0.2">
      <c r="L5355" s="5"/>
      <c r="M5355" s="5"/>
    </row>
    <row r="5356" spans="12:13" x14ac:dyDescent="0.2">
      <c r="L5356" s="5"/>
      <c r="M5356" s="5"/>
    </row>
    <row r="5357" spans="12:13" x14ac:dyDescent="0.2">
      <c r="L5357" s="5"/>
      <c r="M5357" s="5"/>
    </row>
    <row r="5358" spans="12:13" x14ac:dyDescent="0.2">
      <c r="L5358" s="5"/>
      <c r="M5358" s="5"/>
    </row>
    <row r="5359" spans="12:13" x14ac:dyDescent="0.2">
      <c r="L5359" s="5"/>
      <c r="M5359" s="5"/>
    </row>
    <row r="5360" spans="12:13" x14ac:dyDescent="0.2">
      <c r="L5360" s="5"/>
      <c r="M5360" s="5"/>
    </row>
    <row r="5361" spans="12:13" x14ac:dyDescent="0.2">
      <c r="L5361" s="5"/>
      <c r="M5361" s="5"/>
    </row>
    <row r="5362" spans="12:13" x14ac:dyDescent="0.2">
      <c r="L5362" s="5"/>
      <c r="M5362" s="5"/>
    </row>
    <row r="5363" spans="12:13" x14ac:dyDescent="0.2">
      <c r="L5363" s="5"/>
      <c r="M5363" s="5"/>
    </row>
    <row r="5364" spans="12:13" x14ac:dyDescent="0.2">
      <c r="L5364" s="5"/>
      <c r="M5364" s="5"/>
    </row>
    <row r="5365" spans="12:13" x14ac:dyDescent="0.2">
      <c r="L5365" s="5"/>
      <c r="M5365" s="5"/>
    </row>
    <row r="5366" spans="12:13" x14ac:dyDescent="0.2">
      <c r="L5366" s="5"/>
      <c r="M5366" s="5"/>
    </row>
    <row r="5367" spans="12:13" x14ac:dyDescent="0.2">
      <c r="L5367" s="5"/>
      <c r="M5367" s="5"/>
    </row>
    <row r="5368" spans="12:13" x14ac:dyDescent="0.2">
      <c r="L5368" s="5"/>
      <c r="M5368" s="5"/>
    </row>
    <row r="5369" spans="12:13" x14ac:dyDescent="0.2">
      <c r="L5369" s="5"/>
      <c r="M5369" s="5"/>
    </row>
    <row r="5370" spans="12:13" x14ac:dyDescent="0.2">
      <c r="L5370" s="5"/>
      <c r="M5370" s="5"/>
    </row>
    <row r="5371" spans="12:13" x14ac:dyDescent="0.2">
      <c r="L5371" s="5"/>
      <c r="M5371" s="5"/>
    </row>
    <row r="5372" spans="12:13" x14ac:dyDescent="0.2">
      <c r="L5372" s="5"/>
      <c r="M5372" s="5"/>
    </row>
    <row r="5373" spans="12:13" x14ac:dyDescent="0.2">
      <c r="L5373" s="5"/>
      <c r="M5373" s="5"/>
    </row>
    <row r="5374" spans="12:13" x14ac:dyDescent="0.2">
      <c r="L5374" s="5"/>
      <c r="M5374" s="5"/>
    </row>
    <row r="5375" spans="12:13" x14ac:dyDescent="0.2">
      <c r="L5375" s="5"/>
      <c r="M5375" s="5"/>
    </row>
    <row r="5376" spans="12:13" x14ac:dyDescent="0.2">
      <c r="L5376" s="5"/>
      <c r="M5376" s="5"/>
    </row>
    <row r="5377" spans="12:13" x14ac:dyDescent="0.2">
      <c r="L5377" s="5"/>
      <c r="M5377" s="5"/>
    </row>
    <row r="5378" spans="12:13" x14ac:dyDescent="0.2">
      <c r="L5378" s="5"/>
      <c r="M5378" s="5"/>
    </row>
    <row r="5379" spans="12:13" x14ac:dyDescent="0.2">
      <c r="L5379" s="5"/>
      <c r="M5379" s="5"/>
    </row>
    <row r="5380" spans="12:13" x14ac:dyDescent="0.2">
      <c r="L5380" s="5"/>
      <c r="M5380" s="5"/>
    </row>
    <row r="5381" spans="12:13" x14ac:dyDescent="0.2">
      <c r="L5381" s="5"/>
      <c r="M5381" s="5"/>
    </row>
    <row r="5382" spans="12:13" x14ac:dyDescent="0.2">
      <c r="L5382" s="5"/>
      <c r="M5382" s="5"/>
    </row>
    <row r="5383" spans="12:13" x14ac:dyDescent="0.2">
      <c r="L5383" s="5"/>
      <c r="M5383" s="5"/>
    </row>
    <row r="5384" spans="12:13" x14ac:dyDescent="0.2">
      <c r="L5384" s="5"/>
      <c r="M5384" s="5"/>
    </row>
    <row r="5385" spans="12:13" x14ac:dyDescent="0.2">
      <c r="L5385" s="5"/>
      <c r="M5385" s="5"/>
    </row>
    <row r="5386" spans="12:13" x14ac:dyDescent="0.2">
      <c r="L5386" s="5"/>
      <c r="M5386" s="5"/>
    </row>
    <row r="5387" spans="12:13" x14ac:dyDescent="0.2">
      <c r="L5387" s="5"/>
      <c r="M5387" s="5"/>
    </row>
    <row r="5388" spans="12:13" x14ac:dyDescent="0.2">
      <c r="L5388" s="5"/>
      <c r="M5388" s="5"/>
    </row>
    <row r="5389" spans="12:13" x14ac:dyDescent="0.2">
      <c r="L5389" s="5"/>
      <c r="M5389" s="5"/>
    </row>
    <row r="5390" spans="12:13" x14ac:dyDescent="0.2">
      <c r="L5390" s="5"/>
      <c r="M5390" s="5"/>
    </row>
    <row r="5391" spans="12:13" x14ac:dyDescent="0.2">
      <c r="L5391" s="5"/>
      <c r="M5391" s="5"/>
    </row>
    <row r="5392" spans="12:13" x14ac:dyDescent="0.2">
      <c r="L5392" s="5"/>
      <c r="M5392" s="5"/>
    </row>
    <row r="5393" spans="12:13" x14ac:dyDescent="0.2">
      <c r="L5393" s="5"/>
      <c r="M5393" s="5"/>
    </row>
    <row r="5394" spans="12:13" x14ac:dyDescent="0.2">
      <c r="L5394" s="5"/>
      <c r="M5394" s="5"/>
    </row>
    <row r="5395" spans="12:13" x14ac:dyDescent="0.2">
      <c r="L5395" s="5"/>
      <c r="M5395" s="5"/>
    </row>
    <row r="5396" spans="12:13" x14ac:dyDescent="0.2">
      <c r="L5396" s="5"/>
      <c r="M5396" s="5"/>
    </row>
    <row r="5397" spans="12:13" x14ac:dyDescent="0.2">
      <c r="L5397" s="5"/>
      <c r="M5397" s="5"/>
    </row>
    <row r="5398" spans="12:13" x14ac:dyDescent="0.2">
      <c r="L5398" s="5"/>
      <c r="M5398" s="5"/>
    </row>
    <row r="5399" spans="12:13" x14ac:dyDescent="0.2">
      <c r="L5399" s="5"/>
      <c r="M5399" s="5"/>
    </row>
    <row r="5400" spans="12:13" x14ac:dyDescent="0.2">
      <c r="L5400" s="5"/>
      <c r="M5400" s="5"/>
    </row>
    <row r="5401" spans="12:13" x14ac:dyDescent="0.2">
      <c r="L5401" s="5"/>
      <c r="M5401" s="5"/>
    </row>
    <row r="5402" spans="12:13" x14ac:dyDescent="0.2">
      <c r="L5402" s="5"/>
      <c r="M5402" s="5"/>
    </row>
    <row r="5403" spans="12:13" x14ac:dyDescent="0.2">
      <c r="L5403" s="5"/>
      <c r="M5403" s="5"/>
    </row>
    <row r="5404" spans="12:13" x14ac:dyDescent="0.2">
      <c r="L5404" s="5"/>
      <c r="M5404" s="5"/>
    </row>
    <row r="5405" spans="12:13" x14ac:dyDescent="0.2">
      <c r="L5405" s="5"/>
      <c r="M5405" s="5"/>
    </row>
    <row r="5406" spans="12:13" x14ac:dyDescent="0.2">
      <c r="L5406" s="5"/>
      <c r="M5406" s="5"/>
    </row>
    <row r="5407" spans="12:13" x14ac:dyDescent="0.2">
      <c r="L5407" s="5"/>
      <c r="M5407" s="5"/>
    </row>
    <row r="5408" spans="12:13" x14ac:dyDescent="0.2">
      <c r="L5408" s="5"/>
      <c r="M5408" s="5"/>
    </row>
    <row r="5409" spans="12:13" x14ac:dyDescent="0.2">
      <c r="L5409" s="5"/>
      <c r="M5409" s="5"/>
    </row>
    <row r="5410" spans="12:13" x14ac:dyDescent="0.2">
      <c r="L5410" s="5"/>
      <c r="M5410" s="5"/>
    </row>
    <row r="5411" spans="12:13" x14ac:dyDescent="0.2">
      <c r="L5411" s="5"/>
      <c r="M5411" s="5"/>
    </row>
    <row r="5412" spans="12:13" x14ac:dyDescent="0.2">
      <c r="L5412" s="5"/>
      <c r="M5412" s="5"/>
    </row>
    <row r="5413" spans="12:13" x14ac:dyDescent="0.2">
      <c r="L5413" s="5"/>
      <c r="M5413" s="5"/>
    </row>
    <row r="5414" spans="12:13" x14ac:dyDescent="0.2">
      <c r="L5414" s="5"/>
      <c r="M5414" s="5"/>
    </row>
    <row r="5415" spans="12:13" x14ac:dyDescent="0.2">
      <c r="L5415" s="5"/>
      <c r="M5415" s="5"/>
    </row>
    <row r="5416" spans="12:13" x14ac:dyDescent="0.2">
      <c r="L5416" s="5"/>
      <c r="M5416" s="5"/>
    </row>
    <row r="5417" spans="12:13" x14ac:dyDescent="0.2">
      <c r="L5417" s="5"/>
      <c r="M5417" s="5"/>
    </row>
    <row r="5418" spans="12:13" x14ac:dyDescent="0.2">
      <c r="L5418" s="5"/>
      <c r="M5418" s="5"/>
    </row>
    <row r="5419" spans="12:13" x14ac:dyDescent="0.2">
      <c r="L5419" s="5"/>
      <c r="M5419" s="5"/>
    </row>
    <row r="5420" spans="12:13" x14ac:dyDescent="0.2">
      <c r="L5420" s="5"/>
      <c r="M5420" s="5"/>
    </row>
    <row r="5421" spans="12:13" x14ac:dyDescent="0.2">
      <c r="L5421" s="5"/>
      <c r="M5421" s="5"/>
    </row>
    <row r="5422" spans="12:13" x14ac:dyDescent="0.2">
      <c r="L5422" s="5"/>
      <c r="M5422" s="5"/>
    </row>
    <row r="5423" spans="12:13" x14ac:dyDescent="0.2">
      <c r="L5423" s="5"/>
      <c r="M5423" s="5"/>
    </row>
    <row r="5424" spans="12:13" x14ac:dyDescent="0.2">
      <c r="L5424" s="5"/>
      <c r="M5424" s="5"/>
    </row>
    <row r="5425" spans="12:13" x14ac:dyDescent="0.2">
      <c r="L5425" s="5"/>
      <c r="M5425" s="5"/>
    </row>
    <row r="5426" spans="12:13" x14ac:dyDescent="0.2">
      <c r="L5426" s="5"/>
      <c r="M5426" s="5"/>
    </row>
    <row r="5427" spans="12:13" x14ac:dyDescent="0.2">
      <c r="L5427" s="5"/>
      <c r="M5427" s="5"/>
    </row>
    <row r="5428" spans="12:13" x14ac:dyDescent="0.2">
      <c r="L5428" s="5"/>
      <c r="M5428" s="5"/>
    </row>
    <row r="5429" spans="12:13" x14ac:dyDescent="0.2">
      <c r="L5429" s="5"/>
      <c r="M5429" s="5"/>
    </row>
    <row r="5430" spans="12:13" x14ac:dyDescent="0.2">
      <c r="L5430" s="5"/>
      <c r="M5430" s="5"/>
    </row>
    <row r="5431" spans="12:13" x14ac:dyDescent="0.2">
      <c r="L5431" s="5"/>
      <c r="M5431" s="5"/>
    </row>
    <row r="5432" spans="12:13" x14ac:dyDescent="0.2">
      <c r="L5432" s="5"/>
      <c r="M5432" s="5"/>
    </row>
    <row r="5433" spans="12:13" x14ac:dyDescent="0.2">
      <c r="L5433" s="5"/>
      <c r="M5433" s="5"/>
    </row>
    <row r="5434" spans="12:13" x14ac:dyDescent="0.2">
      <c r="L5434" s="5"/>
      <c r="M5434" s="5"/>
    </row>
    <row r="5435" spans="12:13" x14ac:dyDescent="0.2">
      <c r="L5435" s="5"/>
      <c r="M5435" s="5"/>
    </row>
    <row r="5436" spans="12:13" x14ac:dyDescent="0.2">
      <c r="L5436" s="5"/>
      <c r="M5436" s="5"/>
    </row>
    <row r="5437" spans="12:13" x14ac:dyDescent="0.2">
      <c r="L5437" s="5"/>
      <c r="M5437" s="5"/>
    </row>
    <row r="5438" spans="12:13" x14ac:dyDescent="0.2">
      <c r="L5438" s="5"/>
      <c r="M5438" s="5"/>
    </row>
    <row r="5439" spans="12:13" x14ac:dyDescent="0.2">
      <c r="L5439" s="5"/>
      <c r="M5439" s="5"/>
    </row>
    <row r="5440" spans="12:13" x14ac:dyDescent="0.2">
      <c r="L5440" s="5"/>
      <c r="M5440" s="5"/>
    </row>
    <row r="5441" spans="12:13" x14ac:dyDescent="0.2">
      <c r="L5441" s="5"/>
      <c r="M5441" s="5"/>
    </row>
    <row r="5442" spans="12:13" x14ac:dyDescent="0.2">
      <c r="L5442" s="5"/>
      <c r="M5442" s="5"/>
    </row>
    <row r="5443" spans="12:13" x14ac:dyDescent="0.2">
      <c r="L5443" s="5"/>
      <c r="M5443" s="5"/>
    </row>
    <row r="5444" spans="12:13" x14ac:dyDescent="0.2">
      <c r="L5444" s="5"/>
      <c r="M5444" s="5"/>
    </row>
    <row r="5445" spans="12:13" x14ac:dyDescent="0.2">
      <c r="L5445" s="5"/>
      <c r="M5445" s="5"/>
    </row>
    <row r="5446" spans="12:13" x14ac:dyDescent="0.2">
      <c r="L5446" s="5"/>
      <c r="M5446" s="5"/>
    </row>
    <row r="5447" spans="12:13" x14ac:dyDescent="0.2">
      <c r="L5447" s="5"/>
      <c r="M5447" s="5"/>
    </row>
    <row r="5448" spans="12:13" x14ac:dyDescent="0.2">
      <c r="L5448" s="5"/>
      <c r="M5448" s="5"/>
    </row>
    <row r="5449" spans="12:13" x14ac:dyDescent="0.2">
      <c r="L5449" s="5"/>
      <c r="M5449" s="5"/>
    </row>
    <row r="5450" spans="12:13" x14ac:dyDescent="0.2">
      <c r="L5450" s="5"/>
      <c r="M5450" s="5"/>
    </row>
    <row r="5451" spans="12:13" x14ac:dyDescent="0.2">
      <c r="L5451" s="5"/>
      <c r="M5451" s="5"/>
    </row>
    <row r="5452" spans="12:13" x14ac:dyDescent="0.2">
      <c r="L5452" s="5"/>
      <c r="M5452" s="5"/>
    </row>
    <row r="5453" spans="12:13" x14ac:dyDescent="0.2">
      <c r="L5453" s="5"/>
      <c r="M5453" s="5"/>
    </row>
    <row r="5454" spans="12:13" x14ac:dyDescent="0.2">
      <c r="L5454" s="5"/>
      <c r="M5454" s="5"/>
    </row>
    <row r="5455" spans="12:13" x14ac:dyDescent="0.2">
      <c r="L5455" s="5"/>
      <c r="M5455" s="5"/>
    </row>
    <row r="5456" spans="12:13" x14ac:dyDescent="0.2">
      <c r="L5456" s="5"/>
      <c r="M5456" s="5"/>
    </row>
    <row r="5457" spans="12:13" x14ac:dyDescent="0.2">
      <c r="L5457" s="5"/>
      <c r="M5457" s="5"/>
    </row>
    <row r="5458" spans="12:13" x14ac:dyDescent="0.2">
      <c r="L5458" s="5"/>
      <c r="M5458" s="5"/>
    </row>
    <row r="5459" spans="12:13" x14ac:dyDescent="0.2">
      <c r="L5459" s="5"/>
      <c r="M5459" s="5"/>
    </row>
    <row r="5460" spans="12:13" x14ac:dyDescent="0.2">
      <c r="L5460" s="5"/>
      <c r="M5460" s="5"/>
    </row>
    <row r="5461" spans="12:13" x14ac:dyDescent="0.2">
      <c r="L5461" s="5"/>
      <c r="M5461" s="5"/>
    </row>
    <row r="5462" spans="12:13" x14ac:dyDescent="0.2">
      <c r="L5462" s="5"/>
      <c r="M5462" s="5"/>
    </row>
    <row r="5463" spans="12:13" x14ac:dyDescent="0.2">
      <c r="L5463" s="5"/>
      <c r="M5463" s="5"/>
    </row>
    <row r="5464" spans="12:13" x14ac:dyDescent="0.2">
      <c r="L5464" s="5"/>
      <c r="M5464" s="5"/>
    </row>
    <row r="5465" spans="12:13" x14ac:dyDescent="0.2">
      <c r="L5465" s="5"/>
      <c r="M5465" s="5"/>
    </row>
    <row r="5466" spans="12:13" x14ac:dyDescent="0.2">
      <c r="L5466" s="5"/>
      <c r="M5466" s="5"/>
    </row>
    <row r="5467" spans="12:13" x14ac:dyDescent="0.2">
      <c r="L5467" s="5"/>
      <c r="M5467" s="5"/>
    </row>
    <row r="5468" spans="12:13" x14ac:dyDescent="0.2">
      <c r="L5468" s="5"/>
      <c r="M5468" s="5"/>
    </row>
    <row r="5469" spans="12:13" x14ac:dyDescent="0.2">
      <c r="L5469" s="5"/>
      <c r="M5469" s="5"/>
    </row>
    <row r="5470" spans="12:13" x14ac:dyDescent="0.2">
      <c r="L5470" s="5"/>
      <c r="M5470" s="5"/>
    </row>
    <row r="5471" spans="12:13" x14ac:dyDescent="0.2">
      <c r="L5471" s="5"/>
      <c r="M5471" s="5"/>
    </row>
    <row r="5472" spans="12:13" x14ac:dyDescent="0.2">
      <c r="L5472" s="5"/>
      <c r="M5472" s="5"/>
    </row>
    <row r="5473" spans="12:13" x14ac:dyDescent="0.2">
      <c r="L5473" s="5"/>
      <c r="M5473" s="5"/>
    </row>
    <row r="5474" spans="12:13" x14ac:dyDescent="0.2">
      <c r="L5474" s="5"/>
      <c r="M5474" s="5"/>
    </row>
    <row r="5475" spans="12:13" x14ac:dyDescent="0.2">
      <c r="L5475" s="5"/>
      <c r="M5475" s="5"/>
    </row>
    <row r="5476" spans="12:13" x14ac:dyDescent="0.2">
      <c r="L5476" s="5"/>
      <c r="M5476" s="5"/>
    </row>
    <row r="5477" spans="12:13" x14ac:dyDescent="0.2">
      <c r="L5477" s="5"/>
      <c r="M5477" s="5"/>
    </row>
    <row r="5478" spans="12:13" x14ac:dyDescent="0.2">
      <c r="L5478" s="5"/>
      <c r="M5478" s="5"/>
    </row>
    <row r="5479" spans="12:13" x14ac:dyDescent="0.2">
      <c r="L5479" s="5"/>
      <c r="M5479" s="5"/>
    </row>
    <row r="5480" spans="12:13" x14ac:dyDescent="0.2">
      <c r="L5480" s="5"/>
      <c r="M5480" s="5"/>
    </row>
    <row r="5481" spans="12:13" x14ac:dyDescent="0.2">
      <c r="L5481" s="5"/>
      <c r="M5481" s="5"/>
    </row>
    <row r="5482" spans="12:13" x14ac:dyDescent="0.2">
      <c r="L5482" s="5"/>
      <c r="M5482" s="5"/>
    </row>
    <row r="5483" spans="12:13" x14ac:dyDescent="0.2">
      <c r="L5483" s="5"/>
      <c r="M5483" s="5"/>
    </row>
    <row r="5484" spans="12:13" x14ac:dyDescent="0.2">
      <c r="L5484" s="5"/>
      <c r="M5484" s="5"/>
    </row>
    <row r="5485" spans="12:13" x14ac:dyDescent="0.2">
      <c r="L5485" s="5"/>
      <c r="M5485" s="5"/>
    </row>
    <row r="5486" spans="12:13" x14ac:dyDescent="0.2">
      <c r="L5486" s="5"/>
      <c r="M5486" s="5"/>
    </row>
    <row r="5487" spans="12:13" x14ac:dyDescent="0.2">
      <c r="L5487" s="5"/>
      <c r="M5487" s="5"/>
    </row>
    <row r="5488" spans="12:13" x14ac:dyDescent="0.2">
      <c r="L5488" s="5"/>
      <c r="M5488" s="5"/>
    </row>
    <row r="5489" spans="12:13" x14ac:dyDescent="0.2">
      <c r="L5489" s="5"/>
      <c r="M5489" s="5"/>
    </row>
    <row r="5490" spans="12:13" x14ac:dyDescent="0.2">
      <c r="L5490" s="5"/>
      <c r="M5490" s="5"/>
    </row>
    <row r="5491" spans="12:13" x14ac:dyDescent="0.2">
      <c r="L5491" s="5"/>
      <c r="M5491" s="5"/>
    </row>
    <row r="5492" spans="12:13" x14ac:dyDescent="0.2">
      <c r="L5492" s="5"/>
      <c r="M5492" s="5"/>
    </row>
    <row r="5493" spans="12:13" x14ac:dyDescent="0.2">
      <c r="L5493" s="5"/>
      <c r="M5493" s="5"/>
    </row>
    <row r="5494" spans="12:13" x14ac:dyDescent="0.2">
      <c r="L5494" s="5"/>
      <c r="M5494" s="5"/>
    </row>
    <row r="5495" spans="12:13" x14ac:dyDescent="0.2">
      <c r="L5495" s="5"/>
      <c r="M5495" s="5"/>
    </row>
    <row r="5496" spans="12:13" x14ac:dyDescent="0.2">
      <c r="L5496" s="5"/>
      <c r="M5496" s="5"/>
    </row>
    <row r="5497" spans="12:13" x14ac:dyDescent="0.2">
      <c r="L5497" s="5"/>
      <c r="M5497" s="5"/>
    </row>
    <row r="5498" spans="12:13" x14ac:dyDescent="0.2">
      <c r="L5498" s="5"/>
      <c r="M5498" s="5"/>
    </row>
    <row r="5499" spans="12:13" x14ac:dyDescent="0.2">
      <c r="L5499" s="5"/>
      <c r="M5499" s="5"/>
    </row>
    <row r="5500" spans="12:13" x14ac:dyDescent="0.2">
      <c r="L5500" s="5"/>
      <c r="M5500" s="5"/>
    </row>
    <row r="5501" spans="12:13" x14ac:dyDescent="0.2">
      <c r="L5501" s="5"/>
      <c r="M5501" s="5"/>
    </row>
    <row r="5502" spans="12:13" x14ac:dyDescent="0.2">
      <c r="L5502" s="5"/>
      <c r="M5502" s="5"/>
    </row>
    <row r="5503" spans="12:13" x14ac:dyDescent="0.2">
      <c r="L5503" s="5"/>
      <c r="M5503" s="5"/>
    </row>
    <row r="5504" spans="12:13" x14ac:dyDescent="0.2">
      <c r="L5504" s="5"/>
      <c r="M5504" s="5"/>
    </row>
    <row r="5505" spans="12:13" x14ac:dyDescent="0.2">
      <c r="L5505" s="5"/>
      <c r="M5505" s="5"/>
    </row>
    <row r="5506" spans="12:13" x14ac:dyDescent="0.2">
      <c r="L5506" s="5"/>
      <c r="M5506" s="5"/>
    </row>
    <row r="5507" spans="12:13" x14ac:dyDescent="0.2">
      <c r="L5507" s="5"/>
      <c r="M5507" s="5"/>
    </row>
    <row r="5508" spans="12:13" x14ac:dyDescent="0.2">
      <c r="L5508" s="5"/>
      <c r="M5508" s="5"/>
    </row>
    <row r="5509" spans="12:13" x14ac:dyDescent="0.2">
      <c r="L5509" s="5"/>
      <c r="M5509" s="5"/>
    </row>
    <row r="5510" spans="12:13" x14ac:dyDescent="0.2">
      <c r="L5510" s="5"/>
      <c r="M5510" s="5"/>
    </row>
    <row r="5511" spans="12:13" x14ac:dyDescent="0.2">
      <c r="L5511" s="5"/>
      <c r="M5511" s="5"/>
    </row>
    <row r="5512" spans="12:13" x14ac:dyDescent="0.2">
      <c r="L5512" s="5"/>
      <c r="M5512" s="5"/>
    </row>
    <row r="5513" spans="12:13" x14ac:dyDescent="0.2">
      <c r="L5513" s="5"/>
      <c r="M5513" s="5"/>
    </row>
    <row r="5514" spans="12:13" x14ac:dyDescent="0.2">
      <c r="L5514" s="5"/>
      <c r="M5514" s="5"/>
    </row>
    <row r="5515" spans="12:13" x14ac:dyDescent="0.2">
      <c r="L5515" s="5"/>
      <c r="M5515" s="5"/>
    </row>
    <row r="5516" spans="12:13" x14ac:dyDescent="0.2">
      <c r="L5516" s="5"/>
      <c r="M5516" s="5"/>
    </row>
    <row r="5517" spans="12:13" x14ac:dyDescent="0.2">
      <c r="L5517" s="5"/>
      <c r="M5517" s="5"/>
    </row>
    <row r="5518" spans="12:13" x14ac:dyDescent="0.2">
      <c r="L5518" s="5"/>
      <c r="M5518" s="5"/>
    </row>
    <row r="5519" spans="12:13" x14ac:dyDescent="0.2">
      <c r="L5519" s="5"/>
      <c r="M5519" s="5"/>
    </row>
    <row r="5520" spans="12:13" x14ac:dyDescent="0.2">
      <c r="L5520" s="5"/>
      <c r="M5520" s="5"/>
    </row>
    <row r="5521" spans="12:13" x14ac:dyDescent="0.2">
      <c r="L5521" s="5"/>
      <c r="M5521" s="5"/>
    </row>
    <row r="5522" spans="12:13" x14ac:dyDescent="0.2">
      <c r="L5522" s="5"/>
      <c r="M5522" s="5"/>
    </row>
    <row r="5523" spans="12:13" x14ac:dyDescent="0.2">
      <c r="L5523" s="5"/>
      <c r="M5523" s="5"/>
    </row>
    <row r="5524" spans="12:13" x14ac:dyDescent="0.2">
      <c r="L5524" s="5"/>
      <c r="M5524" s="5"/>
    </row>
    <row r="5525" spans="12:13" x14ac:dyDescent="0.2">
      <c r="L5525" s="5"/>
      <c r="M5525" s="5"/>
    </row>
    <row r="5526" spans="12:13" x14ac:dyDescent="0.2">
      <c r="L5526" s="5"/>
      <c r="M5526" s="5"/>
    </row>
    <row r="5527" spans="12:13" x14ac:dyDescent="0.2">
      <c r="L5527" s="5"/>
      <c r="M5527" s="5"/>
    </row>
    <row r="5528" spans="12:13" x14ac:dyDescent="0.2">
      <c r="L5528" s="5"/>
      <c r="M5528" s="5"/>
    </row>
    <row r="5529" spans="12:13" x14ac:dyDescent="0.2">
      <c r="L5529" s="5"/>
      <c r="M5529" s="5"/>
    </row>
    <row r="5530" spans="12:13" x14ac:dyDescent="0.2">
      <c r="L5530" s="5"/>
      <c r="M5530" s="5"/>
    </row>
    <row r="5531" spans="12:13" x14ac:dyDescent="0.2">
      <c r="L5531" s="5"/>
      <c r="M5531" s="5"/>
    </row>
    <row r="5532" spans="12:13" x14ac:dyDescent="0.2">
      <c r="L5532" s="5"/>
      <c r="M5532" s="5"/>
    </row>
    <row r="5533" spans="12:13" x14ac:dyDescent="0.2">
      <c r="L5533" s="5"/>
      <c r="M5533" s="5"/>
    </row>
    <row r="5534" spans="12:13" x14ac:dyDescent="0.2">
      <c r="L5534" s="5"/>
      <c r="M5534" s="5"/>
    </row>
    <row r="5535" spans="12:13" x14ac:dyDescent="0.2">
      <c r="L5535" s="5"/>
      <c r="M5535" s="5"/>
    </row>
    <row r="5536" spans="12:13" x14ac:dyDescent="0.2">
      <c r="L5536" s="5"/>
      <c r="M5536" s="5"/>
    </row>
    <row r="5537" spans="12:13" x14ac:dyDescent="0.2">
      <c r="L5537" s="5"/>
      <c r="M5537" s="5"/>
    </row>
    <row r="5538" spans="12:13" x14ac:dyDescent="0.2">
      <c r="L5538" s="5"/>
      <c r="M5538" s="5"/>
    </row>
    <row r="5539" spans="12:13" x14ac:dyDescent="0.2">
      <c r="L5539" s="5"/>
      <c r="M5539" s="5"/>
    </row>
    <row r="5540" spans="12:13" x14ac:dyDescent="0.2">
      <c r="L5540" s="5"/>
      <c r="M5540" s="5"/>
    </row>
    <row r="5541" spans="12:13" x14ac:dyDescent="0.2">
      <c r="L5541" s="5"/>
      <c r="M5541" s="5"/>
    </row>
    <row r="5542" spans="12:13" x14ac:dyDescent="0.2">
      <c r="L5542" s="5"/>
      <c r="M5542" s="5"/>
    </row>
    <row r="5543" spans="12:13" x14ac:dyDescent="0.2">
      <c r="L5543" s="5"/>
      <c r="M5543" s="5"/>
    </row>
    <row r="5544" spans="12:13" x14ac:dyDescent="0.2">
      <c r="L5544" s="5"/>
      <c r="M5544" s="5"/>
    </row>
    <row r="5545" spans="12:13" x14ac:dyDescent="0.2">
      <c r="L5545" s="5"/>
      <c r="M5545" s="5"/>
    </row>
    <row r="5546" spans="12:13" x14ac:dyDescent="0.2">
      <c r="L5546" s="5"/>
      <c r="M5546" s="5"/>
    </row>
    <row r="5547" spans="12:13" x14ac:dyDescent="0.2">
      <c r="L5547" s="5"/>
      <c r="M5547" s="5"/>
    </row>
    <row r="5548" spans="12:13" x14ac:dyDescent="0.2">
      <c r="L5548" s="5"/>
      <c r="M5548" s="5"/>
    </row>
    <row r="5549" spans="12:13" x14ac:dyDescent="0.2">
      <c r="L5549" s="5"/>
      <c r="M5549" s="5"/>
    </row>
    <row r="5550" spans="12:13" x14ac:dyDescent="0.2">
      <c r="L5550" s="5"/>
      <c r="M5550" s="5"/>
    </row>
    <row r="5551" spans="12:13" x14ac:dyDescent="0.2">
      <c r="L5551" s="5"/>
      <c r="M5551" s="5"/>
    </row>
    <row r="5552" spans="12:13" x14ac:dyDescent="0.2">
      <c r="L5552" s="5"/>
      <c r="M5552" s="5"/>
    </row>
    <row r="5553" spans="12:13" x14ac:dyDescent="0.2">
      <c r="L5553" s="5"/>
      <c r="M5553" s="5"/>
    </row>
    <row r="5554" spans="12:13" x14ac:dyDescent="0.2">
      <c r="L5554" s="5"/>
      <c r="M5554" s="5"/>
    </row>
    <row r="5555" spans="12:13" x14ac:dyDescent="0.2">
      <c r="L5555" s="5"/>
      <c r="M5555" s="5"/>
    </row>
    <row r="5556" spans="12:13" x14ac:dyDescent="0.2">
      <c r="L5556" s="5"/>
      <c r="M5556" s="5"/>
    </row>
    <row r="5557" spans="12:13" x14ac:dyDescent="0.2">
      <c r="L5557" s="5"/>
      <c r="M5557" s="5"/>
    </row>
    <row r="5558" spans="12:13" x14ac:dyDescent="0.2">
      <c r="L5558" s="5"/>
      <c r="M5558" s="5"/>
    </row>
    <row r="5559" spans="12:13" x14ac:dyDescent="0.2">
      <c r="L5559" s="5"/>
      <c r="M5559" s="5"/>
    </row>
    <row r="5560" spans="12:13" x14ac:dyDescent="0.2">
      <c r="L5560" s="5"/>
      <c r="M5560" s="5"/>
    </row>
    <row r="5561" spans="12:13" x14ac:dyDescent="0.2">
      <c r="L5561" s="5"/>
      <c r="M5561" s="5"/>
    </row>
    <row r="5562" spans="12:13" x14ac:dyDescent="0.2">
      <c r="L5562" s="5"/>
      <c r="M5562" s="5"/>
    </row>
    <row r="5563" spans="12:13" x14ac:dyDescent="0.2">
      <c r="L5563" s="5"/>
      <c r="M5563" s="5"/>
    </row>
    <row r="5564" spans="12:13" x14ac:dyDescent="0.2">
      <c r="L5564" s="5"/>
      <c r="M5564" s="5"/>
    </row>
    <row r="5565" spans="12:13" x14ac:dyDescent="0.2">
      <c r="L5565" s="5"/>
      <c r="M5565" s="5"/>
    </row>
    <row r="5566" spans="12:13" x14ac:dyDescent="0.2">
      <c r="L5566" s="5"/>
      <c r="M5566" s="5"/>
    </row>
    <row r="5567" spans="12:13" x14ac:dyDescent="0.2">
      <c r="L5567" s="5"/>
      <c r="M5567" s="5"/>
    </row>
    <row r="5568" spans="12:13" x14ac:dyDescent="0.2">
      <c r="L5568" s="5"/>
      <c r="M5568" s="5"/>
    </row>
    <row r="5569" spans="12:13" x14ac:dyDescent="0.2">
      <c r="L5569" s="5"/>
      <c r="M5569" s="5"/>
    </row>
    <row r="5570" spans="12:13" x14ac:dyDescent="0.2">
      <c r="L5570" s="5"/>
      <c r="M5570" s="5"/>
    </row>
    <row r="5571" spans="12:13" x14ac:dyDescent="0.2">
      <c r="L5571" s="5"/>
      <c r="M5571" s="5"/>
    </row>
    <row r="5572" spans="12:13" x14ac:dyDescent="0.2">
      <c r="L5572" s="5"/>
      <c r="M5572" s="5"/>
    </row>
    <row r="5573" spans="12:13" x14ac:dyDescent="0.2">
      <c r="L5573" s="5"/>
      <c r="M5573" s="5"/>
    </row>
    <row r="5574" spans="12:13" x14ac:dyDescent="0.2">
      <c r="L5574" s="5"/>
      <c r="M5574" s="5"/>
    </row>
    <row r="5575" spans="12:13" x14ac:dyDescent="0.2">
      <c r="L5575" s="5"/>
      <c r="M5575" s="5"/>
    </row>
    <row r="5576" spans="12:13" x14ac:dyDescent="0.2">
      <c r="L5576" s="5"/>
      <c r="M5576" s="5"/>
    </row>
    <row r="5577" spans="12:13" x14ac:dyDescent="0.2">
      <c r="L5577" s="5"/>
      <c r="M5577" s="5"/>
    </row>
    <row r="5578" spans="12:13" x14ac:dyDescent="0.2">
      <c r="L5578" s="5"/>
      <c r="M5578" s="5"/>
    </row>
    <row r="5579" spans="12:13" x14ac:dyDescent="0.2">
      <c r="L5579" s="5"/>
      <c r="M5579" s="5"/>
    </row>
    <row r="5580" spans="12:13" x14ac:dyDescent="0.2">
      <c r="L5580" s="5"/>
      <c r="M5580" s="5"/>
    </row>
    <row r="5581" spans="12:13" x14ac:dyDescent="0.2">
      <c r="L5581" s="5"/>
      <c r="M5581" s="5"/>
    </row>
    <row r="5582" spans="12:13" x14ac:dyDescent="0.2">
      <c r="L5582" s="5"/>
      <c r="M5582" s="5"/>
    </row>
    <row r="5583" spans="12:13" x14ac:dyDescent="0.2">
      <c r="L5583" s="5"/>
      <c r="M5583" s="5"/>
    </row>
    <row r="5584" spans="12:13" x14ac:dyDescent="0.2">
      <c r="L5584" s="5"/>
      <c r="M5584" s="5"/>
    </row>
    <row r="5585" spans="12:13" x14ac:dyDescent="0.2">
      <c r="L5585" s="5"/>
      <c r="M5585" s="5"/>
    </row>
    <row r="5586" spans="12:13" x14ac:dyDescent="0.2">
      <c r="L5586" s="5"/>
      <c r="M5586" s="5"/>
    </row>
    <row r="5587" spans="12:13" x14ac:dyDescent="0.2">
      <c r="L5587" s="5"/>
      <c r="M5587" s="5"/>
    </row>
    <row r="5588" spans="12:13" x14ac:dyDescent="0.2">
      <c r="L5588" s="5"/>
      <c r="M5588" s="5"/>
    </row>
    <row r="5589" spans="12:13" x14ac:dyDescent="0.2">
      <c r="L5589" s="5"/>
      <c r="M5589" s="5"/>
    </row>
    <row r="5590" spans="12:13" x14ac:dyDescent="0.2">
      <c r="L5590" s="5"/>
      <c r="M5590" s="5"/>
    </row>
    <row r="5591" spans="12:13" x14ac:dyDescent="0.2">
      <c r="L5591" s="5"/>
      <c r="M5591" s="5"/>
    </row>
    <row r="5592" spans="12:13" x14ac:dyDescent="0.2">
      <c r="L5592" s="5"/>
      <c r="M5592" s="5"/>
    </row>
    <row r="5593" spans="12:13" x14ac:dyDescent="0.2">
      <c r="L5593" s="5"/>
      <c r="M5593" s="5"/>
    </row>
    <row r="5594" spans="12:13" x14ac:dyDescent="0.2">
      <c r="L5594" s="5"/>
      <c r="M5594" s="5"/>
    </row>
    <row r="5595" spans="12:13" x14ac:dyDescent="0.2">
      <c r="L5595" s="5"/>
      <c r="M5595" s="5"/>
    </row>
    <row r="5596" spans="12:13" x14ac:dyDescent="0.2">
      <c r="L5596" s="5"/>
      <c r="M5596" s="5"/>
    </row>
    <row r="5597" spans="12:13" x14ac:dyDescent="0.2">
      <c r="L5597" s="5"/>
      <c r="M5597" s="5"/>
    </row>
    <row r="5598" spans="12:13" x14ac:dyDescent="0.2">
      <c r="L5598" s="5"/>
      <c r="M5598" s="5"/>
    </row>
    <row r="5599" spans="12:13" x14ac:dyDescent="0.2">
      <c r="L5599" s="5"/>
      <c r="M5599" s="5"/>
    </row>
    <row r="5600" spans="12:13" x14ac:dyDescent="0.2">
      <c r="L5600" s="5"/>
      <c r="M5600" s="5"/>
    </row>
    <row r="5601" spans="12:13" x14ac:dyDescent="0.2">
      <c r="L5601" s="5"/>
      <c r="M5601" s="5"/>
    </row>
    <row r="5602" spans="12:13" x14ac:dyDescent="0.2">
      <c r="L5602" s="5"/>
      <c r="M5602" s="5"/>
    </row>
    <row r="5603" spans="12:13" x14ac:dyDescent="0.2">
      <c r="L5603" s="5"/>
      <c r="M5603" s="5"/>
    </row>
    <row r="5604" spans="12:13" x14ac:dyDescent="0.2">
      <c r="L5604" s="5"/>
      <c r="M5604" s="5"/>
    </row>
    <row r="5605" spans="12:13" x14ac:dyDescent="0.2">
      <c r="L5605" s="5"/>
      <c r="M5605" s="5"/>
    </row>
    <row r="5606" spans="12:13" x14ac:dyDescent="0.2">
      <c r="L5606" s="5"/>
      <c r="M5606" s="5"/>
    </row>
    <row r="5607" spans="12:13" x14ac:dyDescent="0.2">
      <c r="L5607" s="5"/>
      <c r="M5607" s="5"/>
    </row>
    <row r="5608" spans="12:13" x14ac:dyDescent="0.2">
      <c r="L5608" s="5"/>
      <c r="M5608" s="5"/>
    </row>
    <row r="5609" spans="12:13" x14ac:dyDescent="0.2">
      <c r="L5609" s="5"/>
      <c r="M5609" s="5"/>
    </row>
    <row r="5610" spans="12:13" x14ac:dyDescent="0.2">
      <c r="L5610" s="5"/>
      <c r="M5610" s="5"/>
    </row>
    <row r="5611" spans="12:13" x14ac:dyDescent="0.2">
      <c r="L5611" s="5"/>
      <c r="M5611" s="5"/>
    </row>
    <row r="5612" spans="12:13" x14ac:dyDescent="0.2">
      <c r="L5612" s="5"/>
      <c r="M5612" s="5"/>
    </row>
    <row r="5613" spans="12:13" x14ac:dyDescent="0.2">
      <c r="L5613" s="5"/>
      <c r="M5613" s="5"/>
    </row>
    <row r="5614" spans="12:13" x14ac:dyDescent="0.2">
      <c r="L5614" s="5"/>
      <c r="M5614" s="5"/>
    </row>
    <row r="5615" spans="12:13" x14ac:dyDescent="0.2">
      <c r="L5615" s="5"/>
      <c r="M5615" s="5"/>
    </row>
    <row r="5616" spans="12:13" x14ac:dyDescent="0.2">
      <c r="L5616" s="5"/>
      <c r="M5616" s="5"/>
    </row>
    <row r="5617" spans="12:13" x14ac:dyDescent="0.2">
      <c r="L5617" s="5"/>
      <c r="M5617" s="5"/>
    </row>
    <row r="5618" spans="12:13" x14ac:dyDescent="0.2">
      <c r="L5618" s="5"/>
      <c r="M5618" s="5"/>
    </row>
    <row r="5619" spans="12:13" x14ac:dyDescent="0.2">
      <c r="L5619" s="5"/>
      <c r="M5619" s="5"/>
    </row>
    <row r="5620" spans="12:13" x14ac:dyDescent="0.2">
      <c r="L5620" s="5"/>
      <c r="M5620" s="5"/>
    </row>
    <row r="5621" spans="12:13" x14ac:dyDescent="0.2">
      <c r="L5621" s="5"/>
      <c r="M5621" s="5"/>
    </row>
    <row r="5622" spans="12:13" x14ac:dyDescent="0.2">
      <c r="L5622" s="5"/>
      <c r="M5622" s="5"/>
    </row>
    <row r="5623" spans="12:13" x14ac:dyDescent="0.2">
      <c r="L5623" s="5"/>
      <c r="M5623" s="5"/>
    </row>
    <row r="5624" spans="12:13" x14ac:dyDescent="0.2">
      <c r="L5624" s="5"/>
      <c r="M5624" s="5"/>
    </row>
    <row r="5625" spans="12:13" x14ac:dyDescent="0.2">
      <c r="L5625" s="5"/>
      <c r="M5625" s="5"/>
    </row>
    <row r="5626" spans="12:13" x14ac:dyDescent="0.2">
      <c r="L5626" s="5"/>
      <c r="M5626" s="5"/>
    </row>
    <row r="5627" spans="12:13" x14ac:dyDescent="0.2">
      <c r="L5627" s="5"/>
      <c r="M5627" s="5"/>
    </row>
    <row r="5628" spans="12:13" x14ac:dyDescent="0.2">
      <c r="L5628" s="5"/>
      <c r="M5628" s="5"/>
    </row>
    <row r="5629" spans="12:13" x14ac:dyDescent="0.2">
      <c r="L5629" s="5"/>
      <c r="M5629" s="5"/>
    </row>
    <row r="5630" spans="12:13" x14ac:dyDescent="0.2">
      <c r="L5630" s="5"/>
      <c r="M5630" s="5"/>
    </row>
    <row r="5631" spans="12:13" x14ac:dyDescent="0.2">
      <c r="L5631" s="5"/>
      <c r="M5631" s="5"/>
    </row>
    <row r="5632" spans="12:13" x14ac:dyDescent="0.2">
      <c r="L5632" s="5"/>
      <c r="M5632" s="5"/>
    </row>
    <row r="5633" spans="12:13" x14ac:dyDescent="0.2">
      <c r="L5633" s="5"/>
      <c r="M5633" s="5"/>
    </row>
    <row r="5634" spans="12:13" x14ac:dyDescent="0.2">
      <c r="L5634" s="5"/>
      <c r="M5634" s="5"/>
    </row>
    <row r="5635" spans="12:13" x14ac:dyDescent="0.2">
      <c r="L5635" s="5"/>
      <c r="M5635" s="5"/>
    </row>
    <row r="5636" spans="12:13" x14ac:dyDescent="0.2">
      <c r="L5636" s="5"/>
      <c r="M5636" s="5"/>
    </row>
    <row r="5637" spans="12:13" x14ac:dyDescent="0.2">
      <c r="L5637" s="5"/>
      <c r="M5637" s="5"/>
    </row>
    <row r="5638" spans="12:13" x14ac:dyDescent="0.2">
      <c r="L5638" s="5"/>
      <c r="M5638" s="5"/>
    </row>
    <row r="5639" spans="12:13" x14ac:dyDescent="0.2">
      <c r="L5639" s="5"/>
      <c r="M5639" s="5"/>
    </row>
    <row r="5640" spans="12:13" x14ac:dyDescent="0.2">
      <c r="L5640" s="5"/>
      <c r="M5640" s="5"/>
    </row>
    <row r="5641" spans="12:13" x14ac:dyDescent="0.2">
      <c r="L5641" s="5"/>
      <c r="M5641" s="5"/>
    </row>
    <row r="5642" spans="12:13" x14ac:dyDescent="0.2">
      <c r="L5642" s="5"/>
      <c r="M5642" s="5"/>
    </row>
    <row r="5643" spans="12:13" x14ac:dyDescent="0.2">
      <c r="L5643" s="5"/>
      <c r="M5643" s="5"/>
    </row>
    <row r="5644" spans="12:13" x14ac:dyDescent="0.2">
      <c r="L5644" s="5"/>
      <c r="M5644" s="5"/>
    </row>
    <row r="5645" spans="12:13" x14ac:dyDescent="0.2">
      <c r="L5645" s="5"/>
      <c r="M5645" s="5"/>
    </row>
    <row r="5646" spans="12:13" x14ac:dyDescent="0.2">
      <c r="L5646" s="5"/>
      <c r="M5646" s="5"/>
    </row>
    <row r="5647" spans="12:13" x14ac:dyDescent="0.2">
      <c r="L5647" s="5"/>
      <c r="M5647" s="5"/>
    </row>
    <row r="5648" spans="12:13" x14ac:dyDescent="0.2">
      <c r="L5648" s="5"/>
      <c r="M5648" s="5"/>
    </row>
    <row r="5649" spans="12:13" x14ac:dyDescent="0.2">
      <c r="L5649" s="5"/>
      <c r="M5649" s="5"/>
    </row>
    <row r="5650" spans="12:13" x14ac:dyDescent="0.2">
      <c r="L5650" s="5"/>
      <c r="M5650" s="5"/>
    </row>
    <row r="5651" spans="12:13" x14ac:dyDescent="0.2">
      <c r="L5651" s="5"/>
      <c r="M5651" s="5"/>
    </row>
    <row r="5652" spans="12:13" x14ac:dyDescent="0.2">
      <c r="L5652" s="5"/>
      <c r="M5652" s="5"/>
    </row>
    <row r="5653" spans="12:13" x14ac:dyDescent="0.2">
      <c r="L5653" s="5"/>
      <c r="M5653" s="5"/>
    </row>
    <row r="5654" spans="12:13" x14ac:dyDescent="0.2">
      <c r="L5654" s="5"/>
      <c r="M5654" s="5"/>
    </row>
    <row r="5655" spans="12:13" x14ac:dyDescent="0.2">
      <c r="L5655" s="5"/>
      <c r="M5655" s="5"/>
    </row>
    <row r="5656" spans="12:13" x14ac:dyDescent="0.2">
      <c r="L5656" s="5"/>
      <c r="M5656" s="5"/>
    </row>
    <row r="5657" spans="12:13" x14ac:dyDescent="0.2">
      <c r="L5657" s="5"/>
      <c r="M5657" s="5"/>
    </row>
    <row r="5658" spans="12:13" x14ac:dyDescent="0.2">
      <c r="L5658" s="5"/>
      <c r="M5658" s="5"/>
    </row>
    <row r="5659" spans="12:13" x14ac:dyDescent="0.2">
      <c r="L5659" s="5"/>
      <c r="M5659" s="5"/>
    </row>
    <row r="5660" spans="12:13" x14ac:dyDescent="0.2">
      <c r="L5660" s="5"/>
      <c r="M5660" s="5"/>
    </row>
    <row r="5661" spans="12:13" x14ac:dyDescent="0.2">
      <c r="L5661" s="5"/>
      <c r="M5661" s="5"/>
    </row>
    <row r="5662" spans="12:13" x14ac:dyDescent="0.2">
      <c r="L5662" s="5"/>
      <c r="M5662" s="5"/>
    </row>
    <row r="5663" spans="12:13" x14ac:dyDescent="0.2">
      <c r="L5663" s="5"/>
      <c r="M5663" s="5"/>
    </row>
    <row r="5664" spans="12:13" x14ac:dyDescent="0.2">
      <c r="L5664" s="5"/>
      <c r="M5664" s="5"/>
    </row>
    <row r="5665" spans="12:13" x14ac:dyDescent="0.2">
      <c r="L5665" s="5"/>
      <c r="M5665" s="5"/>
    </row>
    <row r="5666" spans="12:13" x14ac:dyDescent="0.2">
      <c r="L5666" s="5"/>
      <c r="M5666" s="5"/>
    </row>
    <row r="5667" spans="12:13" x14ac:dyDescent="0.2">
      <c r="L5667" s="5"/>
      <c r="M5667" s="5"/>
    </row>
    <row r="5668" spans="12:13" x14ac:dyDescent="0.2">
      <c r="L5668" s="5"/>
      <c r="M5668" s="5"/>
    </row>
    <row r="5669" spans="12:13" x14ac:dyDescent="0.2">
      <c r="L5669" s="5"/>
      <c r="M5669" s="5"/>
    </row>
    <row r="5670" spans="12:13" x14ac:dyDescent="0.2">
      <c r="L5670" s="5"/>
      <c r="M5670" s="5"/>
    </row>
    <row r="5671" spans="12:13" x14ac:dyDescent="0.2">
      <c r="L5671" s="5"/>
      <c r="M5671" s="5"/>
    </row>
    <row r="5672" spans="12:13" x14ac:dyDescent="0.2">
      <c r="L5672" s="5"/>
      <c r="M5672" s="5"/>
    </row>
    <row r="5673" spans="12:13" x14ac:dyDescent="0.2">
      <c r="L5673" s="5"/>
      <c r="M5673" s="5"/>
    </row>
    <row r="5674" spans="12:13" x14ac:dyDescent="0.2">
      <c r="L5674" s="5"/>
      <c r="M5674" s="5"/>
    </row>
    <row r="5675" spans="12:13" x14ac:dyDescent="0.2">
      <c r="L5675" s="5"/>
      <c r="M5675" s="5"/>
    </row>
    <row r="5676" spans="12:13" x14ac:dyDescent="0.2">
      <c r="L5676" s="5"/>
      <c r="M5676" s="5"/>
    </row>
    <row r="5677" spans="12:13" x14ac:dyDescent="0.2">
      <c r="L5677" s="5"/>
      <c r="M5677" s="5"/>
    </row>
    <row r="5678" spans="12:13" x14ac:dyDescent="0.2">
      <c r="L5678" s="5"/>
      <c r="M5678" s="5"/>
    </row>
    <row r="5679" spans="12:13" x14ac:dyDescent="0.2">
      <c r="L5679" s="5"/>
      <c r="M5679" s="5"/>
    </row>
    <row r="5680" spans="12:13" x14ac:dyDescent="0.2">
      <c r="L5680" s="5"/>
      <c r="M5680" s="5"/>
    </row>
    <row r="5681" spans="12:13" x14ac:dyDescent="0.2">
      <c r="L5681" s="5"/>
      <c r="M5681" s="5"/>
    </row>
    <row r="5682" spans="12:13" x14ac:dyDescent="0.2">
      <c r="L5682" s="5"/>
      <c r="M5682" s="5"/>
    </row>
    <row r="5683" spans="12:13" x14ac:dyDescent="0.2">
      <c r="L5683" s="5"/>
      <c r="M5683" s="5"/>
    </row>
    <row r="5684" spans="12:13" x14ac:dyDescent="0.2">
      <c r="L5684" s="5"/>
      <c r="M5684" s="5"/>
    </row>
    <row r="5685" spans="12:13" x14ac:dyDescent="0.2">
      <c r="L5685" s="5"/>
      <c r="M5685" s="5"/>
    </row>
    <row r="5686" spans="12:13" x14ac:dyDescent="0.2">
      <c r="L5686" s="5"/>
      <c r="M5686" s="5"/>
    </row>
    <row r="5687" spans="12:13" x14ac:dyDescent="0.2">
      <c r="L5687" s="5"/>
      <c r="M5687" s="5"/>
    </row>
    <row r="5688" spans="12:13" x14ac:dyDescent="0.2">
      <c r="L5688" s="5"/>
      <c r="M5688" s="5"/>
    </row>
    <row r="5689" spans="12:13" x14ac:dyDescent="0.2">
      <c r="L5689" s="5"/>
      <c r="M5689" s="5"/>
    </row>
    <row r="5690" spans="12:13" x14ac:dyDescent="0.2">
      <c r="L5690" s="5"/>
      <c r="M5690" s="5"/>
    </row>
    <row r="5691" spans="12:13" x14ac:dyDescent="0.2">
      <c r="L5691" s="5"/>
      <c r="M5691" s="5"/>
    </row>
    <row r="5692" spans="12:13" x14ac:dyDescent="0.2">
      <c r="L5692" s="5"/>
      <c r="M5692" s="5"/>
    </row>
    <row r="5693" spans="12:13" x14ac:dyDescent="0.2">
      <c r="L5693" s="5"/>
      <c r="M5693" s="5"/>
    </row>
    <row r="5694" spans="12:13" x14ac:dyDescent="0.2">
      <c r="L5694" s="5"/>
      <c r="M5694" s="5"/>
    </row>
    <row r="5695" spans="12:13" x14ac:dyDescent="0.2">
      <c r="L5695" s="5"/>
      <c r="M5695" s="5"/>
    </row>
    <row r="5696" spans="12:13" x14ac:dyDescent="0.2">
      <c r="L5696" s="5"/>
      <c r="M5696" s="5"/>
    </row>
    <row r="5697" spans="12:13" x14ac:dyDescent="0.2">
      <c r="L5697" s="5"/>
      <c r="M5697" s="5"/>
    </row>
    <row r="5698" spans="12:13" x14ac:dyDescent="0.2">
      <c r="L5698" s="5"/>
      <c r="M5698" s="5"/>
    </row>
    <row r="5699" spans="12:13" x14ac:dyDescent="0.2">
      <c r="L5699" s="5"/>
      <c r="M5699" s="5"/>
    </row>
    <row r="5700" spans="12:13" x14ac:dyDescent="0.2">
      <c r="L5700" s="5"/>
      <c r="M5700" s="5"/>
    </row>
    <row r="5701" spans="12:13" x14ac:dyDescent="0.2">
      <c r="L5701" s="5"/>
      <c r="M5701" s="5"/>
    </row>
    <row r="5702" spans="12:13" x14ac:dyDescent="0.2">
      <c r="L5702" s="5"/>
      <c r="M5702" s="5"/>
    </row>
    <row r="5703" spans="12:13" x14ac:dyDescent="0.2">
      <c r="L5703" s="5"/>
      <c r="M5703" s="5"/>
    </row>
    <row r="5704" spans="12:13" x14ac:dyDescent="0.2">
      <c r="L5704" s="5"/>
      <c r="M5704" s="5"/>
    </row>
    <row r="5705" spans="12:13" x14ac:dyDescent="0.2">
      <c r="L5705" s="5"/>
      <c r="M5705" s="5"/>
    </row>
    <row r="5706" spans="12:13" x14ac:dyDescent="0.2">
      <c r="L5706" s="5"/>
      <c r="M5706" s="5"/>
    </row>
    <row r="5707" spans="12:13" x14ac:dyDescent="0.2">
      <c r="L5707" s="5"/>
      <c r="M5707" s="5"/>
    </row>
    <row r="5708" spans="12:13" x14ac:dyDescent="0.2">
      <c r="L5708" s="5"/>
      <c r="M5708" s="5"/>
    </row>
    <row r="5709" spans="12:13" x14ac:dyDescent="0.2">
      <c r="L5709" s="5"/>
      <c r="M5709" s="5"/>
    </row>
    <row r="5710" spans="12:13" x14ac:dyDescent="0.2">
      <c r="L5710" s="5"/>
      <c r="M5710" s="5"/>
    </row>
    <row r="5711" spans="12:13" x14ac:dyDescent="0.2">
      <c r="L5711" s="5"/>
      <c r="M5711" s="5"/>
    </row>
    <row r="5712" spans="12:13" x14ac:dyDescent="0.2">
      <c r="L5712" s="5"/>
      <c r="M5712" s="5"/>
    </row>
    <row r="5713" spans="12:13" x14ac:dyDescent="0.2">
      <c r="L5713" s="5"/>
      <c r="M5713" s="5"/>
    </row>
    <row r="5714" spans="12:13" x14ac:dyDescent="0.2">
      <c r="L5714" s="5"/>
      <c r="M5714" s="5"/>
    </row>
    <row r="5715" spans="12:13" x14ac:dyDescent="0.2">
      <c r="L5715" s="5"/>
      <c r="M5715" s="5"/>
    </row>
    <row r="5716" spans="12:13" x14ac:dyDescent="0.2">
      <c r="L5716" s="5"/>
      <c r="M5716" s="5"/>
    </row>
    <row r="5717" spans="12:13" x14ac:dyDescent="0.2">
      <c r="L5717" s="5"/>
      <c r="M5717" s="5"/>
    </row>
    <row r="5718" spans="12:13" x14ac:dyDescent="0.2">
      <c r="L5718" s="5"/>
      <c r="M5718" s="5"/>
    </row>
    <row r="5719" spans="12:13" x14ac:dyDescent="0.2">
      <c r="L5719" s="5"/>
      <c r="M5719" s="5"/>
    </row>
    <row r="5720" spans="12:13" x14ac:dyDescent="0.2">
      <c r="L5720" s="5"/>
      <c r="M5720" s="5"/>
    </row>
    <row r="5721" spans="12:13" x14ac:dyDescent="0.2">
      <c r="L5721" s="5"/>
      <c r="M5721" s="5"/>
    </row>
    <row r="5722" spans="12:13" x14ac:dyDescent="0.2">
      <c r="L5722" s="5"/>
      <c r="M5722" s="5"/>
    </row>
    <row r="5723" spans="12:13" x14ac:dyDescent="0.2">
      <c r="L5723" s="5"/>
      <c r="M5723" s="5"/>
    </row>
    <row r="5724" spans="12:13" x14ac:dyDescent="0.2">
      <c r="L5724" s="5"/>
      <c r="M5724" s="5"/>
    </row>
    <row r="5725" spans="12:13" x14ac:dyDescent="0.2">
      <c r="L5725" s="5"/>
      <c r="M5725" s="5"/>
    </row>
    <row r="5726" spans="12:13" x14ac:dyDescent="0.2">
      <c r="L5726" s="5"/>
      <c r="M5726" s="5"/>
    </row>
    <row r="5727" spans="12:13" x14ac:dyDescent="0.2">
      <c r="L5727" s="5"/>
      <c r="M5727" s="5"/>
    </row>
    <row r="5728" spans="12:13" x14ac:dyDescent="0.2">
      <c r="L5728" s="5"/>
      <c r="M5728" s="5"/>
    </row>
    <row r="5729" spans="12:13" x14ac:dyDescent="0.2">
      <c r="L5729" s="5"/>
      <c r="M5729" s="5"/>
    </row>
    <row r="5730" spans="12:13" x14ac:dyDescent="0.2">
      <c r="L5730" s="5"/>
      <c r="M5730" s="5"/>
    </row>
    <row r="5731" spans="12:13" x14ac:dyDescent="0.2">
      <c r="L5731" s="5"/>
      <c r="M5731" s="5"/>
    </row>
    <row r="5732" spans="12:13" x14ac:dyDescent="0.2">
      <c r="L5732" s="5"/>
      <c r="M5732" s="5"/>
    </row>
    <row r="5733" spans="12:13" x14ac:dyDescent="0.2">
      <c r="L5733" s="5"/>
      <c r="M5733" s="5"/>
    </row>
    <row r="5734" spans="12:13" x14ac:dyDescent="0.2">
      <c r="L5734" s="5"/>
      <c r="M5734" s="5"/>
    </row>
    <row r="5735" spans="12:13" x14ac:dyDescent="0.2">
      <c r="L5735" s="5"/>
      <c r="M5735" s="5"/>
    </row>
    <row r="5736" spans="12:13" x14ac:dyDescent="0.2">
      <c r="L5736" s="5"/>
      <c r="M5736" s="5"/>
    </row>
    <row r="5737" spans="12:13" x14ac:dyDescent="0.2">
      <c r="L5737" s="5"/>
      <c r="M5737" s="5"/>
    </row>
    <row r="5738" spans="12:13" x14ac:dyDescent="0.2">
      <c r="L5738" s="5"/>
      <c r="M5738" s="5"/>
    </row>
    <row r="5739" spans="12:13" x14ac:dyDescent="0.2">
      <c r="L5739" s="5"/>
      <c r="M5739" s="5"/>
    </row>
    <row r="5740" spans="12:13" x14ac:dyDescent="0.2">
      <c r="L5740" s="5"/>
      <c r="M5740" s="5"/>
    </row>
    <row r="5741" spans="12:13" x14ac:dyDescent="0.2">
      <c r="L5741" s="5"/>
      <c r="M5741" s="5"/>
    </row>
    <row r="5742" spans="12:13" x14ac:dyDescent="0.2">
      <c r="L5742" s="5"/>
      <c r="M5742" s="5"/>
    </row>
    <row r="5743" spans="12:13" x14ac:dyDescent="0.2">
      <c r="L5743" s="5"/>
      <c r="M5743" s="5"/>
    </row>
    <row r="5744" spans="12:13" x14ac:dyDescent="0.2">
      <c r="L5744" s="5"/>
      <c r="M5744" s="5"/>
    </row>
    <row r="5745" spans="12:13" x14ac:dyDescent="0.2">
      <c r="L5745" s="5"/>
      <c r="M5745" s="5"/>
    </row>
    <row r="5746" spans="12:13" x14ac:dyDescent="0.2">
      <c r="L5746" s="5"/>
      <c r="M5746" s="5"/>
    </row>
    <row r="5747" spans="12:13" x14ac:dyDescent="0.2">
      <c r="L5747" s="5"/>
      <c r="M5747" s="5"/>
    </row>
    <row r="5748" spans="12:13" x14ac:dyDescent="0.2">
      <c r="L5748" s="5"/>
      <c r="M5748" s="5"/>
    </row>
    <row r="5749" spans="12:13" x14ac:dyDescent="0.2">
      <c r="L5749" s="5"/>
      <c r="M5749" s="5"/>
    </row>
    <row r="5750" spans="12:13" x14ac:dyDescent="0.2">
      <c r="L5750" s="5"/>
      <c r="M5750" s="5"/>
    </row>
    <row r="5751" spans="12:13" x14ac:dyDescent="0.2">
      <c r="L5751" s="5"/>
      <c r="M5751" s="5"/>
    </row>
    <row r="5752" spans="12:13" x14ac:dyDescent="0.2">
      <c r="L5752" s="5"/>
      <c r="M5752" s="5"/>
    </row>
    <row r="5753" spans="12:13" x14ac:dyDescent="0.2">
      <c r="L5753" s="5"/>
      <c r="M5753" s="5"/>
    </row>
    <row r="5754" spans="12:13" x14ac:dyDescent="0.2">
      <c r="L5754" s="5"/>
      <c r="M5754" s="5"/>
    </row>
    <row r="5755" spans="12:13" x14ac:dyDescent="0.2">
      <c r="L5755" s="5"/>
      <c r="M5755" s="5"/>
    </row>
    <row r="5756" spans="12:13" x14ac:dyDescent="0.2">
      <c r="L5756" s="5"/>
      <c r="M5756" s="5"/>
    </row>
    <row r="5757" spans="12:13" x14ac:dyDescent="0.2">
      <c r="L5757" s="5"/>
      <c r="M5757" s="5"/>
    </row>
    <row r="5758" spans="12:13" x14ac:dyDescent="0.2">
      <c r="L5758" s="5"/>
      <c r="M5758" s="5"/>
    </row>
    <row r="5759" spans="12:13" x14ac:dyDescent="0.2">
      <c r="L5759" s="5"/>
      <c r="M5759" s="5"/>
    </row>
    <row r="5760" spans="12:13" x14ac:dyDescent="0.2">
      <c r="L5760" s="5"/>
      <c r="M5760" s="5"/>
    </row>
    <row r="5761" spans="12:13" x14ac:dyDescent="0.2">
      <c r="L5761" s="5"/>
      <c r="M5761" s="5"/>
    </row>
    <row r="5762" spans="12:13" x14ac:dyDescent="0.2">
      <c r="L5762" s="5"/>
      <c r="M5762" s="5"/>
    </row>
    <row r="5763" spans="12:13" x14ac:dyDescent="0.2">
      <c r="L5763" s="5"/>
      <c r="M5763" s="5"/>
    </row>
    <row r="5764" spans="12:13" x14ac:dyDescent="0.2">
      <c r="L5764" s="5"/>
      <c r="M5764" s="5"/>
    </row>
    <row r="5765" spans="12:13" x14ac:dyDescent="0.2">
      <c r="L5765" s="5"/>
      <c r="M5765" s="5"/>
    </row>
    <row r="5766" spans="12:13" x14ac:dyDescent="0.2">
      <c r="L5766" s="5"/>
      <c r="M5766" s="5"/>
    </row>
    <row r="5767" spans="12:13" x14ac:dyDescent="0.2">
      <c r="L5767" s="5"/>
      <c r="M5767" s="5"/>
    </row>
    <row r="5768" spans="12:13" x14ac:dyDescent="0.2">
      <c r="L5768" s="5"/>
      <c r="M5768" s="5"/>
    </row>
    <row r="5769" spans="12:13" x14ac:dyDescent="0.2">
      <c r="L5769" s="5"/>
      <c r="M5769" s="5"/>
    </row>
    <row r="5770" spans="12:13" x14ac:dyDescent="0.2">
      <c r="L5770" s="5"/>
      <c r="M5770" s="5"/>
    </row>
    <row r="5771" spans="12:13" x14ac:dyDescent="0.2">
      <c r="L5771" s="5"/>
      <c r="M5771" s="5"/>
    </row>
    <row r="5772" spans="12:13" x14ac:dyDescent="0.2">
      <c r="L5772" s="5"/>
      <c r="M5772" s="5"/>
    </row>
    <row r="5773" spans="12:13" x14ac:dyDescent="0.2">
      <c r="L5773" s="5"/>
      <c r="M5773" s="5"/>
    </row>
    <row r="5774" spans="12:13" x14ac:dyDescent="0.2">
      <c r="L5774" s="5"/>
      <c r="M5774" s="5"/>
    </row>
    <row r="5775" spans="12:13" x14ac:dyDescent="0.2">
      <c r="L5775" s="5"/>
      <c r="M5775" s="5"/>
    </row>
    <row r="5776" spans="12:13" x14ac:dyDescent="0.2">
      <c r="L5776" s="5"/>
      <c r="M5776" s="5"/>
    </row>
    <row r="5777" spans="12:13" x14ac:dyDescent="0.2">
      <c r="L5777" s="5"/>
      <c r="M5777" s="5"/>
    </row>
    <row r="5778" spans="12:13" x14ac:dyDescent="0.2">
      <c r="L5778" s="5"/>
      <c r="M5778" s="5"/>
    </row>
    <row r="5779" spans="12:13" x14ac:dyDescent="0.2">
      <c r="L5779" s="5"/>
      <c r="M5779" s="5"/>
    </row>
    <row r="5780" spans="12:13" x14ac:dyDescent="0.2">
      <c r="L5780" s="5"/>
      <c r="M5780" s="5"/>
    </row>
    <row r="5781" spans="12:13" x14ac:dyDescent="0.2">
      <c r="L5781" s="5"/>
      <c r="M5781" s="5"/>
    </row>
    <row r="5782" spans="12:13" x14ac:dyDescent="0.2">
      <c r="L5782" s="5"/>
      <c r="M5782" s="5"/>
    </row>
    <row r="5783" spans="12:13" x14ac:dyDescent="0.2">
      <c r="L5783" s="5"/>
      <c r="M5783" s="5"/>
    </row>
    <row r="5784" spans="12:13" x14ac:dyDescent="0.2">
      <c r="L5784" s="5"/>
      <c r="M5784" s="5"/>
    </row>
    <row r="5785" spans="12:13" x14ac:dyDescent="0.2">
      <c r="L5785" s="5"/>
      <c r="M5785" s="5"/>
    </row>
    <row r="5786" spans="12:13" x14ac:dyDescent="0.2">
      <c r="L5786" s="5"/>
      <c r="M5786" s="5"/>
    </row>
    <row r="5787" spans="12:13" x14ac:dyDescent="0.2">
      <c r="L5787" s="5"/>
      <c r="M5787" s="5"/>
    </row>
    <row r="5788" spans="12:13" x14ac:dyDescent="0.2">
      <c r="L5788" s="5"/>
      <c r="M5788" s="5"/>
    </row>
    <row r="5789" spans="12:13" x14ac:dyDescent="0.2">
      <c r="L5789" s="5"/>
      <c r="M5789" s="5"/>
    </row>
    <row r="5790" spans="12:13" x14ac:dyDescent="0.2">
      <c r="L5790" s="5"/>
      <c r="M5790" s="5"/>
    </row>
    <row r="5791" spans="12:13" x14ac:dyDescent="0.2">
      <c r="L5791" s="5"/>
      <c r="M5791" s="5"/>
    </row>
    <row r="5792" spans="12:13" x14ac:dyDescent="0.2">
      <c r="L5792" s="5"/>
      <c r="M5792" s="5"/>
    </row>
    <row r="5793" spans="12:13" x14ac:dyDescent="0.2">
      <c r="L5793" s="5"/>
      <c r="M5793" s="5"/>
    </row>
    <row r="5794" spans="12:13" x14ac:dyDescent="0.2">
      <c r="L5794" s="5"/>
      <c r="M5794" s="5"/>
    </row>
    <row r="5795" spans="12:13" x14ac:dyDescent="0.2">
      <c r="L5795" s="5"/>
      <c r="M5795" s="5"/>
    </row>
    <row r="5796" spans="12:13" x14ac:dyDescent="0.2">
      <c r="L5796" s="5"/>
      <c r="M5796" s="5"/>
    </row>
    <row r="5797" spans="12:13" x14ac:dyDescent="0.2">
      <c r="L5797" s="5"/>
      <c r="M5797" s="5"/>
    </row>
    <row r="5798" spans="12:13" x14ac:dyDescent="0.2">
      <c r="L5798" s="5"/>
      <c r="M5798" s="5"/>
    </row>
    <row r="5799" spans="12:13" x14ac:dyDescent="0.2">
      <c r="L5799" s="5"/>
      <c r="M5799" s="5"/>
    </row>
    <row r="5800" spans="12:13" x14ac:dyDescent="0.2">
      <c r="L5800" s="5"/>
      <c r="M5800" s="5"/>
    </row>
    <row r="5801" spans="12:13" x14ac:dyDescent="0.2">
      <c r="L5801" s="5"/>
      <c r="M5801" s="5"/>
    </row>
    <row r="5802" spans="12:13" x14ac:dyDescent="0.2">
      <c r="L5802" s="5"/>
      <c r="M5802" s="5"/>
    </row>
    <row r="5803" spans="12:13" x14ac:dyDescent="0.2">
      <c r="L5803" s="5"/>
      <c r="M5803" s="5"/>
    </row>
    <row r="5804" spans="12:13" x14ac:dyDescent="0.2">
      <c r="L5804" s="5"/>
      <c r="M5804" s="5"/>
    </row>
    <row r="5805" spans="12:13" x14ac:dyDescent="0.2">
      <c r="L5805" s="5"/>
      <c r="M5805" s="5"/>
    </row>
    <row r="5806" spans="12:13" x14ac:dyDescent="0.2">
      <c r="L5806" s="5"/>
      <c r="M5806" s="5"/>
    </row>
    <row r="5807" spans="12:13" x14ac:dyDescent="0.2">
      <c r="L5807" s="5"/>
      <c r="M5807" s="5"/>
    </row>
    <row r="5808" spans="12:13" x14ac:dyDescent="0.2">
      <c r="L5808" s="5"/>
      <c r="M5808" s="5"/>
    </row>
    <row r="5809" spans="12:13" x14ac:dyDescent="0.2">
      <c r="L5809" s="5"/>
      <c r="M5809" s="5"/>
    </row>
    <row r="5810" spans="12:13" x14ac:dyDescent="0.2">
      <c r="L5810" s="5"/>
      <c r="M5810" s="5"/>
    </row>
    <row r="5811" spans="12:13" x14ac:dyDescent="0.2">
      <c r="L5811" s="5"/>
      <c r="M5811" s="5"/>
    </row>
    <row r="5812" spans="12:13" x14ac:dyDescent="0.2">
      <c r="L5812" s="5"/>
      <c r="M5812" s="5"/>
    </row>
    <row r="5813" spans="12:13" x14ac:dyDescent="0.2">
      <c r="L5813" s="5"/>
      <c r="M5813" s="5"/>
    </row>
    <row r="5814" spans="12:13" x14ac:dyDescent="0.2">
      <c r="L5814" s="5"/>
      <c r="M5814" s="5"/>
    </row>
    <row r="5815" spans="12:13" x14ac:dyDescent="0.2">
      <c r="L5815" s="5"/>
      <c r="M5815" s="5"/>
    </row>
    <row r="5816" spans="12:13" x14ac:dyDescent="0.2">
      <c r="L5816" s="5"/>
      <c r="M5816" s="5"/>
    </row>
    <row r="5817" spans="12:13" x14ac:dyDescent="0.2">
      <c r="L5817" s="5"/>
      <c r="M5817" s="5"/>
    </row>
    <row r="5818" spans="12:13" x14ac:dyDescent="0.2">
      <c r="L5818" s="5"/>
      <c r="M5818" s="5"/>
    </row>
    <row r="5819" spans="12:13" x14ac:dyDescent="0.2">
      <c r="L5819" s="5"/>
      <c r="M5819" s="5"/>
    </row>
    <row r="5820" spans="12:13" x14ac:dyDescent="0.2">
      <c r="L5820" s="5"/>
      <c r="M5820" s="5"/>
    </row>
    <row r="5821" spans="12:13" x14ac:dyDescent="0.2">
      <c r="L5821" s="5"/>
      <c r="M5821" s="5"/>
    </row>
    <row r="5822" spans="12:13" x14ac:dyDescent="0.2">
      <c r="L5822" s="5"/>
      <c r="M5822" s="5"/>
    </row>
    <row r="5823" spans="12:13" x14ac:dyDescent="0.2">
      <c r="L5823" s="5"/>
      <c r="M5823" s="5"/>
    </row>
    <row r="5824" spans="12:13" x14ac:dyDescent="0.2">
      <c r="L5824" s="5"/>
      <c r="M5824" s="5"/>
    </row>
    <row r="5825" spans="12:13" x14ac:dyDescent="0.2">
      <c r="L5825" s="5"/>
      <c r="M5825" s="5"/>
    </row>
    <row r="5826" spans="12:13" x14ac:dyDescent="0.2">
      <c r="L5826" s="5"/>
      <c r="M5826" s="5"/>
    </row>
    <row r="5827" spans="12:13" x14ac:dyDescent="0.2">
      <c r="L5827" s="5"/>
      <c r="M5827" s="5"/>
    </row>
    <row r="5828" spans="12:13" x14ac:dyDescent="0.2">
      <c r="L5828" s="5"/>
      <c r="M5828" s="5"/>
    </row>
    <row r="5829" spans="12:13" x14ac:dyDescent="0.2">
      <c r="L5829" s="5"/>
      <c r="M5829" s="5"/>
    </row>
    <row r="5830" spans="12:13" x14ac:dyDescent="0.2">
      <c r="L5830" s="5"/>
      <c r="M5830" s="5"/>
    </row>
    <row r="5831" spans="12:13" x14ac:dyDescent="0.2">
      <c r="L5831" s="5"/>
      <c r="M5831" s="5"/>
    </row>
    <row r="5832" spans="12:13" x14ac:dyDescent="0.2">
      <c r="L5832" s="5"/>
      <c r="M5832" s="5"/>
    </row>
    <row r="5833" spans="12:13" x14ac:dyDescent="0.2">
      <c r="L5833" s="5"/>
      <c r="M5833" s="5"/>
    </row>
    <row r="5834" spans="12:13" x14ac:dyDescent="0.2">
      <c r="L5834" s="5"/>
      <c r="M5834" s="5"/>
    </row>
    <row r="5835" spans="12:13" x14ac:dyDescent="0.2">
      <c r="L5835" s="5"/>
      <c r="M5835" s="5"/>
    </row>
    <row r="5836" spans="12:13" x14ac:dyDescent="0.2">
      <c r="L5836" s="5"/>
      <c r="M5836" s="5"/>
    </row>
    <row r="5837" spans="12:13" x14ac:dyDescent="0.2">
      <c r="L5837" s="5"/>
      <c r="M5837" s="5"/>
    </row>
    <row r="5838" spans="12:13" x14ac:dyDescent="0.2">
      <c r="L5838" s="5"/>
      <c r="M5838" s="5"/>
    </row>
    <row r="5839" spans="12:13" x14ac:dyDescent="0.2">
      <c r="L5839" s="5"/>
      <c r="M5839" s="5"/>
    </row>
    <row r="5840" spans="12:13" x14ac:dyDescent="0.2">
      <c r="L5840" s="5"/>
      <c r="M5840" s="5"/>
    </row>
    <row r="5841" spans="12:13" x14ac:dyDescent="0.2">
      <c r="L5841" s="5"/>
      <c r="M5841" s="5"/>
    </row>
    <row r="5842" spans="12:13" x14ac:dyDescent="0.2">
      <c r="L5842" s="5"/>
      <c r="M5842" s="5"/>
    </row>
    <row r="5843" spans="12:13" x14ac:dyDescent="0.2">
      <c r="L5843" s="5"/>
      <c r="M5843" s="5"/>
    </row>
    <row r="5844" spans="12:13" x14ac:dyDescent="0.2">
      <c r="L5844" s="5"/>
      <c r="M5844" s="5"/>
    </row>
    <row r="5845" spans="12:13" x14ac:dyDescent="0.2">
      <c r="L5845" s="5"/>
      <c r="M5845" s="5"/>
    </row>
    <row r="5846" spans="12:13" x14ac:dyDescent="0.2">
      <c r="L5846" s="5"/>
      <c r="M5846" s="5"/>
    </row>
    <row r="5847" spans="12:13" x14ac:dyDescent="0.2">
      <c r="L5847" s="5"/>
      <c r="M5847" s="5"/>
    </row>
    <row r="5848" spans="12:13" x14ac:dyDescent="0.2">
      <c r="L5848" s="5"/>
      <c r="M5848" s="5"/>
    </row>
    <row r="5849" spans="12:13" x14ac:dyDescent="0.2">
      <c r="L5849" s="5"/>
      <c r="M5849" s="5"/>
    </row>
    <row r="5850" spans="12:13" x14ac:dyDescent="0.2">
      <c r="L5850" s="5"/>
      <c r="M5850" s="5"/>
    </row>
    <row r="5851" spans="12:13" x14ac:dyDescent="0.2">
      <c r="L5851" s="5"/>
      <c r="M5851" s="5"/>
    </row>
    <row r="5852" spans="12:13" x14ac:dyDescent="0.2">
      <c r="L5852" s="5"/>
      <c r="M5852" s="5"/>
    </row>
    <row r="5853" spans="12:13" x14ac:dyDescent="0.2">
      <c r="L5853" s="5"/>
      <c r="M5853" s="5"/>
    </row>
    <row r="5854" spans="12:13" x14ac:dyDescent="0.2">
      <c r="L5854" s="5"/>
      <c r="M5854" s="5"/>
    </row>
    <row r="5855" spans="12:13" x14ac:dyDescent="0.2">
      <c r="L5855" s="5"/>
      <c r="M5855" s="5"/>
    </row>
    <row r="5856" spans="12:13" x14ac:dyDescent="0.2">
      <c r="L5856" s="5"/>
      <c r="M5856" s="5"/>
    </row>
    <row r="5857" spans="12:13" x14ac:dyDescent="0.2">
      <c r="L5857" s="5"/>
      <c r="M5857" s="5"/>
    </row>
    <row r="5858" spans="12:13" x14ac:dyDescent="0.2">
      <c r="L5858" s="5"/>
      <c r="M5858" s="5"/>
    </row>
    <row r="5859" spans="12:13" x14ac:dyDescent="0.2">
      <c r="L5859" s="5"/>
      <c r="M5859" s="5"/>
    </row>
    <row r="5860" spans="12:13" x14ac:dyDescent="0.2">
      <c r="L5860" s="5"/>
      <c r="M5860" s="5"/>
    </row>
    <row r="5861" spans="12:13" x14ac:dyDescent="0.2">
      <c r="L5861" s="5"/>
      <c r="M5861" s="5"/>
    </row>
    <row r="5862" spans="12:13" x14ac:dyDescent="0.2">
      <c r="L5862" s="5"/>
      <c r="M5862" s="5"/>
    </row>
    <row r="5863" spans="12:13" x14ac:dyDescent="0.2">
      <c r="L5863" s="5"/>
      <c r="M5863" s="5"/>
    </row>
    <row r="5864" spans="12:13" x14ac:dyDescent="0.2">
      <c r="L5864" s="5"/>
      <c r="M5864" s="5"/>
    </row>
    <row r="5865" spans="12:13" x14ac:dyDescent="0.2">
      <c r="L5865" s="5"/>
      <c r="M5865" s="5"/>
    </row>
    <row r="5866" spans="12:13" x14ac:dyDescent="0.2">
      <c r="L5866" s="5"/>
      <c r="M5866" s="5"/>
    </row>
    <row r="5867" spans="12:13" x14ac:dyDescent="0.2">
      <c r="L5867" s="5"/>
      <c r="M5867" s="5"/>
    </row>
    <row r="5868" spans="12:13" x14ac:dyDescent="0.2">
      <c r="L5868" s="5"/>
      <c r="M5868" s="5"/>
    </row>
    <row r="5869" spans="12:13" x14ac:dyDescent="0.2">
      <c r="L5869" s="5"/>
      <c r="M5869" s="5"/>
    </row>
    <row r="5870" spans="12:13" x14ac:dyDescent="0.2">
      <c r="L5870" s="5"/>
      <c r="M5870" s="5"/>
    </row>
    <row r="5871" spans="12:13" x14ac:dyDescent="0.2">
      <c r="L5871" s="5"/>
      <c r="M5871" s="5"/>
    </row>
    <row r="5872" spans="12:13" x14ac:dyDescent="0.2">
      <c r="L5872" s="5"/>
      <c r="M5872" s="5"/>
    </row>
    <row r="5873" spans="12:13" x14ac:dyDescent="0.2">
      <c r="L5873" s="5"/>
      <c r="M5873" s="5"/>
    </row>
    <row r="5874" spans="12:13" x14ac:dyDescent="0.2">
      <c r="L5874" s="5"/>
      <c r="M5874" s="5"/>
    </row>
    <row r="5875" spans="12:13" x14ac:dyDescent="0.2">
      <c r="L5875" s="5"/>
      <c r="M5875" s="5"/>
    </row>
    <row r="5876" spans="12:13" x14ac:dyDescent="0.2">
      <c r="L5876" s="5"/>
      <c r="M5876" s="5"/>
    </row>
    <row r="5877" spans="12:13" x14ac:dyDescent="0.2">
      <c r="L5877" s="5"/>
      <c r="M5877" s="5"/>
    </row>
    <row r="5878" spans="12:13" x14ac:dyDescent="0.2">
      <c r="L5878" s="5"/>
      <c r="M5878" s="5"/>
    </row>
    <row r="5879" spans="12:13" x14ac:dyDescent="0.2">
      <c r="L5879" s="5"/>
      <c r="M5879" s="5"/>
    </row>
    <row r="5880" spans="12:13" x14ac:dyDescent="0.2">
      <c r="L5880" s="5"/>
      <c r="M5880" s="5"/>
    </row>
    <row r="5881" spans="12:13" x14ac:dyDescent="0.2">
      <c r="L5881" s="5"/>
      <c r="M5881" s="5"/>
    </row>
    <row r="5882" spans="12:13" x14ac:dyDescent="0.2">
      <c r="L5882" s="5"/>
      <c r="M5882" s="5"/>
    </row>
    <row r="5883" spans="12:13" x14ac:dyDescent="0.2">
      <c r="L5883" s="5"/>
      <c r="M5883" s="5"/>
    </row>
    <row r="5884" spans="12:13" x14ac:dyDescent="0.2">
      <c r="L5884" s="5"/>
      <c r="M5884" s="5"/>
    </row>
    <row r="5885" spans="12:13" x14ac:dyDescent="0.2">
      <c r="L5885" s="5"/>
      <c r="M5885" s="5"/>
    </row>
    <row r="5886" spans="12:13" x14ac:dyDescent="0.2">
      <c r="L5886" s="5"/>
      <c r="M5886" s="5"/>
    </row>
    <row r="5887" spans="12:13" x14ac:dyDescent="0.2">
      <c r="L5887" s="5"/>
      <c r="M5887" s="5"/>
    </row>
    <row r="5888" spans="12:13" x14ac:dyDescent="0.2">
      <c r="L5888" s="5"/>
      <c r="M5888" s="5"/>
    </row>
    <row r="5889" spans="12:13" x14ac:dyDescent="0.2">
      <c r="L5889" s="5"/>
      <c r="M5889" s="5"/>
    </row>
    <row r="5890" spans="12:13" x14ac:dyDescent="0.2">
      <c r="L5890" s="5"/>
      <c r="M5890" s="5"/>
    </row>
    <row r="5891" spans="12:13" x14ac:dyDescent="0.2">
      <c r="L5891" s="5"/>
      <c r="M5891" s="5"/>
    </row>
    <row r="5892" spans="12:13" x14ac:dyDescent="0.2">
      <c r="L5892" s="5"/>
      <c r="M5892" s="5"/>
    </row>
    <row r="5893" spans="12:13" x14ac:dyDescent="0.2">
      <c r="L5893" s="5"/>
      <c r="M5893" s="5"/>
    </row>
    <row r="5894" spans="12:13" x14ac:dyDescent="0.2">
      <c r="L5894" s="5"/>
      <c r="M5894" s="5"/>
    </row>
    <row r="5895" spans="12:13" x14ac:dyDescent="0.2">
      <c r="L5895" s="5"/>
      <c r="M5895" s="5"/>
    </row>
    <row r="5896" spans="12:13" x14ac:dyDescent="0.2">
      <c r="L5896" s="5"/>
      <c r="M5896" s="5"/>
    </row>
    <row r="5897" spans="12:13" x14ac:dyDescent="0.2">
      <c r="L5897" s="5"/>
      <c r="M5897" s="5"/>
    </row>
    <row r="5898" spans="12:13" x14ac:dyDescent="0.2">
      <c r="L5898" s="5"/>
      <c r="M5898" s="5"/>
    </row>
    <row r="5899" spans="12:13" x14ac:dyDescent="0.2">
      <c r="L5899" s="5"/>
      <c r="M5899" s="5"/>
    </row>
    <row r="5900" spans="12:13" x14ac:dyDescent="0.2">
      <c r="L5900" s="5"/>
      <c r="M5900" s="5"/>
    </row>
    <row r="5901" spans="12:13" x14ac:dyDescent="0.2">
      <c r="L5901" s="5"/>
      <c r="M5901" s="5"/>
    </row>
    <row r="5902" spans="12:13" x14ac:dyDescent="0.2">
      <c r="L5902" s="5"/>
      <c r="M5902" s="5"/>
    </row>
    <row r="5903" spans="12:13" x14ac:dyDescent="0.2">
      <c r="L5903" s="5"/>
      <c r="M5903" s="5"/>
    </row>
    <row r="5904" spans="12:13" x14ac:dyDescent="0.2">
      <c r="L5904" s="5"/>
      <c r="M5904" s="5"/>
    </row>
    <row r="5905" spans="12:13" x14ac:dyDescent="0.2">
      <c r="L5905" s="5"/>
      <c r="M5905" s="5"/>
    </row>
    <row r="5906" spans="12:13" x14ac:dyDescent="0.2">
      <c r="L5906" s="5"/>
      <c r="M5906" s="5"/>
    </row>
    <row r="5907" spans="12:13" x14ac:dyDescent="0.2">
      <c r="L5907" s="5"/>
      <c r="M5907" s="5"/>
    </row>
    <row r="5908" spans="12:13" x14ac:dyDescent="0.2">
      <c r="L5908" s="5"/>
      <c r="M5908" s="5"/>
    </row>
    <row r="5909" spans="12:13" x14ac:dyDescent="0.2">
      <c r="L5909" s="5"/>
      <c r="M5909" s="5"/>
    </row>
    <row r="5910" spans="12:13" x14ac:dyDescent="0.2">
      <c r="L5910" s="5"/>
      <c r="M5910" s="5"/>
    </row>
    <row r="5911" spans="12:13" x14ac:dyDescent="0.2">
      <c r="L5911" s="5"/>
      <c r="M5911" s="5"/>
    </row>
    <row r="5912" spans="12:13" x14ac:dyDescent="0.2">
      <c r="L5912" s="5"/>
      <c r="M5912" s="5"/>
    </row>
    <row r="5913" spans="12:13" x14ac:dyDescent="0.2">
      <c r="L5913" s="5"/>
      <c r="M5913" s="5"/>
    </row>
    <row r="5914" spans="12:13" x14ac:dyDescent="0.2">
      <c r="L5914" s="5"/>
      <c r="M5914" s="5"/>
    </row>
    <row r="5915" spans="12:13" x14ac:dyDescent="0.2">
      <c r="L5915" s="5"/>
      <c r="M5915" s="5"/>
    </row>
    <row r="5916" spans="12:13" x14ac:dyDescent="0.2">
      <c r="L5916" s="5"/>
      <c r="M5916" s="5"/>
    </row>
    <row r="5917" spans="12:13" x14ac:dyDescent="0.2">
      <c r="L5917" s="5"/>
      <c r="M5917" s="5"/>
    </row>
    <row r="5918" spans="12:13" x14ac:dyDescent="0.2">
      <c r="L5918" s="5"/>
      <c r="M5918" s="5"/>
    </row>
    <row r="5919" spans="12:13" x14ac:dyDescent="0.2">
      <c r="L5919" s="5"/>
      <c r="M5919" s="5"/>
    </row>
    <row r="5920" spans="12:13" x14ac:dyDescent="0.2">
      <c r="L5920" s="5"/>
      <c r="M5920" s="5"/>
    </row>
    <row r="5921" spans="12:13" x14ac:dyDescent="0.2">
      <c r="L5921" s="5"/>
      <c r="M5921" s="5"/>
    </row>
    <row r="5922" spans="12:13" x14ac:dyDescent="0.2">
      <c r="L5922" s="5"/>
      <c r="M5922" s="5"/>
    </row>
    <row r="5923" spans="12:13" x14ac:dyDescent="0.2">
      <c r="L5923" s="5"/>
      <c r="M5923" s="5"/>
    </row>
    <row r="5924" spans="12:13" x14ac:dyDescent="0.2">
      <c r="L5924" s="5"/>
      <c r="M5924" s="5"/>
    </row>
    <row r="5925" spans="12:13" x14ac:dyDescent="0.2">
      <c r="L5925" s="5"/>
      <c r="M5925" s="5"/>
    </row>
    <row r="5926" spans="12:13" x14ac:dyDescent="0.2">
      <c r="L5926" s="5"/>
      <c r="M5926" s="5"/>
    </row>
    <row r="5927" spans="12:13" x14ac:dyDescent="0.2">
      <c r="L5927" s="5"/>
      <c r="M5927" s="5"/>
    </row>
    <row r="5928" spans="12:13" x14ac:dyDescent="0.2">
      <c r="L5928" s="5"/>
      <c r="M5928" s="5"/>
    </row>
    <row r="5929" spans="12:13" x14ac:dyDescent="0.2">
      <c r="L5929" s="5"/>
      <c r="M5929" s="5"/>
    </row>
    <row r="5930" spans="12:13" x14ac:dyDescent="0.2">
      <c r="L5930" s="5"/>
      <c r="M5930" s="5"/>
    </row>
    <row r="5931" spans="12:13" x14ac:dyDescent="0.2">
      <c r="L5931" s="5"/>
      <c r="M5931" s="5"/>
    </row>
    <row r="5932" spans="12:13" x14ac:dyDescent="0.2">
      <c r="L5932" s="5"/>
      <c r="M5932" s="5"/>
    </row>
    <row r="5933" spans="12:13" x14ac:dyDescent="0.2">
      <c r="L5933" s="5"/>
      <c r="M5933" s="5"/>
    </row>
    <row r="5934" spans="12:13" x14ac:dyDescent="0.2">
      <c r="L5934" s="5"/>
      <c r="M5934" s="5"/>
    </row>
    <row r="5935" spans="12:13" x14ac:dyDescent="0.2">
      <c r="L5935" s="5"/>
      <c r="M5935" s="5"/>
    </row>
    <row r="5936" spans="12:13" x14ac:dyDescent="0.2">
      <c r="L5936" s="5"/>
      <c r="M5936" s="5"/>
    </row>
    <row r="5937" spans="12:13" x14ac:dyDescent="0.2">
      <c r="L5937" s="5"/>
      <c r="M5937" s="5"/>
    </row>
    <row r="5938" spans="12:13" x14ac:dyDescent="0.2">
      <c r="L5938" s="5"/>
      <c r="M5938" s="5"/>
    </row>
    <row r="5939" spans="12:13" x14ac:dyDescent="0.2">
      <c r="L5939" s="5"/>
      <c r="M5939" s="5"/>
    </row>
    <row r="5940" spans="12:13" x14ac:dyDescent="0.2">
      <c r="L5940" s="5"/>
      <c r="M5940" s="5"/>
    </row>
    <row r="5941" spans="12:13" x14ac:dyDescent="0.2">
      <c r="L5941" s="5"/>
      <c r="M5941" s="5"/>
    </row>
    <row r="5942" spans="12:13" x14ac:dyDescent="0.2">
      <c r="L5942" s="5"/>
      <c r="M5942" s="5"/>
    </row>
    <row r="5943" spans="12:13" x14ac:dyDescent="0.2">
      <c r="L5943" s="5"/>
      <c r="M5943" s="5"/>
    </row>
    <row r="5944" spans="12:13" x14ac:dyDescent="0.2">
      <c r="L5944" s="5"/>
      <c r="M5944" s="5"/>
    </row>
    <row r="5945" spans="12:13" x14ac:dyDescent="0.2">
      <c r="L5945" s="5"/>
      <c r="M5945" s="5"/>
    </row>
    <row r="5946" spans="12:13" x14ac:dyDescent="0.2">
      <c r="L5946" s="5"/>
      <c r="M5946" s="5"/>
    </row>
    <row r="5947" spans="12:13" x14ac:dyDescent="0.2">
      <c r="L5947" s="5"/>
      <c r="M5947" s="5"/>
    </row>
    <row r="5948" spans="12:13" x14ac:dyDescent="0.2">
      <c r="L5948" s="5"/>
      <c r="M5948" s="5"/>
    </row>
    <row r="5949" spans="12:13" x14ac:dyDescent="0.2">
      <c r="L5949" s="5"/>
      <c r="M5949" s="5"/>
    </row>
    <row r="5950" spans="12:13" x14ac:dyDescent="0.2">
      <c r="L5950" s="5"/>
      <c r="M5950" s="5"/>
    </row>
    <row r="5951" spans="12:13" x14ac:dyDescent="0.2">
      <c r="L5951" s="5"/>
      <c r="M5951" s="5"/>
    </row>
    <row r="5952" spans="12:13" x14ac:dyDescent="0.2">
      <c r="L5952" s="5"/>
      <c r="M5952" s="5"/>
    </row>
    <row r="5953" spans="12:13" x14ac:dyDescent="0.2">
      <c r="L5953" s="5"/>
      <c r="M5953" s="5"/>
    </row>
    <row r="5954" spans="12:13" x14ac:dyDescent="0.2">
      <c r="L5954" s="5"/>
      <c r="M5954" s="5"/>
    </row>
    <row r="5955" spans="12:13" x14ac:dyDescent="0.2">
      <c r="L5955" s="5"/>
      <c r="M5955" s="5"/>
    </row>
    <row r="5956" spans="12:13" x14ac:dyDescent="0.2">
      <c r="L5956" s="5"/>
      <c r="M5956" s="5"/>
    </row>
    <row r="5957" spans="12:13" x14ac:dyDescent="0.2">
      <c r="L5957" s="5"/>
      <c r="M5957" s="5"/>
    </row>
    <row r="5958" spans="12:13" x14ac:dyDescent="0.2">
      <c r="L5958" s="5"/>
      <c r="M5958" s="5"/>
    </row>
    <row r="5959" spans="12:13" x14ac:dyDescent="0.2">
      <c r="L5959" s="5"/>
      <c r="M5959" s="5"/>
    </row>
    <row r="5960" spans="12:13" x14ac:dyDescent="0.2">
      <c r="L5960" s="5"/>
      <c r="M5960" s="5"/>
    </row>
    <row r="5961" spans="12:13" x14ac:dyDescent="0.2">
      <c r="L5961" s="5"/>
      <c r="M5961" s="5"/>
    </row>
    <row r="5962" spans="12:13" x14ac:dyDescent="0.2">
      <c r="L5962" s="5"/>
      <c r="M5962" s="5"/>
    </row>
    <row r="5963" spans="12:13" x14ac:dyDescent="0.2">
      <c r="L5963" s="5"/>
      <c r="M5963" s="5"/>
    </row>
    <row r="5964" spans="12:13" x14ac:dyDescent="0.2">
      <c r="L5964" s="5"/>
      <c r="M5964" s="5"/>
    </row>
    <row r="5965" spans="12:13" x14ac:dyDescent="0.2">
      <c r="L5965" s="5"/>
      <c r="M5965" s="5"/>
    </row>
    <row r="5966" spans="12:13" x14ac:dyDescent="0.2">
      <c r="L5966" s="5"/>
      <c r="M5966" s="5"/>
    </row>
    <row r="5967" spans="12:13" x14ac:dyDescent="0.2">
      <c r="L5967" s="5"/>
      <c r="M5967" s="5"/>
    </row>
    <row r="5968" spans="12:13" x14ac:dyDescent="0.2">
      <c r="L5968" s="5"/>
      <c r="M5968" s="5"/>
    </row>
    <row r="5969" spans="12:13" x14ac:dyDescent="0.2">
      <c r="L5969" s="5"/>
      <c r="M5969" s="5"/>
    </row>
    <row r="5970" spans="12:13" x14ac:dyDescent="0.2">
      <c r="L5970" s="5"/>
      <c r="M5970" s="5"/>
    </row>
    <row r="5971" spans="12:13" x14ac:dyDescent="0.2">
      <c r="L5971" s="5"/>
      <c r="M5971" s="5"/>
    </row>
    <row r="5972" spans="12:13" x14ac:dyDescent="0.2">
      <c r="L5972" s="5"/>
      <c r="M5972" s="5"/>
    </row>
    <row r="5973" spans="12:13" x14ac:dyDescent="0.2">
      <c r="L5973" s="5"/>
      <c r="M5973" s="5"/>
    </row>
    <row r="5974" spans="12:13" x14ac:dyDescent="0.2">
      <c r="L5974" s="5"/>
      <c r="M5974" s="5"/>
    </row>
    <row r="5975" spans="12:13" x14ac:dyDescent="0.2">
      <c r="L5975" s="5"/>
      <c r="M5975" s="5"/>
    </row>
    <row r="5976" spans="12:13" x14ac:dyDescent="0.2">
      <c r="L5976" s="5"/>
      <c r="M5976" s="5"/>
    </row>
    <row r="5977" spans="12:13" x14ac:dyDescent="0.2">
      <c r="L5977" s="5"/>
      <c r="M5977" s="5"/>
    </row>
    <row r="5978" spans="12:13" x14ac:dyDescent="0.2">
      <c r="L5978" s="5"/>
      <c r="M5978" s="5"/>
    </row>
    <row r="5979" spans="12:13" x14ac:dyDescent="0.2">
      <c r="L5979" s="5"/>
      <c r="M5979" s="5"/>
    </row>
    <row r="5980" spans="12:13" x14ac:dyDescent="0.2">
      <c r="L5980" s="5"/>
      <c r="M5980" s="5"/>
    </row>
    <row r="5981" spans="12:13" x14ac:dyDescent="0.2">
      <c r="L5981" s="5"/>
      <c r="M5981" s="5"/>
    </row>
    <row r="5982" spans="12:13" x14ac:dyDescent="0.2">
      <c r="L5982" s="5"/>
      <c r="M5982" s="5"/>
    </row>
    <row r="5983" spans="12:13" x14ac:dyDescent="0.2">
      <c r="L5983" s="5"/>
      <c r="M5983" s="5"/>
    </row>
    <row r="5984" spans="12:13" x14ac:dyDescent="0.2">
      <c r="L5984" s="5"/>
      <c r="M5984" s="5"/>
    </row>
    <row r="5985" spans="12:13" x14ac:dyDescent="0.2">
      <c r="L5985" s="5"/>
      <c r="M5985" s="5"/>
    </row>
    <row r="5986" spans="12:13" x14ac:dyDescent="0.2">
      <c r="L5986" s="5"/>
      <c r="M5986" s="5"/>
    </row>
    <row r="5987" spans="12:13" x14ac:dyDescent="0.2">
      <c r="L5987" s="5"/>
      <c r="M5987" s="5"/>
    </row>
    <row r="5988" spans="12:13" x14ac:dyDescent="0.2">
      <c r="L5988" s="5"/>
      <c r="M5988" s="5"/>
    </row>
    <row r="5989" spans="12:13" x14ac:dyDescent="0.2">
      <c r="L5989" s="5"/>
      <c r="M5989" s="5"/>
    </row>
    <row r="5990" spans="12:13" x14ac:dyDescent="0.2">
      <c r="L5990" s="5"/>
      <c r="M5990" s="5"/>
    </row>
    <row r="5991" spans="12:13" x14ac:dyDescent="0.2">
      <c r="L5991" s="5"/>
      <c r="M5991" s="5"/>
    </row>
    <row r="5992" spans="12:13" x14ac:dyDescent="0.2">
      <c r="L5992" s="5"/>
      <c r="M5992" s="5"/>
    </row>
    <row r="5993" spans="12:13" x14ac:dyDescent="0.2">
      <c r="L5993" s="5"/>
      <c r="M5993" s="5"/>
    </row>
    <row r="5994" spans="12:13" x14ac:dyDescent="0.2">
      <c r="L5994" s="5"/>
      <c r="M5994" s="5"/>
    </row>
    <row r="5995" spans="12:13" x14ac:dyDescent="0.2">
      <c r="L5995" s="5"/>
      <c r="M5995" s="5"/>
    </row>
    <row r="5996" spans="12:13" x14ac:dyDescent="0.2">
      <c r="L5996" s="5"/>
      <c r="M5996" s="5"/>
    </row>
    <row r="5997" spans="12:13" x14ac:dyDescent="0.2">
      <c r="L5997" s="5"/>
      <c r="M5997" s="5"/>
    </row>
    <row r="5998" spans="12:13" x14ac:dyDescent="0.2">
      <c r="L5998" s="5"/>
      <c r="M5998" s="5"/>
    </row>
    <row r="5999" spans="12:13" x14ac:dyDescent="0.2">
      <c r="L5999" s="5"/>
      <c r="M5999" s="5"/>
    </row>
    <row r="6000" spans="12:13" x14ac:dyDescent="0.2">
      <c r="L6000" s="5"/>
      <c r="M6000" s="5"/>
    </row>
    <row r="6001" spans="12:13" x14ac:dyDescent="0.2">
      <c r="L6001" s="5"/>
      <c r="M6001" s="5"/>
    </row>
    <row r="6002" spans="12:13" x14ac:dyDescent="0.2">
      <c r="L6002" s="5"/>
      <c r="M6002" s="5"/>
    </row>
    <row r="6003" spans="12:13" x14ac:dyDescent="0.2">
      <c r="L6003" s="5"/>
      <c r="M6003" s="5"/>
    </row>
    <row r="6004" spans="12:13" x14ac:dyDescent="0.2">
      <c r="L6004" s="5"/>
      <c r="M6004" s="5"/>
    </row>
    <row r="6005" spans="12:13" x14ac:dyDescent="0.2">
      <c r="L6005" s="5"/>
      <c r="M6005" s="5"/>
    </row>
    <row r="6006" spans="12:13" x14ac:dyDescent="0.2">
      <c r="L6006" s="5"/>
      <c r="M6006" s="5"/>
    </row>
    <row r="6007" spans="12:13" x14ac:dyDescent="0.2">
      <c r="L6007" s="5"/>
      <c r="M6007" s="5"/>
    </row>
    <row r="6008" spans="12:13" x14ac:dyDescent="0.2">
      <c r="L6008" s="5"/>
      <c r="M6008" s="5"/>
    </row>
    <row r="6009" spans="12:13" x14ac:dyDescent="0.2">
      <c r="L6009" s="5"/>
      <c r="M6009" s="5"/>
    </row>
    <row r="6010" spans="12:13" x14ac:dyDescent="0.2">
      <c r="L6010" s="5"/>
      <c r="M6010" s="5"/>
    </row>
    <row r="6011" spans="12:13" x14ac:dyDescent="0.2">
      <c r="L6011" s="5"/>
      <c r="M6011" s="5"/>
    </row>
    <row r="6012" spans="12:13" x14ac:dyDescent="0.2">
      <c r="L6012" s="5"/>
      <c r="M6012" s="5"/>
    </row>
    <row r="6013" spans="12:13" x14ac:dyDescent="0.2">
      <c r="L6013" s="5"/>
      <c r="M6013" s="5"/>
    </row>
    <row r="6014" spans="12:13" x14ac:dyDescent="0.2">
      <c r="L6014" s="5"/>
      <c r="M6014" s="5"/>
    </row>
    <row r="6015" spans="12:13" x14ac:dyDescent="0.2">
      <c r="L6015" s="5"/>
      <c r="M6015" s="5"/>
    </row>
    <row r="6016" spans="12:13" x14ac:dyDescent="0.2">
      <c r="L6016" s="5"/>
      <c r="M6016" s="5"/>
    </row>
    <row r="6017" spans="12:13" x14ac:dyDescent="0.2">
      <c r="L6017" s="5"/>
      <c r="M6017" s="5"/>
    </row>
    <row r="6018" spans="12:13" x14ac:dyDescent="0.2">
      <c r="L6018" s="5"/>
      <c r="M6018" s="5"/>
    </row>
    <row r="6019" spans="12:13" x14ac:dyDescent="0.2">
      <c r="L6019" s="5"/>
      <c r="M6019" s="5"/>
    </row>
    <row r="6020" spans="12:13" x14ac:dyDescent="0.2">
      <c r="L6020" s="5"/>
      <c r="M6020" s="5"/>
    </row>
    <row r="6021" spans="12:13" x14ac:dyDescent="0.2">
      <c r="L6021" s="5"/>
      <c r="M6021" s="5"/>
    </row>
    <row r="6022" spans="12:13" x14ac:dyDescent="0.2">
      <c r="L6022" s="5"/>
      <c r="M6022" s="5"/>
    </row>
    <row r="6023" spans="12:13" x14ac:dyDescent="0.2">
      <c r="L6023" s="5"/>
      <c r="M6023" s="5"/>
    </row>
    <row r="6024" spans="12:13" x14ac:dyDescent="0.2">
      <c r="L6024" s="5"/>
      <c r="M6024" s="5"/>
    </row>
    <row r="6025" spans="12:13" x14ac:dyDescent="0.2">
      <c r="L6025" s="5"/>
      <c r="M6025" s="5"/>
    </row>
    <row r="6026" spans="12:13" x14ac:dyDescent="0.2">
      <c r="L6026" s="5"/>
      <c r="M6026" s="5"/>
    </row>
    <row r="6027" spans="12:13" x14ac:dyDescent="0.2">
      <c r="L6027" s="5"/>
      <c r="M6027" s="5"/>
    </row>
    <row r="6028" spans="12:13" x14ac:dyDescent="0.2">
      <c r="L6028" s="5"/>
      <c r="M6028" s="5"/>
    </row>
    <row r="6029" spans="12:13" x14ac:dyDescent="0.2">
      <c r="L6029" s="5"/>
      <c r="M6029" s="5"/>
    </row>
    <row r="6030" spans="12:13" x14ac:dyDescent="0.2">
      <c r="L6030" s="5"/>
      <c r="M6030" s="5"/>
    </row>
    <row r="6031" spans="12:13" x14ac:dyDescent="0.2">
      <c r="L6031" s="5"/>
      <c r="M6031" s="5"/>
    </row>
    <row r="6032" spans="12:13" x14ac:dyDescent="0.2">
      <c r="L6032" s="5"/>
      <c r="M6032" s="5"/>
    </row>
    <row r="6033" spans="12:13" x14ac:dyDescent="0.2">
      <c r="L6033" s="5"/>
      <c r="M6033" s="5"/>
    </row>
    <row r="6034" spans="12:13" x14ac:dyDescent="0.2">
      <c r="L6034" s="5"/>
      <c r="M6034" s="5"/>
    </row>
    <row r="6035" spans="12:13" x14ac:dyDescent="0.2">
      <c r="L6035" s="5"/>
      <c r="M6035" s="5"/>
    </row>
    <row r="6036" spans="12:13" x14ac:dyDescent="0.2">
      <c r="L6036" s="5"/>
      <c r="M6036" s="5"/>
    </row>
    <row r="6037" spans="12:13" x14ac:dyDescent="0.2">
      <c r="L6037" s="5"/>
      <c r="M6037" s="5"/>
    </row>
    <row r="6038" spans="12:13" x14ac:dyDescent="0.2">
      <c r="L6038" s="5"/>
      <c r="M6038" s="5"/>
    </row>
    <row r="6039" spans="12:13" x14ac:dyDescent="0.2">
      <c r="L6039" s="5"/>
      <c r="M6039" s="5"/>
    </row>
    <row r="6040" spans="12:13" x14ac:dyDescent="0.2">
      <c r="L6040" s="5"/>
      <c r="M6040" s="5"/>
    </row>
    <row r="6041" spans="12:13" x14ac:dyDescent="0.2">
      <c r="L6041" s="5"/>
      <c r="M6041" s="5"/>
    </row>
    <row r="6042" spans="12:13" x14ac:dyDescent="0.2">
      <c r="L6042" s="5"/>
      <c r="M6042" s="5"/>
    </row>
    <row r="6043" spans="12:13" x14ac:dyDescent="0.2">
      <c r="L6043" s="5"/>
      <c r="M6043" s="5"/>
    </row>
    <row r="6044" spans="12:13" x14ac:dyDescent="0.2">
      <c r="L6044" s="5"/>
      <c r="M6044" s="5"/>
    </row>
    <row r="6045" spans="12:13" x14ac:dyDescent="0.2">
      <c r="L6045" s="5"/>
      <c r="M6045" s="5"/>
    </row>
    <row r="6046" spans="12:13" x14ac:dyDescent="0.2">
      <c r="L6046" s="5"/>
      <c r="M6046" s="5"/>
    </row>
    <row r="6047" spans="12:13" x14ac:dyDescent="0.2">
      <c r="L6047" s="5"/>
      <c r="M6047" s="5"/>
    </row>
    <row r="6048" spans="12:13" x14ac:dyDescent="0.2">
      <c r="L6048" s="5"/>
      <c r="M6048" s="5"/>
    </row>
    <row r="6049" spans="12:13" x14ac:dyDescent="0.2">
      <c r="L6049" s="5"/>
      <c r="M6049" s="5"/>
    </row>
    <row r="6050" spans="12:13" x14ac:dyDescent="0.2">
      <c r="L6050" s="5"/>
      <c r="M6050" s="5"/>
    </row>
    <row r="6051" spans="12:13" x14ac:dyDescent="0.2">
      <c r="L6051" s="5"/>
      <c r="M6051" s="5"/>
    </row>
    <row r="6052" spans="12:13" x14ac:dyDescent="0.2">
      <c r="L6052" s="5"/>
      <c r="M6052" s="5"/>
    </row>
    <row r="6053" spans="12:13" x14ac:dyDescent="0.2">
      <c r="L6053" s="5"/>
      <c r="M6053" s="5"/>
    </row>
    <row r="6054" spans="12:13" x14ac:dyDescent="0.2">
      <c r="L6054" s="5"/>
      <c r="M6054" s="5"/>
    </row>
    <row r="6055" spans="12:13" x14ac:dyDescent="0.2">
      <c r="L6055" s="5"/>
      <c r="M6055" s="5"/>
    </row>
    <row r="6056" spans="12:13" x14ac:dyDescent="0.2">
      <c r="L6056" s="5"/>
      <c r="M6056" s="5"/>
    </row>
    <row r="6057" spans="12:13" x14ac:dyDescent="0.2">
      <c r="L6057" s="5"/>
      <c r="M6057" s="5"/>
    </row>
    <row r="6058" spans="12:13" x14ac:dyDescent="0.2">
      <c r="L6058" s="5"/>
      <c r="M6058" s="5"/>
    </row>
    <row r="6059" spans="12:13" x14ac:dyDescent="0.2">
      <c r="L6059" s="5"/>
      <c r="M6059" s="5"/>
    </row>
    <row r="6060" spans="12:13" x14ac:dyDescent="0.2">
      <c r="L6060" s="5"/>
      <c r="M6060" s="5"/>
    </row>
    <row r="6061" spans="12:13" x14ac:dyDescent="0.2">
      <c r="L6061" s="5"/>
      <c r="M6061" s="5"/>
    </row>
    <row r="6062" spans="12:13" x14ac:dyDescent="0.2">
      <c r="L6062" s="5"/>
      <c r="M6062" s="5"/>
    </row>
    <row r="6063" spans="12:13" x14ac:dyDescent="0.2">
      <c r="L6063" s="5"/>
      <c r="M6063" s="5"/>
    </row>
    <row r="6064" spans="12:13" x14ac:dyDescent="0.2">
      <c r="L6064" s="5"/>
      <c r="M6064" s="5"/>
    </row>
    <row r="6065" spans="12:13" x14ac:dyDescent="0.2">
      <c r="L6065" s="5"/>
      <c r="M6065" s="5"/>
    </row>
    <row r="6066" spans="12:13" x14ac:dyDescent="0.2">
      <c r="L6066" s="5"/>
      <c r="M6066" s="5"/>
    </row>
    <row r="6067" spans="12:13" x14ac:dyDescent="0.2">
      <c r="L6067" s="5"/>
      <c r="M6067" s="5"/>
    </row>
    <row r="6068" spans="12:13" x14ac:dyDescent="0.2">
      <c r="L6068" s="5"/>
      <c r="M6068" s="5"/>
    </row>
    <row r="6069" spans="12:13" x14ac:dyDescent="0.2">
      <c r="L6069" s="5"/>
      <c r="M6069" s="5"/>
    </row>
    <row r="6070" spans="12:13" x14ac:dyDescent="0.2">
      <c r="L6070" s="5"/>
      <c r="M6070" s="5"/>
    </row>
    <row r="6071" spans="12:13" x14ac:dyDescent="0.2">
      <c r="L6071" s="5"/>
      <c r="M6071" s="5"/>
    </row>
    <row r="6072" spans="12:13" x14ac:dyDescent="0.2">
      <c r="L6072" s="5"/>
      <c r="M6072" s="5"/>
    </row>
    <row r="6073" spans="12:13" x14ac:dyDescent="0.2">
      <c r="L6073" s="5"/>
      <c r="M6073" s="5"/>
    </row>
    <row r="6074" spans="12:13" x14ac:dyDescent="0.2">
      <c r="L6074" s="5"/>
      <c r="M6074" s="5"/>
    </row>
    <row r="6075" spans="12:13" x14ac:dyDescent="0.2">
      <c r="L6075" s="5"/>
      <c r="M6075" s="5"/>
    </row>
    <row r="6076" spans="12:13" x14ac:dyDescent="0.2">
      <c r="L6076" s="5"/>
      <c r="M6076" s="5"/>
    </row>
    <row r="6077" spans="12:13" x14ac:dyDescent="0.2">
      <c r="L6077" s="5"/>
      <c r="M6077" s="5"/>
    </row>
    <row r="6078" spans="12:13" x14ac:dyDescent="0.2">
      <c r="L6078" s="5"/>
      <c r="M6078" s="5"/>
    </row>
    <row r="6079" spans="12:13" x14ac:dyDescent="0.2">
      <c r="L6079" s="5"/>
      <c r="M6079" s="5"/>
    </row>
    <row r="6080" spans="12:13" x14ac:dyDescent="0.2">
      <c r="L6080" s="5"/>
      <c r="M6080" s="5"/>
    </row>
    <row r="6081" spans="12:13" x14ac:dyDescent="0.2">
      <c r="L6081" s="5"/>
      <c r="M6081" s="5"/>
    </row>
    <row r="6082" spans="12:13" x14ac:dyDescent="0.2">
      <c r="L6082" s="5"/>
      <c r="M6082" s="5"/>
    </row>
    <row r="6083" spans="12:13" x14ac:dyDescent="0.2">
      <c r="L6083" s="5"/>
      <c r="M6083" s="5"/>
    </row>
    <row r="6084" spans="12:13" x14ac:dyDescent="0.2">
      <c r="L6084" s="5"/>
      <c r="M6084" s="5"/>
    </row>
    <row r="6085" spans="12:13" x14ac:dyDescent="0.2">
      <c r="L6085" s="5"/>
      <c r="M6085" s="5"/>
    </row>
    <row r="6086" spans="12:13" x14ac:dyDescent="0.2">
      <c r="L6086" s="5"/>
      <c r="M6086" s="5"/>
    </row>
    <row r="6087" spans="12:13" x14ac:dyDescent="0.2">
      <c r="L6087" s="5"/>
      <c r="M6087" s="5"/>
    </row>
    <row r="6088" spans="12:13" x14ac:dyDescent="0.2">
      <c r="L6088" s="5"/>
      <c r="M6088" s="5"/>
    </row>
    <row r="6089" spans="12:13" x14ac:dyDescent="0.2">
      <c r="L6089" s="5"/>
      <c r="M6089" s="5"/>
    </row>
    <row r="6090" spans="12:13" x14ac:dyDescent="0.2">
      <c r="L6090" s="5"/>
      <c r="M6090" s="5"/>
    </row>
    <row r="6091" spans="12:13" x14ac:dyDescent="0.2">
      <c r="L6091" s="5"/>
      <c r="M6091" s="5"/>
    </row>
    <row r="6092" spans="12:13" x14ac:dyDescent="0.2">
      <c r="L6092" s="5"/>
      <c r="M6092" s="5"/>
    </row>
    <row r="6093" spans="12:13" x14ac:dyDescent="0.2">
      <c r="L6093" s="5"/>
      <c r="M6093" s="5"/>
    </row>
    <row r="6094" spans="12:13" x14ac:dyDescent="0.2">
      <c r="L6094" s="5"/>
      <c r="M6094" s="5"/>
    </row>
    <row r="6095" spans="12:13" x14ac:dyDescent="0.2">
      <c r="L6095" s="5"/>
      <c r="M6095" s="5"/>
    </row>
    <row r="6096" spans="12:13" x14ac:dyDescent="0.2">
      <c r="L6096" s="5"/>
      <c r="M6096" s="5"/>
    </row>
    <row r="6097" spans="12:13" x14ac:dyDescent="0.2">
      <c r="L6097" s="5"/>
      <c r="M6097" s="5"/>
    </row>
    <row r="6098" spans="12:13" x14ac:dyDescent="0.2">
      <c r="L6098" s="5"/>
      <c r="M6098" s="5"/>
    </row>
    <row r="6099" spans="12:13" x14ac:dyDescent="0.2">
      <c r="L6099" s="5"/>
      <c r="M6099" s="5"/>
    </row>
    <row r="6100" spans="12:13" x14ac:dyDescent="0.2">
      <c r="L6100" s="5"/>
      <c r="M6100" s="5"/>
    </row>
    <row r="6101" spans="12:13" x14ac:dyDescent="0.2">
      <c r="L6101" s="5"/>
      <c r="M6101" s="5"/>
    </row>
    <row r="6102" spans="12:13" x14ac:dyDescent="0.2">
      <c r="L6102" s="5"/>
      <c r="M6102" s="5"/>
    </row>
    <row r="6103" spans="12:13" x14ac:dyDescent="0.2">
      <c r="L6103" s="5"/>
      <c r="M6103" s="5"/>
    </row>
    <row r="6104" spans="12:13" x14ac:dyDescent="0.2">
      <c r="L6104" s="5"/>
      <c r="M6104" s="5"/>
    </row>
    <row r="6105" spans="12:13" x14ac:dyDescent="0.2">
      <c r="L6105" s="5"/>
      <c r="M6105" s="5"/>
    </row>
    <row r="6106" spans="12:13" x14ac:dyDescent="0.2">
      <c r="L6106" s="5"/>
      <c r="M6106" s="5"/>
    </row>
    <row r="6107" spans="12:13" x14ac:dyDescent="0.2">
      <c r="L6107" s="5"/>
      <c r="M6107" s="5"/>
    </row>
    <row r="6108" spans="12:13" x14ac:dyDescent="0.2">
      <c r="L6108" s="5"/>
      <c r="M6108" s="5"/>
    </row>
    <row r="6109" spans="12:13" x14ac:dyDescent="0.2">
      <c r="L6109" s="5"/>
      <c r="M6109" s="5"/>
    </row>
    <row r="6110" spans="12:13" x14ac:dyDescent="0.2">
      <c r="L6110" s="5"/>
      <c r="M6110" s="5"/>
    </row>
    <row r="6111" spans="12:13" x14ac:dyDescent="0.2">
      <c r="L6111" s="5"/>
      <c r="M6111" s="5"/>
    </row>
    <row r="6112" spans="12:13" x14ac:dyDescent="0.2">
      <c r="L6112" s="5"/>
      <c r="M6112" s="5"/>
    </row>
    <row r="6113" spans="12:13" x14ac:dyDescent="0.2">
      <c r="L6113" s="5"/>
      <c r="M6113" s="5"/>
    </row>
    <row r="6114" spans="12:13" x14ac:dyDescent="0.2">
      <c r="L6114" s="5"/>
      <c r="M6114" s="5"/>
    </row>
    <row r="6115" spans="12:13" x14ac:dyDescent="0.2">
      <c r="L6115" s="5"/>
      <c r="M6115" s="5"/>
    </row>
    <row r="6116" spans="12:13" x14ac:dyDescent="0.2">
      <c r="L6116" s="5"/>
      <c r="M6116" s="5"/>
    </row>
    <row r="6117" spans="12:13" x14ac:dyDescent="0.2">
      <c r="L6117" s="5"/>
      <c r="M6117" s="5"/>
    </row>
    <row r="6118" spans="12:13" x14ac:dyDescent="0.2">
      <c r="L6118" s="5"/>
      <c r="M6118" s="5"/>
    </row>
    <row r="6119" spans="12:13" x14ac:dyDescent="0.2">
      <c r="L6119" s="5"/>
      <c r="M6119" s="5"/>
    </row>
    <row r="6120" spans="12:13" x14ac:dyDescent="0.2">
      <c r="L6120" s="5"/>
      <c r="M6120" s="5"/>
    </row>
    <row r="6121" spans="12:13" x14ac:dyDescent="0.2">
      <c r="L6121" s="5"/>
      <c r="M6121" s="5"/>
    </row>
    <row r="6122" spans="12:13" x14ac:dyDescent="0.2">
      <c r="L6122" s="5"/>
      <c r="M6122" s="5"/>
    </row>
    <row r="6123" spans="12:13" x14ac:dyDescent="0.2">
      <c r="L6123" s="5"/>
      <c r="M6123" s="5"/>
    </row>
    <row r="6124" spans="12:13" x14ac:dyDescent="0.2">
      <c r="L6124" s="5"/>
      <c r="M6124" s="5"/>
    </row>
    <row r="6125" spans="12:13" x14ac:dyDescent="0.2">
      <c r="L6125" s="5"/>
      <c r="M6125" s="5"/>
    </row>
    <row r="6126" spans="12:13" x14ac:dyDescent="0.2">
      <c r="L6126" s="5"/>
      <c r="M6126" s="5"/>
    </row>
    <row r="6127" spans="12:13" x14ac:dyDescent="0.2">
      <c r="L6127" s="5"/>
      <c r="M6127" s="5"/>
    </row>
    <row r="6128" spans="12:13" x14ac:dyDescent="0.2">
      <c r="L6128" s="5"/>
      <c r="M6128" s="5"/>
    </row>
    <row r="6129" spans="12:13" x14ac:dyDescent="0.2">
      <c r="L6129" s="5"/>
      <c r="M6129" s="5"/>
    </row>
    <row r="6130" spans="12:13" x14ac:dyDescent="0.2">
      <c r="L6130" s="5"/>
      <c r="M6130" s="5"/>
    </row>
    <row r="6131" spans="12:13" x14ac:dyDescent="0.2">
      <c r="L6131" s="5"/>
      <c r="M6131" s="5"/>
    </row>
    <row r="6132" spans="12:13" x14ac:dyDescent="0.2">
      <c r="L6132" s="5"/>
      <c r="M6132" s="5"/>
    </row>
    <row r="6133" spans="12:13" x14ac:dyDescent="0.2">
      <c r="L6133" s="5"/>
      <c r="M6133" s="5"/>
    </row>
    <row r="6134" spans="12:13" x14ac:dyDescent="0.2">
      <c r="L6134" s="5"/>
      <c r="M6134" s="5"/>
    </row>
    <row r="6135" spans="12:13" x14ac:dyDescent="0.2">
      <c r="L6135" s="5"/>
      <c r="M6135" s="5"/>
    </row>
    <row r="6136" spans="12:13" x14ac:dyDescent="0.2">
      <c r="L6136" s="5"/>
      <c r="M6136" s="5"/>
    </row>
    <row r="6137" spans="12:13" x14ac:dyDescent="0.2">
      <c r="L6137" s="5"/>
      <c r="M6137" s="5"/>
    </row>
    <row r="6138" spans="12:13" x14ac:dyDescent="0.2">
      <c r="L6138" s="5"/>
      <c r="M6138" s="5"/>
    </row>
    <row r="6139" spans="12:13" x14ac:dyDescent="0.2">
      <c r="L6139" s="5"/>
      <c r="M6139" s="5"/>
    </row>
    <row r="6140" spans="12:13" x14ac:dyDescent="0.2">
      <c r="L6140" s="5"/>
      <c r="M6140" s="5"/>
    </row>
    <row r="6141" spans="12:13" x14ac:dyDescent="0.2">
      <c r="L6141" s="5"/>
      <c r="M6141" s="5"/>
    </row>
    <row r="6142" spans="12:13" x14ac:dyDescent="0.2">
      <c r="L6142" s="5"/>
      <c r="M6142" s="5"/>
    </row>
    <row r="6143" spans="12:13" x14ac:dyDescent="0.2">
      <c r="L6143" s="5"/>
      <c r="M6143" s="5"/>
    </row>
    <row r="6144" spans="12:13" x14ac:dyDescent="0.2">
      <c r="L6144" s="5"/>
      <c r="M6144" s="5"/>
    </row>
    <row r="6145" spans="12:13" x14ac:dyDescent="0.2">
      <c r="L6145" s="5"/>
      <c r="M6145" s="5"/>
    </row>
    <row r="6146" spans="12:13" x14ac:dyDescent="0.2">
      <c r="L6146" s="5"/>
      <c r="M6146" s="5"/>
    </row>
    <row r="6147" spans="12:13" x14ac:dyDescent="0.2">
      <c r="L6147" s="5"/>
      <c r="M6147" s="5"/>
    </row>
    <row r="6148" spans="12:13" x14ac:dyDescent="0.2">
      <c r="L6148" s="5"/>
      <c r="M6148" s="5"/>
    </row>
    <row r="6149" spans="12:13" x14ac:dyDescent="0.2">
      <c r="L6149" s="5"/>
      <c r="M6149" s="5"/>
    </row>
    <row r="6150" spans="12:13" x14ac:dyDescent="0.2">
      <c r="L6150" s="5"/>
      <c r="M6150" s="5"/>
    </row>
    <row r="6151" spans="12:13" x14ac:dyDescent="0.2">
      <c r="L6151" s="5"/>
      <c r="M6151" s="5"/>
    </row>
    <row r="6152" spans="12:13" x14ac:dyDescent="0.2">
      <c r="L6152" s="5"/>
      <c r="M6152" s="5"/>
    </row>
    <row r="6153" spans="12:13" x14ac:dyDescent="0.2">
      <c r="L6153" s="5"/>
      <c r="M6153" s="5"/>
    </row>
    <row r="6154" spans="12:13" x14ac:dyDescent="0.2">
      <c r="L6154" s="5"/>
      <c r="M6154" s="5"/>
    </row>
    <row r="6155" spans="12:13" x14ac:dyDescent="0.2">
      <c r="L6155" s="5"/>
      <c r="M6155" s="5"/>
    </row>
    <row r="6156" spans="12:13" x14ac:dyDescent="0.2">
      <c r="L6156" s="5"/>
      <c r="M6156" s="5"/>
    </row>
    <row r="6157" spans="12:13" x14ac:dyDescent="0.2">
      <c r="L6157" s="5"/>
      <c r="M6157" s="5"/>
    </row>
    <row r="6158" spans="12:13" x14ac:dyDescent="0.2">
      <c r="L6158" s="5"/>
      <c r="M6158" s="5"/>
    </row>
    <row r="6159" spans="12:13" x14ac:dyDescent="0.2">
      <c r="L6159" s="5"/>
      <c r="M6159" s="5"/>
    </row>
    <row r="6160" spans="12:13" x14ac:dyDescent="0.2">
      <c r="L6160" s="5"/>
      <c r="M6160" s="5"/>
    </row>
    <row r="6161" spans="12:13" x14ac:dyDescent="0.2">
      <c r="L6161" s="5"/>
      <c r="M6161" s="5"/>
    </row>
    <row r="6162" spans="12:13" x14ac:dyDescent="0.2">
      <c r="L6162" s="5"/>
      <c r="M6162" s="5"/>
    </row>
    <row r="6163" spans="12:13" x14ac:dyDescent="0.2">
      <c r="L6163" s="5"/>
      <c r="M6163" s="5"/>
    </row>
    <row r="6164" spans="12:13" x14ac:dyDescent="0.2">
      <c r="L6164" s="5"/>
      <c r="M6164" s="5"/>
    </row>
    <row r="6165" spans="12:13" x14ac:dyDescent="0.2">
      <c r="L6165" s="5"/>
      <c r="M6165" s="5"/>
    </row>
    <row r="6166" spans="12:13" x14ac:dyDescent="0.2">
      <c r="L6166" s="5"/>
      <c r="M6166" s="5"/>
    </row>
    <row r="6167" spans="12:13" x14ac:dyDescent="0.2">
      <c r="L6167" s="5"/>
      <c r="M6167" s="5"/>
    </row>
    <row r="6168" spans="12:13" x14ac:dyDescent="0.2">
      <c r="L6168" s="5"/>
      <c r="M6168" s="5"/>
    </row>
    <row r="6169" spans="12:13" x14ac:dyDescent="0.2">
      <c r="L6169" s="5"/>
      <c r="M6169" s="5"/>
    </row>
    <row r="6170" spans="12:13" x14ac:dyDescent="0.2">
      <c r="L6170" s="5"/>
      <c r="M6170" s="5"/>
    </row>
    <row r="6171" spans="12:13" x14ac:dyDescent="0.2">
      <c r="L6171" s="5"/>
      <c r="M6171" s="5"/>
    </row>
    <row r="6172" spans="12:13" x14ac:dyDescent="0.2">
      <c r="L6172" s="5"/>
      <c r="M6172" s="5"/>
    </row>
    <row r="6173" spans="12:13" x14ac:dyDescent="0.2">
      <c r="L6173" s="5"/>
      <c r="M6173" s="5"/>
    </row>
    <row r="6174" spans="12:13" x14ac:dyDescent="0.2">
      <c r="L6174" s="5"/>
      <c r="M6174" s="5"/>
    </row>
    <row r="6175" spans="12:13" x14ac:dyDescent="0.2">
      <c r="L6175" s="5"/>
      <c r="M6175" s="5"/>
    </row>
    <row r="6176" spans="12:13" x14ac:dyDescent="0.2">
      <c r="L6176" s="5"/>
      <c r="M6176" s="5"/>
    </row>
    <row r="6177" spans="12:13" x14ac:dyDescent="0.2">
      <c r="L6177" s="5"/>
      <c r="M6177" s="5"/>
    </row>
    <row r="6178" spans="12:13" x14ac:dyDescent="0.2">
      <c r="L6178" s="5"/>
      <c r="M6178" s="5"/>
    </row>
    <row r="6179" spans="12:13" x14ac:dyDescent="0.2">
      <c r="L6179" s="5"/>
      <c r="M6179" s="5"/>
    </row>
    <row r="6180" spans="12:13" x14ac:dyDescent="0.2">
      <c r="L6180" s="5"/>
      <c r="M6180" s="5"/>
    </row>
    <row r="6181" spans="12:13" x14ac:dyDescent="0.2">
      <c r="L6181" s="5"/>
      <c r="M6181" s="5"/>
    </row>
    <row r="6182" spans="12:13" x14ac:dyDescent="0.2">
      <c r="L6182" s="5"/>
      <c r="M6182" s="5"/>
    </row>
    <row r="6183" spans="12:13" x14ac:dyDescent="0.2">
      <c r="L6183" s="5"/>
      <c r="M6183" s="5"/>
    </row>
    <row r="6184" spans="12:13" x14ac:dyDescent="0.2">
      <c r="L6184" s="5"/>
      <c r="M6184" s="5"/>
    </row>
    <row r="6185" spans="12:13" x14ac:dyDescent="0.2">
      <c r="L6185" s="5"/>
      <c r="M6185" s="5"/>
    </row>
    <row r="6186" spans="12:13" x14ac:dyDescent="0.2">
      <c r="L6186" s="5"/>
      <c r="M6186" s="5"/>
    </row>
    <row r="6187" spans="12:13" x14ac:dyDescent="0.2">
      <c r="L6187" s="5"/>
      <c r="M6187" s="5"/>
    </row>
    <row r="6188" spans="12:13" x14ac:dyDescent="0.2">
      <c r="L6188" s="5"/>
      <c r="M6188" s="5"/>
    </row>
    <row r="6189" spans="12:13" x14ac:dyDescent="0.2">
      <c r="L6189" s="5"/>
      <c r="M6189" s="5"/>
    </row>
    <row r="6190" spans="12:13" x14ac:dyDescent="0.2">
      <c r="L6190" s="5"/>
      <c r="M6190" s="5"/>
    </row>
    <row r="6191" spans="12:13" x14ac:dyDescent="0.2">
      <c r="L6191" s="5"/>
      <c r="M6191" s="5"/>
    </row>
    <row r="6192" spans="12:13" x14ac:dyDescent="0.2">
      <c r="L6192" s="5"/>
      <c r="M6192" s="5"/>
    </row>
    <row r="6193" spans="12:13" x14ac:dyDescent="0.2">
      <c r="L6193" s="5"/>
      <c r="M6193" s="5"/>
    </row>
    <row r="6194" spans="12:13" x14ac:dyDescent="0.2">
      <c r="L6194" s="5"/>
      <c r="M6194" s="5"/>
    </row>
    <row r="6195" spans="12:13" x14ac:dyDescent="0.2">
      <c r="L6195" s="5"/>
      <c r="M6195" s="5"/>
    </row>
    <row r="6196" spans="12:13" x14ac:dyDescent="0.2">
      <c r="L6196" s="5"/>
      <c r="M6196" s="5"/>
    </row>
    <row r="6197" spans="12:13" x14ac:dyDescent="0.2">
      <c r="L6197" s="5"/>
      <c r="M6197" s="5"/>
    </row>
    <row r="6198" spans="12:13" x14ac:dyDescent="0.2">
      <c r="L6198" s="5"/>
      <c r="M6198" s="5"/>
    </row>
    <row r="6199" spans="12:13" x14ac:dyDescent="0.2">
      <c r="L6199" s="5"/>
      <c r="M6199" s="5"/>
    </row>
    <row r="6200" spans="12:13" x14ac:dyDescent="0.2">
      <c r="L6200" s="5"/>
      <c r="M6200" s="5"/>
    </row>
    <row r="6201" spans="12:13" x14ac:dyDescent="0.2">
      <c r="L6201" s="5"/>
      <c r="M6201" s="5"/>
    </row>
    <row r="6202" spans="12:13" x14ac:dyDescent="0.2">
      <c r="L6202" s="5"/>
      <c r="M6202" s="5"/>
    </row>
    <row r="6203" spans="12:13" x14ac:dyDescent="0.2">
      <c r="L6203" s="5"/>
      <c r="M6203" s="5"/>
    </row>
    <row r="6204" spans="12:13" x14ac:dyDescent="0.2">
      <c r="L6204" s="5"/>
      <c r="M6204" s="5"/>
    </row>
    <row r="6205" spans="12:13" x14ac:dyDescent="0.2">
      <c r="L6205" s="5"/>
      <c r="M6205" s="5"/>
    </row>
    <row r="6206" spans="12:13" x14ac:dyDescent="0.2">
      <c r="L6206" s="5"/>
      <c r="M6206" s="5"/>
    </row>
    <row r="6207" spans="12:13" x14ac:dyDescent="0.2">
      <c r="L6207" s="5"/>
      <c r="M6207" s="5"/>
    </row>
    <row r="6208" spans="12:13" x14ac:dyDescent="0.2">
      <c r="L6208" s="5"/>
      <c r="M6208" s="5"/>
    </row>
    <row r="6209" spans="12:13" x14ac:dyDescent="0.2">
      <c r="L6209" s="5"/>
      <c r="M6209" s="5"/>
    </row>
    <row r="6210" spans="12:13" x14ac:dyDescent="0.2">
      <c r="L6210" s="5"/>
      <c r="M6210" s="5"/>
    </row>
    <row r="6211" spans="12:13" x14ac:dyDescent="0.2">
      <c r="L6211" s="5"/>
      <c r="M6211" s="5"/>
    </row>
    <row r="6212" spans="12:13" x14ac:dyDescent="0.2">
      <c r="L6212" s="5"/>
      <c r="M6212" s="5"/>
    </row>
    <row r="6213" spans="12:13" x14ac:dyDescent="0.2">
      <c r="L6213" s="5"/>
      <c r="M6213" s="5"/>
    </row>
    <row r="6214" spans="12:13" x14ac:dyDescent="0.2">
      <c r="L6214" s="5"/>
      <c r="M6214" s="5"/>
    </row>
    <row r="6215" spans="12:13" x14ac:dyDescent="0.2">
      <c r="L6215" s="5"/>
      <c r="M6215" s="5"/>
    </row>
    <row r="6216" spans="12:13" x14ac:dyDescent="0.2">
      <c r="L6216" s="5"/>
      <c r="M6216" s="5"/>
    </row>
    <row r="6217" spans="12:13" x14ac:dyDescent="0.2">
      <c r="L6217" s="5"/>
      <c r="M6217" s="5"/>
    </row>
    <row r="6218" spans="12:13" x14ac:dyDescent="0.2">
      <c r="L6218" s="5"/>
      <c r="M6218" s="5"/>
    </row>
    <row r="6219" spans="12:13" x14ac:dyDescent="0.2">
      <c r="L6219" s="5"/>
      <c r="M6219" s="5"/>
    </row>
    <row r="6220" spans="12:13" x14ac:dyDescent="0.2">
      <c r="L6220" s="5"/>
      <c r="M6220" s="5"/>
    </row>
    <row r="6221" spans="12:13" x14ac:dyDescent="0.2">
      <c r="L6221" s="5"/>
      <c r="M6221" s="5"/>
    </row>
    <row r="6222" spans="12:13" x14ac:dyDescent="0.2">
      <c r="L6222" s="5"/>
      <c r="M6222" s="5"/>
    </row>
    <row r="6223" spans="12:13" x14ac:dyDescent="0.2">
      <c r="L6223" s="5"/>
      <c r="M6223" s="5"/>
    </row>
    <row r="6224" spans="12:13" x14ac:dyDescent="0.2">
      <c r="L6224" s="5"/>
      <c r="M6224" s="5"/>
    </row>
    <row r="6225" spans="12:13" x14ac:dyDescent="0.2">
      <c r="L6225" s="5"/>
      <c r="M6225" s="5"/>
    </row>
    <row r="6226" spans="12:13" x14ac:dyDescent="0.2">
      <c r="L6226" s="5"/>
      <c r="M6226" s="5"/>
    </row>
    <row r="6227" spans="12:13" x14ac:dyDescent="0.2">
      <c r="L6227" s="5"/>
      <c r="M6227" s="5"/>
    </row>
    <row r="6228" spans="12:13" x14ac:dyDescent="0.2">
      <c r="L6228" s="5"/>
      <c r="M6228" s="5"/>
    </row>
    <row r="6229" spans="12:13" x14ac:dyDescent="0.2">
      <c r="L6229" s="5"/>
      <c r="M6229" s="5"/>
    </row>
    <row r="6230" spans="12:13" x14ac:dyDescent="0.2">
      <c r="L6230" s="5"/>
      <c r="M6230" s="5"/>
    </row>
    <row r="6231" spans="12:13" x14ac:dyDescent="0.2">
      <c r="L6231" s="5"/>
      <c r="M6231" s="5"/>
    </row>
    <row r="6232" spans="12:13" x14ac:dyDescent="0.2">
      <c r="L6232" s="5"/>
      <c r="M6232" s="5"/>
    </row>
    <row r="6233" spans="12:13" x14ac:dyDescent="0.2">
      <c r="L6233" s="5"/>
      <c r="M6233" s="5"/>
    </row>
    <row r="6234" spans="12:13" x14ac:dyDescent="0.2">
      <c r="L6234" s="5"/>
      <c r="M6234" s="5"/>
    </row>
    <row r="6235" spans="12:13" x14ac:dyDescent="0.2">
      <c r="L6235" s="5"/>
      <c r="M6235" s="5"/>
    </row>
    <row r="6236" spans="12:13" x14ac:dyDescent="0.2">
      <c r="L6236" s="5"/>
      <c r="M6236" s="5"/>
    </row>
    <row r="6237" spans="12:13" x14ac:dyDescent="0.2">
      <c r="L6237" s="5"/>
      <c r="M6237" s="5"/>
    </row>
    <row r="6238" spans="12:13" x14ac:dyDescent="0.2">
      <c r="L6238" s="5"/>
      <c r="M6238" s="5"/>
    </row>
    <row r="6239" spans="12:13" x14ac:dyDescent="0.2">
      <c r="L6239" s="5"/>
      <c r="M6239" s="5"/>
    </row>
    <row r="6240" spans="12:13" x14ac:dyDescent="0.2">
      <c r="L6240" s="5"/>
      <c r="M6240" s="5"/>
    </row>
    <row r="6241" spans="12:13" x14ac:dyDescent="0.2">
      <c r="L6241" s="5"/>
      <c r="M6241" s="5"/>
    </row>
    <row r="6242" spans="12:13" x14ac:dyDescent="0.2">
      <c r="L6242" s="5"/>
      <c r="M6242" s="5"/>
    </row>
    <row r="6243" spans="12:13" x14ac:dyDescent="0.2">
      <c r="L6243" s="5"/>
      <c r="M6243" s="5"/>
    </row>
    <row r="6244" spans="12:13" x14ac:dyDescent="0.2">
      <c r="L6244" s="5"/>
      <c r="M6244" s="5"/>
    </row>
    <row r="6245" spans="12:13" x14ac:dyDescent="0.2">
      <c r="L6245" s="5"/>
      <c r="M6245" s="5"/>
    </row>
    <row r="6246" spans="12:13" x14ac:dyDescent="0.2">
      <c r="L6246" s="5"/>
      <c r="M6246" s="5"/>
    </row>
    <row r="6247" spans="12:13" x14ac:dyDescent="0.2">
      <c r="L6247" s="5"/>
      <c r="M6247" s="5"/>
    </row>
    <row r="6248" spans="12:13" x14ac:dyDescent="0.2">
      <c r="L6248" s="5"/>
      <c r="M6248" s="5"/>
    </row>
    <row r="6249" spans="12:13" x14ac:dyDescent="0.2">
      <c r="L6249" s="5"/>
      <c r="M6249" s="5"/>
    </row>
    <row r="6250" spans="12:13" x14ac:dyDescent="0.2">
      <c r="L6250" s="5"/>
      <c r="M6250" s="5"/>
    </row>
    <row r="6251" spans="12:13" x14ac:dyDescent="0.2">
      <c r="L6251" s="5"/>
      <c r="M6251" s="5"/>
    </row>
    <row r="6252" spans="12:13" x14ac:dyDescent="0.2">
      <c r="L6252" s="5"/>
      <c r="M6252" s="5"/>
    </row>
    <row r="6253" spans="12:13" x14ac:dyDescent="0.2">
      <c r="L6253" s="5"/>
      <c r="M6253" s="5"/>
    </row>
    <row r="6254" spans="12:13" x14ac:dyDescent="0.2">
      <c r="L6254" s="5"/>
      <c r="M6254" s="5"/>
    </row>
    <row r="6255" spans="12:13" x14ac:dyDescent="0.2">
      <c r="L6255" s="5"/>
      <c r="M6255" s="5"/>
    </row>
    <row r="6256" spans="12:13" x14ac:dyDescent="0.2">
      <c r="L6256" s="5"/>
      <c r="M6256" s="5"/>
    </row>
    <row r="6257" spans="12:13" x14ac:dyDescent="0.2">
      <c r="L6257" s="5"/>
      <c r="M6257" s="5"/>
    </row>
    <row r="6258" spans="12:13" x14ac:dyDescent="0.2">
      <c r="L6258" s="5"/>
      <c r="M6258" s="5"/>
    </row>
    <row r="6259" spans="12:13" x14ac:dyDescent="0.2">
      <c r="L6259" s="5"/>
      <c r="M6259" s="5"/>
    </row>
    <row r="6260" spans="12:13" x14ac:dyDescent="0.2">
      <c r="L6260" s="5"/>
      <c r="M6260" s="5"/>
    </row>
    <row r="6261" spans="12:13" x14ac:dyDescent="0.2">
      <c r="L6261" s="5"/>
      <c r="M6261" s="5"/>
    </row>
    <row r="6262" spans="12:13" x14ac:dyDescent="0.2">
      <c r="L6262" s="5"/>
      <c r="M6262" s="5"/>
    </row>
    <row r="6263" spans="12:13" x14ac:dyDescent="0.2">
      <c r="L6263" s="5"/>
      <c r="M6263" s="5"/>
    </row>
    <row r="6264" spans="12:13" x14ac:dyDescent="0.2">
      <c r="L6264" s="5"/>
      <c r="M6264" s="5"/>
    </row>
    <row r="6265" spans="12:13" x14ac:dyDescent="0.2">
      <c r="L6265" s="5"/>
      <c r="M6265" s="5"/>
    </row>
    <row r="6266" spans="12:13" x14ac:dyDescent="0.2">
      <c r="L6266" s="5"/>
      <c r="M6266" s="5"/>
    </row>
    <row r="6267" spans="12:13" x14ac:dyDescent="0.2">
      <c r="L6267" s="5"/>
      <c r="M6267" s="5"/>
    </row>
    <row r="6268" spans="12:13" x14ac:dyDescent="0.2">
      <c r="L6268" s="5"/>
      <c r="M6268" s="5"/>
    </row>
    <row r="6269" spans="12:13" x14ac:dyDescent="0.2">
      <c r="L6269" s="5"/>
      <c r="M6269" s="5"/>
    </row>
    <row r="6270" spans="12:13" x14ac:dyDescent="0.2">
      <c r="L6270" s="5"/>
      <c r="M6270" s="5"/>
    </row>
    <row r="6271" spans="12:13" x14ac:dyDescent="0.2">
      <c r="L6271" s="5"/>
      <c r="M6271" s="5"/>
    </row>
    <row r="6272" spans="12:13" x14ac:dyDescent="0.2">
      <c r="L6272" s="5"/>
      <c r="M6272" s="5"/>
    </row>
    <row r="6273" spans="12:13" x14ac:dyDescent="0.2">
      <c r="L6273" s="5"/>
      <c r="M6273" s="5"/>
    </row>
    <row r="6274" spans="12:13" x14ac:dyDescent="0.2">
      <c r="L6274" s="5"/>
      <c r="M6274" s="5"/>
    </row>
    <row r="6275" spans="12:13" x14ac:dyDescent="0.2">
      <c r="L6275" s="5"/>
      <c r="M6275" s="5"/>
    </row>
    <row r="6276" spans="12:13" x14ac:dyDescent="0.2">
      <c r="L6276" s="5"/>
      <c r="M6276" s="5"/>
    </row>
    <row r="6277" spans="12:13" x14ac:dyDescent="0.2">
      <c r="L6277" s="5"/>
      <c r="M6277" s="5"/>
    </row>
    <row r="6278" spans="12:13" x14ac:dyDescent="0.2">
      <c r="L6278" s="5"/>
      <c r="M6278" s="5"/>
    </row>
    <row r="6279" spans="12:13" x14ac:dyDescent="0.2">
      <c r="L6279" s="5"/>
      <c r="M6279" s="5"/>
    </row>
    <row r="6280" spans="12:13" x14ac:dyDescent="0.2">
      <c r="L6280" s="5"/>
      <c r="M6280" s="5"/>
    </row>
    <row r="6281" spans="12:13" x14ac:dyDescent="0.2">
      <c r="L6281" s="5"/>
      <c r="M6281" s="5"/>
    </row>
    <row r="6282" spans="12:13" x14ac:dyDescent="0.2">
      <c r="L6282" s="5"/>
      <c r="M6282" s="5"/>
    </row>
    <row r="6283" spans="12:13" x14ac:dyDescent="0.2">
      <c r="L6283" s="5"/>
      <c r="M6283" s="5"/>
    </row>
    <row r="6284" spans="12:13" x14ac:dyDescent="0.2">
      <c r="L6284" s="5"/>
      <c r="M6284" s="5"/>
    </row>
    <row r="6285" spans="12:13" x14ac:dyDescent="0.2">
      <c r="L6285" s="5"/>
      <c r="M6285" s="5"/>
    </row>
    <row r="6286" spans="12:13" x14ac:dyDescent="0.2">
      <c r="L6286" s="5"/>
      <c r="M6286" s="5"/>
    </row>
    <row r="6287" spans="12:13" x14ac:dyDescent="0.2">
      <c r="L6287" s="5"/>
      <c r="M6287" s="5"/>
    </row>
    <row r="6288" spans="12:13" x14ac:dyDescent="0.2">
      <c r="L6288" s="5"/>
      <c r="M6288" s="5"/>
    </row>
    <row r="6289" spans="12:13" x14ac:dyDescent="0.2">
      <c r="L6289" s="5"/>
      <c r="M6289" s="5"/>
    </row>
    <row r="6290" spans="12:13" x14ac:dyDescent="0.2">
      <c r="L6290" s="5"/>
      <c r="M6290" s="5"/>
    </row>
    <row r="6291" spans="12:13" x14ac:dyDescent="0.2">
      <c r="L6291" s="5"/>
      <c r="M6291" s="5"/>
    </row>
    <row r="6292" spans="12:13" x14ac:dyDescent="0.2">
      <c r="L6292" s="5"/>
      <c r="M6292" s="5"/>
    </row>
    <row r="6293" spans="12:13" x14ac:dyDescent="0.2">
      <c r="L6293" s="5"/>
      <c r="M6293" s="5"/>
    </row>
    <row r="6294" spans="12:13" x14ac:dyDescent="0.2">
      <c r="L6294" s="5"/>
      <c r="M6294" s="5"/>
    </row>
    <row r="6295" spans="12:13" x14ac:dyDescent="0.2">
      <c r="L6295" s="5"/>
      <c r="M6295" s="5"/>
    </row>
    <row r="6296" spans="12:13" x14ac:dyDescent="0.2">
      <c r="L6296" s="5"/>
      <c r="M6296" s="5"/>
    </row>
    <row r="6297" spans="12:13" x14ac:dyDescent="0.2">
      <c r="L6297" s="5"/>
      <c r="M6297" s="5"/>
    </row>
    <row r="6298" spans="12:13" x14ac:dyDescent="0.2">
      <c r="L6298" s="5"/>
      <c r="M6298" s="5"/>
    </row>
    <row r="6299" spans="12:13" x14ac:dyDescent="0.2">
      <c r="L6299" s="5"/>
      <c r="M6299" s="5"/>
    </row>
    <row r="6300" spans="12:13" x14ac:dyDescent="0.2">
      <c r="L6300" s="5"/>
      <c r="M6300" s="5"/>
    </row>
    <row r="6301" spans="12:13" x14ac:dyDescent="0.2">
      <c r="L6301" s="5"/>
      <c r="M6301" s="5"/>
    </row>
    <row r="6302" spans="12:13" x14ac:dyDescent="0.2">
      <c r="L6302" s="5"/>
      <c r="M6302" s="5"/>
    </row>
    <row r="6303" spans="12:13" x14ac:dyDescent="0.2">
      <c r="L6303" s="5"/>
      <c r="M6303" s="5"/>
    </row>
    <row r="6304" spans="12:13" x14ac:dyDescent="0.2">
      <c r="L6304" s="5"/>
      <c r="M6304" s="5"/>
    </row>
    <row r="6305" spans="12:13" x14ac:dyDescent="0.2">
      <c r="L6305" s="5"/>
      <c r="M6305" s="5"/>
    </row>
    <row r="6306" spans="12:13" x14ac:dyDescent="0.2">
      <c r="L6306" s="5"/>
      <c r="M6306" s="5"/>
    </row>
    <row r="6307" spans="12:13" x14ac:dyDescent="0.2">
      <c r="L6307" s="5"/>
      <c r="M6307" s="5"/>
    </row>
    <row r="6308" spans="12:13" x14ac:dyDescent="0.2">
      <c r="L6308" s="5"/>
      <c r="M6308" s="5"/>
    </row>
    <row r="6309" spans="12:13" x14ac:dyDescent="0.2">
      <c r="L6309" s="5"/>
      <c r="M6309" s="5"/>
    </row>
    <row r="6310" spans="12:13" x14ac:dyDescent="0.2">
      <c r="L6310" s="5"/>
      <c r="M6310" s="5"/>
    </row>
    <row r="6311" spans="12:13" x14ac:dyDescent="0.2">
      <c r="L6311" s="5"/>
      <c r="M6311" s="5"/>
    </row>
    <row r="6312" spans="12:13" x14ac:dyDescent="0.2">
      <c r="L6312" s="5"/>
      <c r="M6312" s="5"/>
    </row>
    <row r="6313" spans="12:13" x14ac:dyDescent="0.2">
      <c r="L6313" s="5"/>
      <c r="M6313" s="5"/>
    </row>
    <row r="6314" spans="12:13" x14ac:dyDescent="0.2">
      <c r="L6314" s="5"/>
      <c r="M6314" s="5"/>
    </row>
    <row r="6315" spans="12:13" x14ac:dyDescent="0.2">
      <c r="L6315" s="5"/>
      <c r="M6315" s="5"/>
    </row>
    <row r="6316" spans="12:13" x14ac:dyDescent="0.2">
      <c r="L6316" s="5"/>
      <c r="M6316" s="5"/>
    </row>
    <row r="6317" spans="12:13" x14ac:dyDescent="0.2">
      <c r="L6317" s="5"/>
      <c r="M6317" s="5"/>
    </row>
    <row r="6318" spans="12:13" x14ac:dyDescent="0.2">
      <c r="L6318" s="5"/>
      <c r="M6318" s="5"/>
    </row>
    <row r="6319" spans="12:13" x14ac:dyDescent="0.2">
      <c r="L6319" s="5"/>
      <c r="M6319" s="5"/>
    </row>
    <row r="6320" spans="12:13" x14ac:dyDescent="0.2">
      <c r="L6320" s="5"/>
      <c r="M6320" s="5"/>
    </row>
    <row r="6321" spans="12:13" x14ac:dyDescent="0.2">
      <c r="L6321" s="5"/>
      <c r="M6321" s="5"/>
    </row>
    <row r="6322" spans="12:13" x14ac:dyDescent="0.2">
      <c r="L6322" s="5"/>
      <c r="M6322" s="5"/>
    </row>
    <row r="6323" spans="12:13" x14ac:dyDescent="0.2">
      <c r="L6323" s="5"/>
      <c r="M6323" s="5"/>
    </row>
    <row r="6324" spans="12:13" x14ac:dyDescent="0.2">
      <c r="L6324" s="5"/>
      <c r="M6324" s="5"/>
    </row>
    <row r="6325" spans="12:13" x14ac:dyDescent="0.2">
      <c r="L6325" s="5"/>
      <c r="M6325" s="5"/>
    </row>
    <row r="6326" spans="12:13" x14ac:dyDescent="0.2">
      <c r="L6326" s="5"/>
      <c r="M6326" s="5"/>
    </row>
    <row r="6327" spans="12:13" x14ac:dyDescent="0.2">
      <c r="L6327" s="5"/>
      <c r="M6327" s="5"/>
    </row>
    <row r="6328" spans="12:13" x14ac:dyDescent="0.2">
      <c r="L6328" s="5"/>
      <c r="M6328" s="5"/>
    </row>
    <row r="6329" spans="12:13" x14ac:dyDescent="0.2">
      <c r="L6329" s="5"/>
      <c r="M6329" s="5"/>
    </row>
    <row r="6330" spans="12:13" x14ac:dyDescent="0.2">
      <c r="L6330" s="5"/>
      <c r="M6330" s="5"/>
    </row>
    <row r="6331" spans="12:13" x14ac:dyDescent="0.2">
      <c r="L6331" s="5"/>
      <c r="M6331" s="5"/>
    </row>
    <row r="6332" spans="12:13" x14ac:dyDescent="0.2">
      <c r="L6332" s="5"/>
      <c r="M6332" s="5"/>
    </row>
    <row r="6333" spans="12:13" x14ac:dyDescent="0.2">
      <c r="L6333" s="5"/>
      <c r="M6333" s="5"/>
    </row>
    <row r="6334" spans="12:13" x14ac:dyDescent="0.2">
      <c r="L6334" s="5"/>
      <c r="M6334" s="5"/>
    </row>
    <row r="6335" spans="12:13" x14ac:dyDescent="0.2">
      <c r="L6335" s="5"/>
      <c r="M6335" s="5"/>
    </row>
    <row r="6336" spans="12:13" x14ac:dyDescent="0.2">
      <c r="L6336" s="5"/>
      <c r="M6336" s="5"/>
    </row>
    <row r="6337" spans="12:13" x14ac:dyDescent="0.2">
      <c r="L6337" s="5"/>
      <c r="M6337" s="5"/>
    </row>
    <row r="6338" spans="12:13" x14ac:dyDescent="0.2">
      <c r="L6338" s="5"/>
      <c r="M6338" s="5"/>
    </row>
    <row r="6339" spans="12:13" x14ac:dyDescent="0.2">
      <c r="L6339" s="5"/>
      <c r="M6339" s="5"/>
    </row>
    <row r="6340" spans="12:13" x14ac:dyDescent="0.2">
      <c r="L6340" s="5"/>
      <c r="M6340" s="5"/>
    </row>
    <row r="6341" spans="12:13" x14ac:dyDescent="0.2">
      <c r="L6341" s="5"/>
      <c r="M6341" s="5"/>
    </row>
    <row r="6342" spans="12:13" x14ac:dyDescent="0.2">
      <c r="L6342" s="5"/>
      <c r="M6342" s="5"/>
    </row>
    <row r="6343" spans="12:13" x14ac:dyDescent="0.2">
      <c r="L6343" s="5"/>
      <c r="M6343" s="5"/>
    </row>
    <row r="6344" spans="12:13" x14ac:dyDescent="0.2">
      <c r="L6344" s="5"/>
      <c r="M6344" s="5"/>
    </row>
    <row r="6345" spans="12:13" x14ac:dyDescent="0.2">
      <c r="L6345" s="5"/>
      <c r="M6345" s="5"/>
    </row>
    <row r="6346" spans="12:13" x14ac:dyDescent="0.2">
      <c r="L6346" s="5"/>
      <c r="M6346" s="5"/>
    </row>
    <row r="6347" spans="12:13" x14ac:dyDescent="0.2">
      <c r="L6347" s="5"/>
      <c r="M6347" s="5"/>
    </row>
    <row r="6348" spans="12:13" x14ac:dyDescent="0.2">
      <c r="L6348" s="5"/>
      <c r="M6348" s="5"/>
    </row>
    <row r="6349" spans="12:13" x14ac:dyDescent="0.2">
      <c r="L6349" s="5"/>
      <c r="M6349" s="5"/>
    </row>
    <row r="6350" spans="12:13" x14ac:dyDescent="0.2">
      <c r="L6350" s="5"/>
      <c r="M6350" s="5"/>
    </row>
    <row r="6351" spans="12:13" x14ac:dyDescent="0.2">
      <c r="L6351" s="5"/>
      <c r="M6351" s="5"/>
    </row>
    <row r="6352" spans="12:13" x14ac:dyDescent="0.2">
      <c r="L6352" s="5"/>
      <c r="M6352" s="5"/>
    </row>
    <row r="6353" spans="12:13" x14ac:dyDescent="0.2">
      <c r="L6353" s="5"/>
      <c r="M6353" s="5"/>
    </row>
    <row r="6354" spans="12:13" x14ac:dyDescent="0.2">
      <c r="L6354" s="5"/>
      <c r="M6354" s="5"/>
    </row>
    <row r="6355" spans="12:13" x14ac:dyDescent="0.2">
      <c r="L6355" s="5"/>
      <c r="M6355" s="5"/>
    </row>
    <row r="6356" spans="12:13" x14ac:dyDescent="0.2">
      <c r="L6356" s="5"/>
      <c r="M6356" s="5"/>
    </row>
    <row r="6357" spans="12:13" x14ac:dyDescent="0.2">
      <c r="L6357" s="5"/>
      <c r="M6357" s="5"/>
    </row>
    <row r="6358" spans="12:13" x14ac:dyDescent="0.2">
      <c r="L6358" s="5"/>
      <c r="M6358" s="5"/>
    </row>
    <row r="6359" spans="12:13" x14ac:dyDescent="0.2">
      <c r="L6359" s="5"/>
      <c r="M6359" s="5"/>
    </row>
    <row r="6360" spans="12:13" x14ac:dyDescent="0.2">
      <c r="L6360" s="5"/>
      <c r="M6360" s="5"/>
    </row>
    <row r="6361" spans="12:13" x14ac:dyDescent="0.2">
      <c r="L6361" s="5"/>
      <c r="M6361" s="5"/>
    </row>
    <row r="6362" spans="12:13" x14ac:dyDescent="0.2">
      <c r="L6362" s="5"/>
      <c r="M6362" s="5"/>
    </row>
    <row r="6363" spans="12:13" x14ac:dyDescent="0.2">
      <c r="L6363" s="5"/>
      <c r="M6363" s="5"/>
    </row>
    <row r="6364" spans="12:13" x14ac:dyDescent="0.2">
      <c r="L6364" s="5"/>
      <c r="M6364" s="5"/>
    </row>
    <row r="6365" spans="12:13" x14ac:dyDescent="0.2">
      <c r="L6365" s="5"/>
      <c r="M6365" s="5"/>
    </row>
    <row r="6366" spans="12:13" x14ac:dyDescent="0.2">
      <c r="L6366" s="5"/>
      <c r="M6366" s="5"/>
    </row>
    <row r="6367" spans="12:13" x14ac:dyDescent="0.2">
      <c r="L6367" s="5"/>
      <c r="M6367" s="5"/>
    </row>
    <row r="6368" spans="12:13" x14ac:dyDescent="0.2">
      <c r="L6368" s="5"/>
      <c r="M6368" s="5"/>
    </row>
    <row r="6369" spans="12:13" x14ac:dyDescent="0.2">
      <c r="L6369" s="5"/>
      <c r="M6369" s="5"/>
    </row>
    <row r="6370" spans="12:13" x14ac:dyDescent="0.2">
      <c r="L6370" s="5"/>
      <c r="M6370" s="5"/>
    </row>
    <row r="6371" spans="12:13" x14ac:dyDescent="0.2">
      <c r="L6371" s="5"/>
      <c r="M6371" s="5"/>
    </row>
    <row r="6372" spans="12:13" x14ac:dyDescent="0.2">
      <c r="L6372" s="5"/>
      <c r="M6372" s="5"/>
    </row>
    <row r="6373" spans="12:13" x14ac:dyDescent="0.2">
      <c r="L6373" s="5"/>
      <c r="M6373" s="5"/>
    </row>
    <row r="6374" spans="12:13" x14ac:dyDescent="0.2">
      <c r="L6374" s="5"/>
      <c r="M6374" s="5"/>
    </row>
    <row r="6375" spans="12:13" x14ac:dyDescent="0.2">
      <c r="L6375" s="5"/>
      <c r="M6375" s="5"/>
    </row>
    <row r="6376" spans="12:13" x14ac:dyDescent="0.2">
      <c r="L6376" s="5"/>
      <c r="M6376" s="5"/>
    </row>
    <row r="6377" spans="12:13" x14ac:dyDescent="0.2">
      <c r="L6377" s="5"/>
      <c r="M6377" s="5"/>
    </row>
    <row r="6378" spans="12:13" x14ac:dyDescent="0.2">
      <c r="L6378" s="5"/>
      <c r="M6378" s="5"/>
    </row>
    <row r="6379" spans="12:13" x14ac:dyDescent="0.2">
      <c r="L6379" s="5"/>
      <c r="M6379" s="5"/>
    </row>
    <row r="6380" spans="12:13" x14ac:dyDescent="0.2">
      <c r="L6380" s="5"/>
      <c r="M6380" s="5"/>
    </row>
    <row r="6381" spans="12:13" x14ac:dyDescent="0.2">
      <c r="L6381" s="5"/>
      <c r="M6381" s="5"/>
    </row>
    <row r="6382" spans="12:13" x14ac:dyDescent="0.2">
      <c r="L6382" s="5"/>
      <c r="M6382" s="5"/>
    </row>
    <row r="6383" spans="12:13" x14ac:dyDescent="0.2">
      <c r="L6383" s="5"/>
      <c r="M6383" s="5"/>
    </row>
    <row r="6384" spans="12:13" x14ac:dyDescent="0.2">
      <c r="L6384" s="5"/>
      <c r="M6384" s="5"/>
    </row>
    <row r="6385" spans="12:13" x14ac:dyDescent="0.2">
      <c r="L6385" s="5"/>
      <c r="M6385" s="5"/>
    </row>
    <row r="6386" spans="12:13" x14ac:dyDescent="0.2">
      <c r="L6386" s="5"/>
      <c r="M6386" s="5"/>
    </row>
    <row r="6387" spans="12:13" x14ac:dyDescent="0.2">
      <c r="L6387" s="5"/>
      <c r="M6387" s="5"/>
    </row>
    <row r="6388" spans="12:13" x14ac:dyDescent="0.2">
      <c r="L6388" s="5"/>
      <c r="M6388" s="5"/>
    </row>
    <row r="6389" spans="12:13" x14ac:dyDescent="0.2">
      <c r="L6389" s="5"/>
      <c r="M6389" s="5"/>
    </row>
    <row r="6390" spans="12:13" x14ac:dyDescent="0.2">
      <c r="L6390" s="5"/>
      <c r="M6390" s="5"/>
    </row>
    <row r="6391" spans="12:13" x14ac:dyDescent="0.2">
      <c r="L6391" s="5"/>
      <c r="M6391" s="5"/>
    </row>
    <row r="6392" spans="12:13" x14ac:dyDescent="0.2">
      <c r="L6392" s="5"/>
      <c r="M6392" s="5"/>
    </row>
    <row r="6393" spans="12:13" x14ac:dyDescent="0.2">
      <c r="L6393" s="5"/>
      <c r="M6393" s="5"/>
    </row>
    <row r="6394" spans="12:13" x14ac:dyDescent="0.2">
      <c r="L6394" s="5"/>
      <c r="M6394" s="5"/>
    </row>
    <row r="6395" spans="12:13" x14ac:dyDescent="0.2">
      <c r="L6395" s="5"/>
      <c r="M6395" s="5"/>
    </row>
    <row r="6396" spans="12:13" x14ac:dyDescent="0.2">
      <c r="L6396" s="5"/>
      <c r="M6396" s="5"/>
    </row>
    <row r="6397" spans="12:13" x14ac:dyDescent="0.2">
      <c r="L6397" s="5"/>
      <c r="M6397" s="5"/>
    </row>
    <row r="6398" spans="12:13" x14ac:dyDescent="0.2">
      <c r="L6398" s="5"/>
      <c r="M6398" s="5"/>
    </row>
    <row r="6399" spans="12:13" x14ac:dyDescent="0.2">
      <c r="L6399" s="5"/>
      <c r="M6399" s="5"/>
    </row>
    <row r="6400" spans="12:13" x14ac:dyDescent="0.2">
      <c r="L6400" s="5"/>
      <c r="M6400" s="5"/>
    </row>
    <row r="6401" spans="12:13" x14ac:dyDescent="0.2">
      <c r="L6401" s="5"/>
      <c r="M6401" s="5"/>
    </row>
    <row r="6402" spans="12:13" x14ac:dyDescent="0.2">
      <c r="L6402" s="5"/>
      <c r="M6402" s="5"/>
    </row>
    <row r="6403" spans="12:13" x14ac:dyDescent="0.2">
      <c r="L6403" s="5"/>
      <c r="M6403" s="5"/>
    </row>
    <row r="6404" spans="12:13" x14ac:dyDescent="0.2">
      <c r="L6404" s="5"/>
      <c r="M6404" s="5"/>
    </row>
    <row r="6405" spans="12:13" x14ac:dyDescent="0.2">
      <c r="L6405" s="5"/>
      <c r="M6405" s="5"/>
    </row>
    <row r="6406" spans="12:13" x14ac:dyDescent="0.2">
      <c r="L6406" s="5"/>
      <c r="M6406" s="5"/>
    </row>
    <row r="6407" spans="12:13" x14ac:dyDescent="0.2">
      <c r="L6407" s="5"/>
      <c r="M6407" s="5"/>
    </row>
    <row r="6408" spans="12:13" x14ac:dyDescent="0.2">
      <c r="L6408" s="5"/>
      <c r="M6408" s="5"/>
    </row>
    <row r="6409" spans="12:13" x14ac:dyDescent="0.2">
      <c r="L6409" s="5"/>
      <c r="M6409" s="5"/>
    </row>
    <row r="6410" spans="12:13" x14ac:dyDescent="0.2">
      <c r="L6410" s="5"/>
      <c r="M6410" s="5"/>
    </row>
    <row r="6411" spans="12:13" x14ac:dyDescent="0.2">
      <c r="L6411" s="5"/>
      <c r="M6411" s="5"/>
    </row>
    <row r="6412" spans="12:13" x14ac:dyDescent="0.2">
      <c r="L6412" s="5"/>
      <c r="M6412" s="5"/>
    </row>
    <row r="6413" spans="12:13" x14ac:dyDescent="0.2">
      <c r="L6413" s="5"/>
      <c r="M6413" s="5"/>
    </row>
    <row r="6414" spans="12:13" x14ac:dyDescent="0.2">
      <c r="L6414" s="5"/>
      <c r="M6414" s="5"/>
    </row>
    <row r="6415" spans="12:13" x14ac:dyDescent="0.2">
      <c r="L6415" s="5"/>
      <c r="M6415" s="5"/>
    </row>
    <row r="6416" spans="12:13" x14ac:dyDescent="0.2">
      <c r="L6416" s="5"/>
      <c r="M6416" s="5"/>
    </row>
    <row r="6417" spans="12:13" x14ac:dyDescent="0.2">
      <c r="L6417" s="5"/>
      <c r="M6417" s="5"/>
    </row>
    <row r="6418" spans="12:13" x14ac:dyDescent="0.2">
      <c r="L6418" s="5"/>
      <c r="M6418" s="5"/>
    </row>
    <row r="6419" spans="12:13" x14ac:dyDescent="0.2">
      <c r="L6419" s="5"/>
      <c r="M6419" s="5"/>
    </row>
    <row r="6420" spans="12:13" x14ac:dyDescent="0.2">
      <c r="L6420" s="5"/>
      <c r="M6420" s="5"/>
    </row>
    <row r="6421" spans="12:13" x14ac:dyDescent="0.2">
      <c r="L6421" s="5"/>
      <c r="M6421" s="5"/>
    </row>
    <row r="6422" spans="12:13" x14ac:dyDescent="0.2">
      <c r="L6422" s="5"/>
      <c r="M6422" s="5"/>
    </row>
    <row r="6423" spans="12:13" x14ac:dyDescent="0.2">
      <c r="L6423" s="5"/>
      <c r="M6423" s="5"/>
    </row>
    <row r="6424" spans="12:13" x14ac:dyDescent="0.2">
      <c r="L6424" s="5"/>
      <c r="M6424" s="5"/>
    </row>
    <row r="6425" spans="12:13" x14ac:dyDescent="0.2">
      <c r="L6425" s="5"/>
      <c r="M6425" s="5"/>
    </row>
    <row r="6426" spans="12:13" x14ac:dyDescent="0.2">
      <c r="L6426" s="5"/>
      <c r="M6426" s="5"/>
    </row>
    <row r="6427" spans="12:13" x14ac:dyDescent="0.2">
      <c r="L6427" s="5"/>
      <c r="M6427" s="5"/>
    </row>
    <row r="6428" spans="12:13" x14ac:dyDescent="0.2">
      <c r="L6428" s="5"/>
      <c r="M6428" s="5"/>
    </row>
    <row r="6429" spans="12:13" x14ac:dyDescent="0.2">
      <c r="L6429" s="5"/>
      <c r="M6429" s="5"/>
    </row>
    <row r="6430" spans="12:13" x14ac:dyDescent="0.2">
      <c r="L6430" s="5"/>
      <c r="M6430" s="5"/>
    </row>
    <row r="6431" spans="12:13" x14ac:dyDescent="0.2">
      <c r="L6431" s="5"/>
      <c r="M6431" s="5"/>
    </row>
    <row r="6432" spans="12:13" x14ac:dyDescent="0.2">
      <c r="L6432" s="5"/>
      <c r="M6432" s="5"/>
    </row>
    <row r="6433" spans="12:13" x14ac:dyDescent="0.2">
      <c r="L6433" s="5"/>
      <c r="M6433" s="5"/>
    </row>
    <row r="6434" spans="12:13" x14ac:dyDescent="0.2">
      <c r="L6434" s="5"/>
      <c r="M6434" s="5"/>
    </row>
    <row r="6435" spans="12:13" x14ac:dyDescent="0.2">
      <c r="L6435" s="5"/>
      <c r="M6435" s="5"/>
    </row>
    <row r="6436" spans="12:13" x14ac:dyDescent="0.2">
      <c r="L6436" s="5"/>
      <c r="M6436" s="5"/>
    </row>
    <row r="6437" spans="12:13" x14ac:dyDescent="0.2">
      <c r="L6437" s="5"/>
      <c r="M6437" s="5"/>
    </row>
    <row r="6438" spans="12:13" x14ac:dyDescent="0.2">
      <c r="L6438" s="5"/>
      <c r="M6438" s="5"/>
    </row>
    <row r="6439" spans="12:13" x14ac:dyDescent="0.2">
      <c r="L6439" s="5"/>
      <c r="M6439" s="5"/>
    </row>
    <row r="6440" spans="12:13" x14ac:dyDescent="0.2">
      <c r="L6440" s="5"/>
      <c r="M6440" s="5"/>
    </row>
    <row r="6441" spans="12:13" x14ac:dyDescent="0.2">
      <c r="L6441" s="5"/>
      <c r="M6441" s="5"/>
    </row>
    <row r="6442" spans="12:13" x14ac:dyDescent="0.2">
      <c r="L6442" s="5"/>
      <c r="M6442" s="5"/>
    </row>
    <row r="6443" spans="12:13" x14ac:dyDescent="0.2">
      <c r="L6443" s="5"/>
      <c r="M6443" s="5"/>
    </row>
    <row r="6444" spans="12:13" x14ac:dyDescent="0.2">
      <c r="L6444" s="5"/>
      <c r="M6444" s="5"/>
    </row>
    <row r="6445" spans="12:13" x14ac:dyDescent="0.2">
      <c r="L6445" s="5"/>
      <c r="M6445" s="5"/>
    </row>
    <row r="6446" spans="12:13" x14ac:dyDescent="0.2">
      <c r="L6446" s="5"/>
      <c r="M6446" s="5"/>
    </row>
    <row r="6447" spans="12:13" x14ac:dyDescent="0.2">
      <c r="L6447" s="5"/>
      <c r="M6447" s="5"/>
    </row>
    <row r="6448" spans="12:13" x14ac:dyDescent="0.2">
      <c r="L6448" s="5"/>
      <c r="M6448" s="5"/>
    </row>
    <row r="6449" spans="12:13" x14ac:dyDescent="0.2">
      <c r="L6449" s="5"/>
      <c r="M6449" s="5"/>
    </row>
    <row r="6450" spans="12:13" x14ac:dyDescent="0.2">
      <c r="L6450" s="5"/>
      <c r="M6450" s="5"/>
    </row>
    <row r="6451" spans="12:13" x14ac:dyDescent="0.2">
      <c r="L6451" s="5"/>
      <c r="M6451" s="5"/>
    </row>
    <row r="6452" spans="12:13" x14ac:dyDescent="0.2">
      <c r="L6452" s="5"/>
      <c r="M6452" s="5"/>
    </row>
    <row r="6453" spans="12:13" x14ac:dyDescent="0.2">
      <c r="L6453" s="5"/>
      <c r="M6453" s="5"/>
    </row>
    <row r="6454" spans="12:13" x14ac:dyDescent="0.2">
      <c r="L6454" s="5"/>
      <c r="M6454" s="5"/>
    </row>
    <row r="6455" spans="12:13" x14ac:dyDescent="0.2">
      <c r="L6455" s="5"/>
      <c r="M6455" s="5"/>
    </row>
    <row r="6456" spans="12:13" x14ac:dyDescent="0.2">
      <c r="L6456" s="5"/>
      <c r="M6456" s="5"/>
    </row>
    <row r="6457" spans="12:13" x14ac:dyDescent="0.2">
      <c r="L6457" s="5"/>
      <c r="M6457" s="5"/>
    </row>
    <row r="6458" spans="12:13" x14ac:dyDescent="0.2">
      <c r="L6458" s="5"/>
      <c r="M6458" s="5"/>
    </row>
    <row r="6459" spans="12:13" x14ac:dyDescent="0.2">
      <c r="L6459" s="5"/>
      <c r="M6459" s="5"/>
    </row>
    <row r="6460" spans="12:13" x14ac:dyDescent="0.2">
      <c r="L6460" s="5"/>
      <c r="M6460" s="5"/>
    </row>
    <row r="6461" spans="12:13" x14ac:dyDescent="0.2">
      <c r="L6461" s="5"/>
      <c r="M6461" s="5"/>
    </row>
    <row r="6462" spans="12:13" x14ac:dyDescent="0.2">
      <c r="L6462" s="5"/>
      <c r="M6462" s="5"/>
    </row>
    <row r="6463" spans="12:13" x14ac:dyDescent="0.2">
      <c r="L6463" s="5"/>
      <c r="M6463" s="5"/>
    </row>
    <row r="6464" spans="12:13" x14ac:dyDescent="0.2">
      <c r="L6464" s="5"/>
      <c r="M6464" s="5"/>
    </row>
    <row r="6465" spans="12:13" x14ac:dyDescent="0.2">
      <c r="L6465" s="5"/>
      <c r="M6465" s="5"/>
    </row>
    <row r="6466" spans="12:13" x14ac:dyDescent="0.2">
      <c r="L6466" s="5"/>
      <c r="M6466" s="5"/>
    </row>
    <row r="6467" spans="12:13" x14ac:dyDescent="0.2">
      <c r="L6467" s="5"/>
      <c r="M6467" s="5"/>
    </row>
    <row r="6468" spans="12:13" x14ac:dyDescent="0.2">
      <c r="L6468" s="5"/>
      <c r="M6468" s="5"/>
    </row>
    <row r="6469" spans="12:13" x14ac:dyDescent="0.2">
      <c r="L6469" s="5"/>
      <c r="M6469" s="5"/>
    </row>
    <row r="6470" spans="12:13" x14ac:dyDescent="0.2">
      <c r="L6470" s="5"/>
      <c r="M6470" s="5"/>
    </row>
    <row r="6471" spans="12:13" x14ac:dyDescent="0.2">
      <c r="L6471" s="5"/>
      <c r="M6471" s="5"/>
    </row>
    <row r="6472" spans="12:13" x14ac:dyDescent="0.2">
      <c r="L6472" s="5"/>
      <c r="M6472" s="5"/>
    </row>
    <row r="6473" spans="12:13" x14ac:dyDescent="0.2">
      <c r="L6473" s="5"/>
      <c r="M6473" s="5"/>
    </row>
    <row r="6474" spans="12:13" x14ac:dyDescent="0.2">
      <c r="L6474" s="5"/>
      <c r="M6474" s="5"/>
    </row>
    <row r="6475" spans="12:13" x14ac:dyDescent="0.2">
      <c r="L6475" s="5"/>
      <c r="M6475" s="5"/>
    </row>
    <row r="6476" spans="12:13" x14ac:dyDescent="0.2">
      <c r="L6476" s="5"/>
      <c r="M6476" s="5"/>
    </row>
    <row r="6477" spans="12:13" x14ac:dyDescent="0.2">
      <c r="L6477" s="5"/>
      <c r="M6477" s="5"/>
    </row>
    <row r="6478" spans="12:13" x14ac:dyDescent="0.2">
      <c r="L6478" s="5"/>
      <c r="M6478" s="5"/>
    </row>
    <row r="6479" spans="12:13" x14ac:dyDescent="0.2">
      <c r="L6479" s="5"/>
      <c r="M6479" s="5"/>
    </row>
    <row r="6480" spans="12:13" x14ac:dyDescent="0.2">
      <c r="L6480" s="5"/>
      <c r="M6480" s="5"/>
    </row>
    <row r="6481" spans="12:13" x14ac:dyDescent="0.2">
      <c r="L6481" s="5"/>
      <c r="M6481" s="5"/>
    </row>
    <row r="6482" spans="12:13" x14ac:dyDescent="0.2">
      <c r="L6482" s="5"/>
      <c r="M6482" s="5"/>
    </row>
    <row r="6483" spans="12:13" x14ac:dyDescent="0.2">
      <c r="L6483" s="5"/>
      <c r="M6483" s="5"/>
    </row>
    <row r="6484" spans="12:13" x14ac:dyDescent="0.2">
      <c r="L6484" s="5"/>
      <c r="M6484" s="5"/>
    </row>
    <row r="6485" spans="12:13" x14ac:dyDescent="0.2">
      <c r="L6485" s="5"/>
      <c r="M6485" s="5"/>
    </row>
    <row r="6486" spans="12:13" x14ac:dyDescent="0.2">
      <c r="L6486" s="5"/>
      <c r="M6486" s="5"/>
    </row>
    <row r="6487" spans="12:13" x14ac:dyDescent="0.2">
      <c r="L6487" s="5"/>
      <c r="M6487" s="5"/>
    </row>
    <row r="6488" spans="12:13" x14ac:dyDescent="0.2">
      <c r="L6488" s="5"/>
      <c r="M6488" s="5"/>
    </row>
    <row r="6489" spans="12:13" x14ac:dyDescent="0.2">
      <c r="L6489" s="5"/>
      <c r="M6489" s="5"/>
    </row>
    <row r="6490" spans="12:13" x14ac:dyDescent="0.2">
      <c r="L6490" s="5"/>
      <c r="M6490" s="5"/>
    </row>
    <row r="6491" spans="12:13" x14ac:dyDescent="0.2">
      <c r="L6491" s="5"/>
      <c r="M6491" s="5"/>
    </row>
    <row r="6492" spans="12:13" x14ac:dyDescent="0.2">
      <c r="L6492" s="5"/>
      <c r="M6492" s="5"/>
    </row>
    <row r="6493" spans="12:13" x14ac:dyDescent="0.2">
      <c r="L6493" s="5"/>
      <c r="M6493" s="5"/>
    </row>
    <row r="6494" spans="12:13" x14ac:dyDescent="0.2">
      <c r="L6494" s="5"/>
      <c r="M6494" s="5"/>
    </row>
    <row r="6495" spans="12:13" x14ac:dyDescent="0.2">
      <c r="L6495" s="5"/>
      <c r="M6495" s="5"/>
    </row>
    <row r="6496" spans="12:13" x14ac:dyDescent="0.2">
      <c r="L6496" s="5"/>
      <c r="M6496" s="5"/>
    </row>
    <row r="6497" spans="12:13" x14ac:dyDescent="0.2">
      <c r="L6497" s="5"/>
      <c r="M6497" s="5"/>
    </row>
    <row r="6498" spans="12:13" x14ac:dyDescent="0.2">
      <c r="L6498" s="5"/>
      <c r="M6498" s="5"/>
    </row>
    <row r="6499" spans="12:13" x14ac:dyDescent="0.2">
      <c r="L6499" s="5"/>
      <c r="M6499" s="5"/>
    </row>
    <row r="6500" spans="12:13" x14ac:dyDescent="0.2">
      <c r="L6500" s="5"/>
      <c r="M6500" s="5"/>
    </row>
    <row r="6501" spans="12:13" x14ac:dyDescent="0.2">
      <c r="L6501" s="5"/>
      <c r="M6501" s="5"/>
    </row>
    <row r="6502" spans="12:13" x14ac:dyDescent="0.2">
      <c r="L6502" s="5"/>
      <c r="M6502" s="5"/>
    </row>
    <row r="6503" spans="12:13" x14ac:dyDescent="0.2">
      <c r="L6503" s="5"/>
      <c r="M6503" s="5"/>
    </row>
    <row r="6504" spans="12:13" x14ac:dyDescent="0.2">
      <c r="L6504" s="5"/>
      <c r="M6504" s="5"/>
    </row>
    <row r="6505" spans="12:13" x14ac:dyDescent="0.2">
      <c r="L6505" s="5"/>
      <c r="M6505" s="5"/>
    </row>
    <row r="6506" spans="12:13" x14ac:dyDescent="0.2">
      <c r="L6506" s="5"/>
      <c r="M6506" s="5"/>
    </row>
    <row r="6507" spans="12:13" x14ac:dyDescent="0.2">
      <c r="L6507" s="5"/>
      <c r="M6507" s="5"/>
    </row>
    <row r="6508" spans="12:13" x14ac:dyDescent="0.2">
      <c r="L6508" s="5"/>
      <c r="M6508" s="5"/>
    </row>
    <row r="6509" spans="12:13" x14ac:dyDescent="0.2">
      <c r="L6509" s="5"/>
      <c r="M6509" s="5"/>
    </row>
    <row r="6510" spans="12:13" x14ac:dyDescent="0.2">
      <c r="L6510" s="5"/>
      <c r="M6510" s="5"/>
    </row>
    <row r="6511" spans="12:13" x14ac:dyDescent="0.2">
      <c r="L6511" s="5"/>
      <c r="M6511" s="5"/>
    </row>
    <row r="6512" spans="12:13" x14ac:dyDescent="0.2">
      <c r="L6512" s="5"/>
      <c r="M6512" s="5"/>
    </row>
    <row r="6513" spans="12:13" x14ac:dyDescent="0.2">
      <c r="L6513" s="5"/>
      <c r="M6513" s="5"/>
    </row>
    <row r="6514" spans="12:13" x14ac:dyDescent="0.2">
      <c r="L6514" s="5"/>
      <c r="M6514" s="5"/>
    </row>
    <row r="6515" spans="12:13" x14ac:dyDescent="0.2">
      <c r="L6515" s="5"/>
      <c r="M6515" s="5"/>
    </row>
    <row r="6516" spans="12:13" x14ac:dyDescent="0.2">
      <c r="L6516" s="5"/>
      <c r="M6516" s="5"/>
    </row>
    <row r="6517" spans="12:13" x14ac:dyDescent="0.2">
      <c r="L6517" s="5"/>
      <c r="M6517" s="5"/>
    </row>
    <row r="6518" spans="12:13" x14ac:dyDescent="0.2">
      <c r="L6518" s="5"/>
      <c r="M6518" s="5"/>
    </row>
    <row r="6519" spans="12:13" x14ac:dyDescent="0.2">
      <c r="L6519" s="5"/>
      <c r="M6519" s="5"/>
    </row>
    <row r="6520" spans="12:13" x14ac:dyDescent="0.2">
      <c r="L6520" s="5"/>
      <c r="M6520" s="5"/>
    </row>
    <row r="6521" spans="12:13" x14ac:dyDescent="0.2">
      <c r="L6521" s="5"/>
      <c r="M6521" s="5"/>
    </row>
    <row r="6522" spans="12:13" x14ac:dyDescent="0.2">
      <c r="L6522" s="5"/>
      <c r="M6522" s="5"/>
    </row>
    <row r="6523" spans="12:13" x14ac:dyDescent="0.2">
      <c r="L6523" s="5"/>
      <c r="M6523" s="5"/>
    </row>
    <row r="6524" spans="12:13" x14ac:dyDescent="0.2">
      <c r="L6524" s="5"/>
      <c r="M6524" s="5"/>
    </row>
    <row r="6525" spans="12:13" x14ac:dyDescent="0.2">
      <c r="L6525" s="5"/>
      <c r="M6525" s="5"/>
    </row>
    <row r="6526" spans="12:13" x14ac:dyDescent="0.2">
      <c r="L6526" s="5"/>
      <c r="M6526" s="5"/>
    </row>
    <row r="6527" spans="12:13" x14ac:dyDescent="0.2">
      <c r="L6527" s="5"/>
      <c r="M6527" s="5"/>
    </row>
    <row r="6528" spans="12:13" x14ac:dyDescent="0.2">
      <c r="L6528" s="5"/>
      <c r="M6528" s="5"/>
    </row>
    <row r="6529" spans="12:13" x14ac:dyDescent="0.2">
      <c r="L6529" s="5"/>
      <c r="M6529" s="5"/>
    </row>
    <row r="6530" spans="12:13" x14ac:dyDescent="0.2">
      <c r="L6530" s="5"/>
      <c r="M6530" s="5"/>
    </row>
    <row r="6531" spans="12:13" x14ac:dyDescent="0.2">
      <c r="L6531" s="5"/>
      <c r="M6531" s="5"/>
    </row>
    <row r="6532" spans="12:13" x14ac:dyDescent="0.2">
      <c r="L6532" s="5"/>
      <c r="M6532" s="5"/>
    </row>
    <row r="6533" spans="12:13" x14ac:dyDescent="0.2">
      <c r="L6533" s="5"/>
      <c r="M6533" s="5"/>
    </row>
    <row r="6534" spans="12:13" x14ac:dyDescent="0.2">
      <c r="L6534" s="5"/>
      <c r="M6534" s="5"/>
    </row>
    <row r="6535" spans="12:13" x14ac:dyDescent="0.2">
      <c r="L6535" s="5"/>
      <c r="M6535" s="5"/>
    </row>
    <row r="6536" spans="12:13" x14ac:dyDescent="0.2">
      <c r="L6536" s="5"/>
      <c r="M6536" s="5"/>
    </row>
    <row r="6537" spans="12:13" x14ac:dyDescent="0.2">
      <c r="L6537" s="5"/>
      <c r="M6537" s="5"/>
    </row>
    <row r="6538" spans="12:13" x14ac:dyDescent="0.2">
      <c r="L6538" s="5"/>
      <c r="M6538" s="5"/>
    </row>
    <row r="6539" spans="12:13" x14ac:dyDescent="0.2">
      <c r="L6539" s="5"/>
      <c r="M6539" s="5"/>
    </row>
    <row r="6540" spans="12:13" x14ac:dyDescent="0.2">
      <c r="L6540" s="5"/>
      <c r="M6540" s="5"/>
    </row>
    <row r="6541" spans="12:13" x14ac:dyDescent="0.2">
      <c r="L6541" s="5"/>
      <c r="M6541" s="5"/>
    </row>
    <row r="6542" spans="12:13" x14ac:dyDescent="0.2">
      <c r="L6542" s="5"/>
      <c r="M6542" s="5"/>
    </row>
    <row r="6543" spans="12:13" x14ac:dyDescent="0.2">
      <c r="L6543" s="5"/>
      <c r="M6543" s="5"/>
    </row>
    <row r="6544" spans="12:13" x14ac:dyDescent="0.2">
      <c r="L6544" s="5"/>
      <c r="M6544" s="5"/>
    </row>
    <row r="6545" spans="12:13" x14ac:dyDescent="0.2">
      <c r="L6545" s="5"/>
      <c r="M6545" s="5"/>
    </row>
    <row r="6546" spans="12:13" x14ac:dyDescent="0.2">
      <c r="L6546" s="5"/>
      <c r="M6546" s="5"/>
    </row>
    <row r="6547" spans="12:13" x14ac:dyDescent="0.2">
      <c r="L6547" s="5"/>
      <c r="M6547" s="5"/>
    </row>
    <row r="6548" spans="12:13" x14ac:dyDescent="0.2">
      <c r="L6548" s="5"/>
      <c r="M6548" s="5"/>
    </row>
    <row r="6549" spans="12:13" x14ac:dyDescent="0.2">
      <c r="L6549" s="5"/>
      <c r="M6549" s="5"/>
    </row>
    <row r="6550" spans="12:13" x14ac:dyDescent="0.2">
      <c r="L6550" s="5"/>
      <c r="M6550" s="5"/>
    </row>
    <row r="6551" spans="12:13" x14ac:dyDescent="0.2">
      <c r="L6551" s="5"/>
      <c r="M6551" s="5"/>
    </row>
    <row r="6552" spans="12:13" x14ac:dyDescent="0.2">
      <c r="L6552" s="5"/>
      <c r="M6552" s="5"/>
    </row>
    <row r="6553" spans="12:13" x14ac:dyDescent="0.2">
      <c r="L6553" s="5"/>
      <c r="M6553" s="5"/>
    </row>
    <row r="6554" spans="12:13" x14ac:dyDescent="0.2">
      <c r="L6554" s="5"/>
      <c r="M6554" s="5"/>
    </row>
    <row r="6555" spans="12:13" x14ac:dyDescent="0.2">
      <c r="L6555" s="5"/>
      <c r="M6555" s="5"/>
    </row>
    <row r="6556" spans="12:13" x14ac:dyDescent="0.2">
      <c r="L6556" s="5"/>
      <c r="M6556" s="5"/>
    </row>
    <row r="6557" spans="12:13" x14ac:dyDescent="0.2">
      <c r="L6557" s="5"/>
      <c r="M6557" s="5"/>
    </row>
    <row r="6558" spans="12:13" x14ac:dyDescent="0.2">
      <c r="L6558" s="5"/>
      <c r="M6558" s="5"/>
    </row>
    <row r="6559" spans="12:13" x14ac:dyDescent="0.2">
      <c r="L6559" s="5"/>
      <c r="M6559" s="5"/>
    </row>
    <row r="6560" spans="12:13" x14ac:dyDescent="0.2">
      <c r="L6560" s="5"/>
      <c r="M6560" s="5"/>
    </row>
    <row r="6561" spans="12:13" x14ac:dyDescent="0.2">
      <c r="L6561" s="5"/>
      <c r="M6561" s="5"/>
    </row>
    <row r="6562" spans="12:13" x14ac:dyDescent="0.2">
      <c r="L6562" s="5"/>
      <c r="M6562" s="5"/>
    </row>
    <row r="6563" spans="12:13" x14ac:dyDescent="0.2">
      <c r="L6563" s="5"/>
      <c r="M6563" s="5"/>
    </row>
    <row r="6564" spans="12:13" x14ac:dyDescent="0.2">
      <c r="L6564" s="5"/>
      <c r="M6564" s="5"/>
    </row>
    <row r="6565" spans="12:13" x14ac:dyDescent="0.2">
      <c r="L6565" s="5"/>
      <c r="M6565" s="5"/>
    </row>
    <row r="6566" spans="12:13" x14ac:dyDescent="0.2">
      <c r="L6566" s="5"/>
      <c r="M6566" s="5"/>
    </row>
    <row r="6567" spans="12:13" x14ac:dyDescent="0.2">
      <c r="L6567" s="5"/>
      <c r="M6567" s="5"/>
    </row>
    <row r="6568" spans="12:13" x14ac:dyDescent="0.2">
      <c r="L6568" s="5"/>
      <c r="M6568" s="5"/>
    </row>
    <row r="6569" spans="12:13" x14ac:dyDescent="0.2">
      <c r="L6569" s="5"/>
      <c r="M6569" s="5"/>
    </row>
    <row r="6570" spans="12:13" x14ac:dyDescent="0.2">
      <c r="L6570" s="5"/>
      <c r="M6570" s="5"/>
    </row>
    <row r="6571" spans="12:13" x14ac:dyDescent="0.2">
      <c r="L6571" s="5"/>
      <c r="M6571" s="5"/>
    </row>
    <row r="6572" spans="12:13" x14ac:dyDescent="0.2">
      <c r="L6572" s="5"/>
      <c r="M6572" s="5"/>
    </row>
    <row r="6573" spans="12:13" x14ac:dyDescent="0.2">
      <c r="L6573" s="5"/>
      <c r="M6573" s="5"/>
    </row>
    <row r="6574" spans="12:13" x14ac:dyDescent="0.2">
      <c r="L6574" s="5"/>
      <c r="M6574" s="5"/>
    </row>
    <row r="6575" spans="12:13" x14ac:dyDescent="0.2">
      <c r="L6575" s="5"/>
      <c r="M6575" s="5"/>
    </row>
    <row r="6576" spans="12:13" x14ac:dyDescent="0.2">
      <c r="L6576" s="5"/>
      <c r="M6576" s="5"/>
    </row>
    <row r="6577" spans="12:13" x14ac:dyDescent="0.2">
      <c r="L6577" s="5"/>
      <c r="M6577" s="5"/>
    </row>
    <row r="6578" spans="12:13" x14ac:dyDescent="0.2">
      <c r="L6578" s="5"/>
      <c r="M6578" s="5"/>
    </row>
    <row r="6579" spans="12:13" x14ac:dyDescent="0.2">
      <c r="L6579" s="5"/>
      <c r="M6579" s="5"/>
    </row>
    <row r="6580" spans="12:13" x14ac:dyDescent="0.2">
      <c r="L6580" s="5"/>
      <c r="M6580" s="5"/>
    </row>
    <row r="6581" spans="12:13" x14ac:dyDescent="0.2">
      <c r="L6581" s="5"/>
      <c r="M6581" s="5"/>
    </row>
    <row r="6582" spans="12:13" x14ac:dyDescent="0.2">
      <c r="L6582" s="5"/>
      <c r="M6582" s="5"/>
    </row>
    <row r="6583" spans="12:13" x14ac:dyDescent="0.2">
      <c r="L6583" s="5"/>
      <c r="M6583" s="5"/>
    </row>
    <row r="6584" spans="12:13" x14ac:dyDescent="0.2">
      <c r="L6584" s="5"/>
      <c r="M6584" s="5"/>
    </row>
    <row r="6585" spans="12:13" x14ac:dyDescent="0.2">
      <c r="L6585" s="5"/>
      <c r="M6585" s="5"/>
    </row>
    <row r="6586" spans="12:13" x14ac:dyDescent="0.2">
      <c r="L6586" s="5"/>
      <c r="M6586" s="5"/>
    </row>
    <row r="6587" spans="12:13" x14ac:dyDescent="0.2">
      <c r="L6587" s="5"/>
      <c r="M6587" s="5"/>
    </row>
    <row r="6588" spans="12:13" x14ac:dyDescent="0.2">
      <c r="L6588" s="5"/>
      <c r="M6588" s="5"/>
    </row>
    <row r="6589" spans="12:13" x14ac:dyDescent="0.2">
      <c r="L6589" s="5"/>
      <c r="M6589" s="5"/>
    </row>
    <row r="6590" spans="12:13" x14ac:dyDescent="0.2">
      <c r="L6590" s="5"/>
      <c r="M6590" s="5"/>
    </row>
    <row r="6591" spans="12:13" x14ac:dyDescent="0.2">
      <c r="L6591" s="5"/>
      <c r="M6591" s="5"/>
    </row>
    <row r="6592" spans="12:13" x14ac:dyDescent="0.2">
      <c r="L6592" s="5"/>
      <c r="M6592" s="5"/>
    </row>
    <row r="6593" spans="12:13" x14ac:dyDescent="0.2">
      <c r="L6593" s="5"/>
      <c r="M6593" s="5"/>
    </row>
    <row r="6594" spans="12:13" x14ac:dyDescent="0.2">
      <c r="L6594" s="5"/>
      <c r="M6594" s="5"/>
    </row>
    <row r="6595" spans="12:13" x14ac:dyDescent="0.2">
      <c r="L6595" s="5"/>
      <c r="M6595" s="5"/>
    </row>
    <row r="6596" spans="12:13" x14ac:dyDescent="0.2">
      <c r="L6596" s="5"/>
      <c r="M6596" s="5"/>
    </row>
    <row r="6597" spans="12:13" x14ac:dyDescent="0.2">
      <c r="L6597" s="5"/>
      <c r="M6597" s="5"/>
    </row>
    <row r="6598" spans="12:13" x14ac:dyDescent="0.2">
      <c r="L6598" s="5"/>
      <c r="M6598" s="5"/>
    </row>
    <row r="6599" spans="12:13" x14ac:dyDescent="0.2">
      <c r="L6599" s="5"/>
      <c r="M6599" s="5"/>
    </row>
    <row r="6600" spans="12:13" x14ac:dyDescent="0.2">
      <c r="L6600" s="5"/>
      <c r="M6600" s="5"/>
    </row>
    <row r="6601" spans="12:13" x14ac:dyDescent="0.2">
      <c r="L6601" s="5"/>
      <c r="M6601" s="5"/>
    </row>
    <row r="6602" spans="12:13" x14ac:dyDescent="0.2">
      <c r="L6602" s="5"/>
      <c r="M6602" s="5"/>
    </row>
    <row r="6603" spans="12:13" x14ac:dyDescent="0.2">
      <c r="L6603" s="5"/>
      <c r="M6603" s="5"/>
    </row>
    <row r="6604" spans="12:13" x14ac:dyDescent="0.2">
      <c r="L6604" s="5"/>
      <c r="M6604" s="5"/>
    </row>
    <row r="6605" spans="12:13" x14ac:dyDescent="0.2">
      <c r="L6605" s="5"/>
      <c r="M6605" s="5"/>
    </row>
    <row r="6606" spans="12:13" x14ac:dyDescent="0.2">
      <c r="L6606" s="5"/>
      <c r="M6606" s="5"/>
    </row>
    <row r="6607" spans="12:13" x14ac:dyDescent="0.2">
      <c r="L6607" s="5"/>
      <c r="M6607" s="5"/>
    </row>
    <row r="6608" spans="12:13" x14ac:dyDescent="0.2">
      <c r="L6608" s="5"/>
      <c r="M6608" s="5"/>
    </row>
    <row r="6609" spans="12:13" x14ac:dyDescent="0.2">
      <c r="L6609" s="5"/>
      <c r="M6609" s="5"/>
    </row>
    <row r="6610" spans="12:13" x14ac:dyDescent="0.2">
      <c r="L6610" s="5"/>
      <c r="M6610" s="5"/>
    </row>
    <row r="6611" spans="12:13" x14ac:dyDescent="0.2">
      <c r="L6611" s="5"/>
      <c r="M6611" s="5"/>
    </row>
    <row r="6612" spans="12:13" x14ac:dyDescent="0.2">
      <c r="L6612" s="5"/>
      <c r="M6612" s="5"/>
    </row>
    <row r="6613" spans="12:13" x14ac:dyDescent="0.2">
      <c r="L6613" s="5"/>
      <c r="M6613" s="5"/>
    </row>
    <row r="6614" spans="12:13" x14ac:dyDescent="0.2">
      <c r="L6614" s="5"/>
      <c r="M6614" s="5"/>
    </row>
    <row r="6615" spans="12:13" x14ac:dyDescent="0.2">
      <c r="L6615" s="5"/>
      <c r="M6615" s="5"/>
    </row>
    <row r="6616" spans="12:13" x14ac:dyDescent="0.2">
      <c r="L6616" s="5"/>
      <c r="M6616" s="5"/>
    </row>
    <row r="6617" spans="12:13" x14ac:dyDescent="0.2">
      <c r="L6617" s="5"/>
      <c r="M6617" s="5"/>
    </row>
    <row r="6618" spans="12:13" x14ac:dyDescent="0.2">
      <c r="L6618" s="5"/>
      <c r="M6618" s="5"/>
    </row>
    <row r="6619" spans="12:13" x14ac:dyDescent="0.2">
      <c r="L6619" s="5"/>
      <c r="M6619" s="5"/>
    </row>
    <row r="6620" spans="12:13" x14ac:dyDescent="0.2">
      <c r="L6620" s="5"/>
      <c r="M6620" s="5"/>
    </row>
    <row r="6621" spans="12:13" x14ac:dyDescent="0.2">
      <c r="L6621" s="5"/>
      <c r="M6621" s="5"/>
    </row>
    <row r="6622" spans="12:13" x14ac:dyDescent="0.2">
      <c r="L6622" s="5"/>
      <c r="M6622" s="5"/>
    </row>
    <row r="6623" spans="12:13" x14ac:dyDescent="0.2">
      <c r="L6623" s="5"/>
      <c r="M6623" s="5"/>
    </row>
    <row r="6624" spans="12:13" x14ac:dyDescent="0.2">
      <c r="L6624" s="5"/>
      <c r="M6624" s="5"/>
    </row>
    <row r="6625" spans="12:13" x14ac:dyDescent="0.2">
      <c r="L6625" s="5"/>
      <c r="M6625" s="5"/>
    </row>
    <row r="6626" spans="12:13" x14ac:dyDescent="0.2">
      <c r="L6626" s="5"/>
      <c r="M6626" s="5"/>
    </row>
    <row r="6627" spans="12:13" x14ac:dyDescent="0.2">
      <c r="L6627" s="5"/>
      <c r="M6627" s="5"/>
    </row>
    <row r="6628" spans="12:13" x14ac:dyDescent="0.2">
      <c r="L6628" s="5"/>
      <c r="M6628" s="5"/>
    </row>
    <row r="6629" spans="12:13" x14ac:dyDescent="0.2">
      <c r="L6629" s="5"/>
      <c r="M6629" s="5"/>
    </row>
    <row r="6630" spans="12:13" x14ac:dyDescent="0.2">
      <c r="L6630" s="5"/>
      <c r="M6630" s="5"/>
    </row>
    <row r="6631" spans="12:13" x14ac:dyDescent="0.2">
      <c r="L6631" s="5"/>
      <c r="M6631" s="5"/>
    </row>
    <row r="6632" spans="12:13" x14ac:dyDescent="0.2">
      <c r="L6632" s="5"/>
      <c r="M6632" s="5"/>
    </row>
    <row r="6633" spans="12:13" x14ac:dyDescent="0.2">
      <c r="L6633" s="5"/>
      <c r="M6633" s="5"/>
    </row>
    <row r="6634" spans="12:13" x14ac:dyDescent="0.2">
      <c r="L6634" s="5"/>
      <c r="M6634" s="5"/>
    </row>
    <row r="6635" spans="12:13" x14ac:dyDescent="0.2">
      <c r="L6635" s="5"/>
      <c r="M6635" s="5"/>
    </row>
    <row r="6636" spans="12:13" x14ac:dyDescent="0.2">
      <c r="L6636" s="5"/>
      <c r="M6636" s="5"/>
    </row>
    <row r="6637" spans="12:13" x14ac:dyDescent="0.2">
      <c r="L6637" s="5"/>
      <c r="M6637" s="5"/>
    </row>
    <row r="6638" spans="12:13" x14ac:dyDescent="0.2">
      <c r="L6638" s="5"/>
      <c r="M6638" s="5"/>
    </row>
    <row r="6639" spans="12:13" x14ac:dyDescent="0.2">
      <c r="L6639" s="5"/>
      <c r="M6639" s="5"/>
    </row>
    <row r="6640" spans="12:13" x14ac:dyDescent="0.2">
      <c r="L6640" s="5"/>
      <c r="M6640" s="5"/>
    </row>
    <row r="6641" spans="12:13" x14ac:dyDescent="0.2">
      <c r="L6641" s="5"/>
      <c r="M6641" s="5"/>
    </row>
    <row r="6642" spans="12:13" x14ac:dyDescent="0.2">
      <c r="L6642" s="5"/>
      <c r="M6642" s="5"/>
    </row>
    <row r="6643" spans="12:13" x14ac:dyDescent="0.2">
      <c r="L6643" s="5"/>
      <c r="M6643" s="5"/>
    </row>
    <row r="6644" spans="12:13" x14ac:dyDescent="0.2">
      <c r="L6644" s="5"/>
      <c r="M6644" s="5"/>
    </row>
    <row r="6645" spans="12:13" x14ac:dyDescent="0.2">
      <c r="L6645" s="5"/>
      <c r="M6645" s="5"/>
    </row>
    <row r="6646" spans="12:13" x14ac:dyDescent="0.2">
      <c r="L6646" s="5"/>
      <c r="M6646" s="5"/>
    </row>
    <row r="6647" spans="12:13" x14ac:dyDescent="0.2">
      <c r="L6647" s="5"/>
      <c r="M6647" s="5"/>
    </row>
    <row r="6648" spans="12:13" x14ac:dyDescent="0.2">
      <c r="L6648" s="5"/>
      <c r="M6648" s="5"/>
    </row>
    <row r="6649" spans="12:13" x14ac:dyDescent="0.2">
      <c r="L6649" s="5"/>
      <c r="M6649" s="5"/>
    </row>
    <row r="6650" spans="12:13" x14ac:dyDescent="0.2">
      <c r="L6650" s="5"/>
      <c r="M6650" s="5"/>
    </row>
    <row r="6651" spans="12:13" x14ac:dyDescent="0.2">
      <c r="L6651" s="5"/>
      <c r="M6651" s="5"/>
    </row>
    <row r="6652" spans="12:13" x14ac:dyDescent="0.2">
      <c r="L6652" s="5"/>
      <c r="M6652" s="5"/>
    </row>
    <row r="6653" spans="12:13" x14ac:dyDescent="0.2">
      <c r="L6653" s="5"/>
      <c r="M6653" s="5"/>
    </row>
    <row r="6654" spans="12:13" x14ac:dyDescent="0.2">
      <c r="L6654" s="5"/>
      <c r="M6654" s="5"/>
    </row>
    <row r="6655" spans="12:13" x14ac:dyDescent="0.2">
      <c r="L6655" s="5"/>
      <c r="M6655" s="5"/>
    </row>
    <row r="6656" spans="12:13" x14ac:dyDescent="0.2">
      <c r="L6656" s="5"/>
      <c r="M6656" s="5"/>
    </row>
    <row r="6657" spans="12:13" x14ac:dyDescent="0.2">
      <c r="L6657" s="5"/>
      <c r="M6657" s="5"/>
    </row>
    <row r="6658" spans="12:13" x14ac:dyDescent="0.2">
      <c r="L6658" s="5"/>
      <c r="M6658" s="5"/>
    </row>
    <row r="6659" spans="12:13" x14ac:dyDescent="0.2">
      <c r="L6659" s="5"/>
      <c r="M6659" s="5"/>
    </row>
    <row r="6660" spans="12:13" x14ac:dyDescent="0.2">
      <c r="L6660" s="5"/>
      <c r="M6660" s="5"/>
    </row>
    <row r="6661" spans="12:13" x14ac:dyDescent="0.2">
      <c r="L6661" s="5"/>
      <c r="M6661" s="5"/>
    </row>
    <row r="6662" spans="12:13" x14ac:dyDescent="0.2">
      <c r="L6662" s="5"/>
      <c r="M6662" s="5"/>
    </row>
    <row r="6663" spans="12:13" x14ac:dyDescent="0.2">
      <c r="L6663" s="5"/>
      <c r="M6663" s="5"/>
    </row>
    <row r="6664" spans="12:13" x14ac:dyDescent="0.2">
      <c r="L6664" s="5"/>
      <c r="M6664" s="5"/>
    </row>
    <row r="6665" spans="12:13" x14ac:dyDescent="0.2">
      <c r="L6665" s="5"/>
      <c r="M6665" s="5"/>
    </row>
    <row r="6666" spans="12:13" x14ac:dyDescent="0.2">
      <c r="L6666" s="5"/>
      <c r="M6666" s="5"/>
    </row>
    <row r="6667" spans="12:13" x14ac:dyDescent="0.2">
      <c r="L6667" s="5"/>
      <c r="M6667" s="5"/>
    </row>
    <row r="6668" spans="12:13" x14ac:dyDescent="0.2">
      <c r="L6668" s="5"/>
      <c r="M6668" s="5"/>
    </row>
    <row r="6669" spans="12:13" x14ac:dyDescent="0.2">
      <c r="L6669" s="5"/>
      <c r="M6669" s="5"/>
    </row>
    <row r="6670" spans="12:13" x14ac:dyDescent="0.2">
      <c r="L6670" s="5"/>
      <c r="M6670" s="5"/>
    </row>
    <row r="6671" spans="12:13" x14ac:dyDescent="0.2">
      <c r="L6671" s="5"/>
      <c r="M6671" s="5"/>
    </row>
    <row r="6672" spans="12:13" x14ac:dyDescent="0.2">
      <c r="L6672" s="5"/>
      <c r="M6672" s="5"/>
    </row>
    <row r="6673" spans="12:13" x14ac:dyDescent="0.2">
      <c r="L6673" s="5"/>
      <c r="M6673" s="5"/>
    </row>
    <row r="6674" spans="12:13" x14ac:dyDescent="0.2">
      <c r="L6674" s="5"/>
      <c r="M6674" s="5"/>
    </row>
    <row r="6675" spans="12:13" x14ac:dyDescent="0.2">
      <c r="L6675" s="5"/>
      <c r="M6675" s="5"/>
    </row>
    <row r="6676" spans="12:13" x14ac:dyDescent="0.2">
      <c r="L6676" s="5"/>
      <c r="M6676" s="5"/>
    </row>
    <row r="6677" spans="12:13" x14ac:dyDescent="0.2">
      <c r="L6677" s="5"/>
      <c r="M6677" s="5"/>
    </row>
    <row r="6678" spans="12:13" x14ac:dyDescent="0.2">
      <c r="L6678" s="5"/>
      <c r="M6678" s="5"/>
    </row>
    <row r="6679" spans="12:13" x14ac:dyDescent="0.2">
      <c r="L6679" s="5"/>
      <c r="M6679" s="5"/>
    </row>
    <row r="6680" spans="12:13" x14ac:dyDescent="0.2">
      <c r="L6680" s="5"/>
      <c r="M6680" s="5"/>
    </row>
    <row r="6681" spans="12:13" x14ac:dyDescent="0.2">
      <c r="L6681" s="5"/>
      <c r="M6681" s="5"/>
    </row>
    <row r="6682" spans="12:13" x14ac:dyDescent="0.2">
      <c r="L6682" s="5"/>
      <c r="M6682" s="5"/>
    </row>
    <row r="6683" spans="12:13" x14ac:dyDescent="0.2">
      <c r="L6683" s="5"/>
      <c r="M6683" s="5"/>
    </row>
    <row r="6684" spans="12:13" x14ac:dyDescent="0.2">
      <c r="L6684" s="5"/>
      <c r="M6684" s="5"/>
    </row>
    <row r="6685" spans="12:13" x14ac:dyDescent="0.2">
      <c r="L6685" s="5"/>
      <c r="M6685" s="5"/>
    </row>
    <row r="6686" spans="12:13" x14ac:dyDescent="0.2">
      <c r="L6686" s="5"/>
      <c r="M6686" s="5"/>
    </row>
    <row r="6687" spans="12:13" x14ac:dyDescent="0.2">
      <c r="L6687" s="5"/>
      <c r="M6687" s="5"/>
    </row>
    <row r="6688" spans="12:13" x14ac:dyDescent="0.2">
      <c r="L6688" s="5"/>
      <c r="M6688" s="5"/>
    </row>
    <row r="6689" spans="12:13" x14ac:dyDescent="0.2">
      <c r="L6689" s="5"/>
      <c r="M6689" s="5"/>
    </row>
    <row r="6690" spans="12:13" x14ac:dyDescent="0.2">
      <c r="L6690" s="5"/>
      <c r="M6690" s="5"/>
    </row>
    <row r="6691" spans="12:13" x14ac:dyDescent="0.2">
      <c r="L6691" s="5"/>
      <c r="M6691" s="5"/>
    </row>
    <row r="6692" spans="12:13" x14ac:dyDescent="0.2">
      <c r="L6692" s="5"/>
      <c r="M6692" s="5"/>
    </row>
    <row r="6693" spans="12:13" x14ac:dyDescent="0.2">
      <c r="L6693" s="5"/>
      <c r="M6693" s="5"/>
    </row>
    <row r="6694" spans="12:13" x14ac:dyDescent="0.2">
      <c r="L6694" s="5"/>
      <c r="M6694" s="5"/>
    </row>
    <row r="6695" spans="12:13" x14ac:dyDescent="0.2">
      <c r="L6695" s="5"/>
      <c r="M6695" s="5"/>
    </row>
    <row r="6696" spans="12:13" x14ac:dyDescent="0.2">
      <c r="L6696" s="5"/>
      <c r="M6696" s="5"/>
    </row>
    <row r="6697" spans="12:13" x14ac:dyDescent="0.2">
      <c r="L6697" s="5"/>
      <c r="M6697" s="5"/>
    </row>
    <row r="6698" spans="12:13" x14ac:dyDescent="0.2">
      <c r="L6698" s="5"/>
      <c r="M6698" s="5"/>
    </row>
    <row r="6699" spans="12:13" x14ac:dyDescent="0.2">
      <c r="L6699" s="5"/>
      <c r="M6699" s="5"/>
    </row>
    <row r="6700" spans="12:13" x14ac:dyDescent="0.2">
      <c r="L6700" s="5"/>
      <c r="M6700" s="5"/>
    </row>
    <row r="6701" spans="12:13" x14ac:dyDescent="0.2">
      <c r="L6701" s="5"/>
      <c r="M6701" s="5"/>
    </row>
    <row r="6702" spans="12:13" x14ac:dyDescent="0.2">
      <c r="L6702" s="5"/>
      <c r="M6702" s="5"/>
    </row>
    <row r="6703" spans="12:13" x14ac:dyDescent="0.2">
      <c r="L6703" s="5"/>
      <c r="M6703" s="5"/>
    </row>
    <row r="6704" spans="12:13" x14ac:dyDescent="0.2">
      <c r="L6704" s="5"/>
      <c r="M6704" s="5"/>
    </row>
    <row r="6705" spans="12:13" x14ac:dyDescent="0.2">
      <c r="L6705" s="5"/>
      <c r="M6705" s="5"/>
    </row>
    <row r="6706" spans="12:13" x14ac:dyDescent="0.2">
      <c r="L6706" s="5"/>
      <c r="M6706" s="5"/>
    </row>
    <row r="6707" spans="12:13" x14ac:dyDescent="0.2">
      <c r="L6707" s="5"/>
      <c r="M6707" s="5"/>
    </row>
    <row r="6708" spans="12:13" x14ac:dyDescent="0.2">
      <c r="L6708" s="5"/>
      <c r="M6708" s="5"/>
    </row>
    <row r="6709" spans="12:13" x14ac:dyDescent="0.2">
      <c r="L6709" s="5"/>
      <c r="M6709" s="5"/>
    </row>
    <row r="6710" spans="12:13" x14ac:dyDescent="0.2">
      <c r="L6710" s="5"/>
      <c r="M6710" s="5"/>
    </row>
    <row r="6711" spans="12:13" x14ac:dyDescent="0.2">
      <c r="L6711" s="5"/>
      <c r="M6711" s="5"/>
    </row>
    <row r="6712" spans="12:13" x14ac:dyDescent="0.2">
      <c r="L6712" s="5"/>
      <c r="M6712" s="5"/>
    </row>
    <row r="6713" spans="12:13" x14ac:dyDescent="0.2">
      <c r="L6713" s="5"/>
      <c r="M6713" s="5"/>
    </row>
    <row r="6714" spans="12:13" x14ac:dyDescent="0.2">
      <c r="L6714" s="5"/>
      <c r="M6714" s="5"/>
    </row>
    <row r="6715" spans="12:13" x14ac:dyDescent="0.2">
      <c r="L6715" s="5"/>
      <c r="M6715" s="5"/>
    </row>
    <row r="6716" spans="12:13" x14ac:dyDescent="0.2">
      <c r="L6716" s="5"/>
      <c r="M6716" s="5"/>
    </row>
    <row r="6717" spans="12:13" x14ac:dyDescent="0.2">
      <c r="L6717" s="5"/>
      <c r="M6717" s="5"/>
    </row>
    <row r="6718" spans="12:13" x14ac:dyDescent="0.2">
      <c r="L6718" s="5"/>
      <c r="M6718" s="5"/>
    </row>
    <row r="6719" spans="12:13" x14ac:dyDescent="0.2">
      <c r="L6719" s="5"/>
      <c r="M6719" s="5"/>
    </row>
    <row r="6720" spans="12:13" x14ac:dyDescent="0.2">
      <c r="L6720" s="5"/>
      <c r="M6720" s="5"/>
    </row>
    <row r="6721" spans="12:13" x14ac:dyDescent="0.2">
      <c r="L6721" s="5"/>
      <c r="M6721" s="5"/>
    </row>
    <row r="6722" spans="12:13" x14ac:dyDescent="0.2">
      <c r="L6722" s="5"/>
      <c r="M6722" s="5"/>
    </row>
    <row r="6723" spans="12:13" x14ac:dyDescent="0.2">
      <c r="L6723" s="5"/>
      <c r="M6723" s="5"/>
    </row>
    <row r="6724" spans="12:13" x14ac:dyDescent="0.2">
      <c r="L6724" s="5"/>
      <c r="M6724" s="5"/>
    </row>
    <row r="6725" spans="12:13" x14ac:dyDescent="0.2">
      <c r="L6725" s="5"/>
      <c r="M6725" s="5"/>
    </row>
    <row r="6726" spans="12:13" x14ac:dyDescent="0.2">
      <c r="L6726" s="5"/>
      <c r="M6726" s="5"/>
    </row>
    <row r="6727" spans="12:13" x14ac:dyDescent="0.2">
      <c r="L6727" s="5"/>
      <c r="M6727" s="5"/>
    </row>
    <row r="6728" spans="12:13" x14ac:dyDescent="0.2">
      <c r="L6728" s="5"/>
      <c r="M6728" s="5"/>
    </row>
    <row r="6729" spans="12:13" x14ac:dyDescent="0.2">
      <c r="L6729" s="5"/>
      <c r="M6729" s="5"/>
    </row>
    <row r="6730" spans="12:13" x14ac:dyDescent="0.2">
      <c r="L6730" s="5"/>
      <c r="M6730" s="5"/>
    </row>
    <row r="6731" spans="12:13" x14ac:dyDescent="0.2">
      <c r="L6731" s="5"/>
      <c r="M6731" s="5"/>
    </row>
    <row r="6732" spans="12:13" x14ac:dyDescent="0.2">
      <c r="L6732" s="5"/>
      <c r="M6732" s="5"/>
    </row>
    <row r="6733" spans="12:13" x14ac:dyDescent="0.2">
      <c r="L6733" s="5"/>
      <c r="M6733" s="5"/>
    </row>
    <row r="6734" spans="12:13" x14ac:dyDescent="0.2">
      <c r="L6734" s="5"/>
      <c r="M6734" s="5"/>
    </row>
    <row r="6735" spans="12:13" x14ac:dyDescent="0.2">
      <c r="L6735" s="5"/>
      <c r="M6735" s="5"/>
    </row>
    <row r="6736" spans="12:13" x14ac:dyDescent="0.2">
      <c r="L6736" s="5"/>
      <c r="M6736" s="5"/>
    </row>
    <row r="6737" spans="12:13" x14ac:dyDescent="0.2">
      <c r="L6737" s="5"/>
      <c r="M6737" s="5"/>
    </row>
    <row r="6738" spans="12:13" x14ac:dyDescent="0.2">
      <c r="L6738" s="5"/>
      <c r="M6738" s="5"/>
    </row>
    <row r="6739" spans="12:13" x14ac:dyDescent="0.2">
      <c r="L6739" s="5"/>
      <c r="M6739" s="5"/>
    </row>
    <row r="6740" spans="12:13" x14ac:dyDescent="0.2">
      <c r="L6740" s="5"/>
      <c r="M6740" s="5"/>
    </row>
    <row r="6741" spans="12:13" x14ac:dyDescent="0.2">
      <c r="L6741" s="5"/>
      <c r="M6741" s="5"/>
    </row>
    <row r="6742" spans="12:13" x14ac:dyDescent="0.2">
      <c r="L6742" s="5"/>
      <c r="M6742" s="5"/>
    </row>
    <row r="6743" spans="12:13" x14ac:dyDescent="0.2">
      <c r="L6743" s="5"/>
      <c r="M6743" s="5"/>
    </row>
    <row r="6744" spans="12:13" x14ac:dyDescent="0.2">
      <c r="L6744" s="5"/>
      <c r="M6744" s="5"/>
    </row>
    <row r="6745" spans="12:13" x14ac:dyDescent="0.2">
      <c r="L6745" s="5"/>
      <c r="M6745" s="5"/>
    </row>
    <row r="6746" spans="12:13" x14ac:dyDescent="0.2">
      <c r="L6746" s="5"/>
      <c r="M6746" s="5"/>
    </row>
    <row r="6747" spans="12:13" x14ac:dyDescent="0.2">
      <c r="L6747" s="5"/>
      <c r="M6747" s="5"/>
    </row>
    <row r="6748" spans="12:13" x14ac:dyDescent="0.2">
      <c r="L6748" s="5"/>
      <c r="M6748" s="5"/>
    </row>
    <row r="6749" spans="12:13" x14ac:dyDescent="0.2">
      <c r="L6749" s="5"/>
      <c r="M6749" s="5"/>
    </row>
    <row r="6750" spans="12:13" x14ac:dyDescent="0.2">
      <c r="L6750" s="5"/>
      <c r="M6750" s="5"/>
    </row>
    <row r="6751" spans="12:13" x14ac:dyDescent="0.2">
      <c r="L6751" s="5"/>
      <c r="M6751" s="5"/>
    </row>
    <row r="6752" spans="12:13" x14ac:dyDescent="0.2">
      <c r="L6752" s="5"/>
      <c r="M6752" s="5"/>
    </row>
    <row r="6753" spans="12:13" x14ac:dyDescent="0.2">
      <c r="L6753" s="5"/>
      <c r="M6753" s="5"/>
    </row>
    <row r="6754" spans="12:13" x14ac:dyDescent="0.2">
      <c r="L6754" s="5"/>
      <c r="M6754" s="5"/>
    </row>
    <row r="6755" spans="12:13" x14ac:dyDescent="0.2">
      <c r="L6755" s="5"/>
      <c r="M6755" s="5"/>
    </row>
    <row r="6756" spans="12:13" x14ac:dyDescent="0.2">
      <c r="L6756" s="5"/>
      <c r="M6756" s="5"/>
    </row>
    <row r="6757" spans="12:13" x14ac:dyDescent="0.2">
      <c r="L6757" s="5"/>
      <c r="M6757" s="5"/>
    </row>
    <row r="6758" spans="12:13" x14ac:dyDescent="0.2">
      <c r="L6758" s="5"/>
      <c r="M6758" s="5"/>
    </row>
    <row r="6759" spans="12:13" x14ac:dyDescent="0.2">
      <c r="L6759" s="5"/>
      <c r="M6759" s="5"/>
    </row>
    <row r="6760" spans="12:13" x14ac:dyDescent="0.2">
      <c r="L6760" s="5"/>
      <c r="M6760" s="5"/>
    </row>
    <row r="6761" spans="12:13" x14ac:dyDescent="0.2">
      <c r="L6761" s="5"/>
      <c r="M6761" s="5"/>
    </row>
    <row r="6762" spans="12:13" x14ac:dyDescent="0.2">
      <c r="L6762" s="5"/>
      <c r="M6762" s="5"/>
    </row>
    <row r="6763" spans="12:13" x14ac:dyDescent="0.2">
      <c r="L6763" s="5"/>
      <c r="M6763" s="5"/>
    </row>
    <row r="6764" spans="12:13" x14ac:dyDescent="0.2">
      <c r="L6764" s="5"/>
      <c r="M6764" s="5"/>
    </row>
    <row r="6765" spans="12:13" x14ac:dyDescent="0.2">
      <c r="L6765" s="5"/>
      <c r="M6765" s="5"/>
    </row>
    <row r="6766" spans="12:13" x14ac:dyDescent="0.2">
      <c r="L6766" s="5"/>
      <c r="M6766" s="5"/>
    </row>
    <row r="6767" spans="12:13" x14ac:dyDescent="0.2">
      <c r="L6767" s="5"/>
      <c r="M6767" s="5"/>
    </row>
    <row r="6768" spans="12:13" x14ac:dyDescent="0.2">
      <c r="L6768" s="5"/>
      <c r="M6768" s="5"/>
    </row>
    <row r="6769" spans="12:13" x14ac:dyDescent="0.2">
      <c r="L6769" s="5"/>
      <c r="M6769" s="5"/>
    </row>
    <row r="6770" spans="12:13" x14ac:dyDescent="0.2">
      <c r="L6770" s="5"/>
      <c r="M6770" s="5"/>
    </row>
    <row r="6771" spans="12:13" x14ac:dyDescent="0.2">
      <c r="L6771" s="5"/>
      <c r="M6771" s="5"/>
    </row>
    <row r="6772" spans="12:13" x14ac:dyDescent="0.2">
      <c r="L6772" s="5"/>
      <c r="M6772" s="5"/>
    </row>
    <row r="6773" spans="12:13" x14ac:dyDescent="0.2">
      <c r="L6773" s="5"/>
      <c r="M6773" s="5"/>
    </row>
    <row r="6774" spans="12:13" x14ac:dyDescent="0.2">
      <c r="L6774" s="5"/>
      <c r="M6774" s="5"/>
    </row>
    <row r="6775" spans="12:13" x14ac:dyDescent="0.2">
      <c r="L6775" s="5"/>
      <c r="M6775" s="5"/>
    </row>
    <row r="6776" spans="12:13" x14ac:dyDescent="0.2">
      <c r="L6776" s="5"/>
      <c r="M6776" s="5"/>
    </row>
    <row r="6777" spans="12:13" x14ac:dyDescent="0.2">
      <c r="L6777" s="5"/>
      <c r="M6777" s="5"/>
    </row>
    <row r="6778" spans="12:13" x14ac:dyDescent="0.2">
      <c r="L6778" s="5"/>
      <c r="M6778" s="5"/>
    </row>
    <row r="6779" spans="12:13" x14ac:dyDescent="0.2">
      <c r="L6779" s="5"/>
      <c r="M6779" s="5"/>
    </row>
    <row r="6780" spans="12:13" x14ac:dyDescent="0.2">
      <c r="L6780" s="5"/>
      <c r="M6780" s="5"/>
    </row>
    <row r="6781" spans="12:13" x14ac:dyDescent="0.2">
      <c r="L6781" s="5"/>
      <c r="M6781" s="5"/>
    </row>
    <row r="6782" spans="12:13" x14ac:dyDescent="0.2">
      <c r="L6782" s="5"/>
      <c r="M6782" s="5"/>
    </row>
    <row r="6783" spans="12:13" x14ac:dyDescent="0.2">
      <c r="L6783" s="5"/>
      <c r="M6783" s="5"/>
    </row>
    <row r="6784" spans="12:13" x14ac:dyDescent="0.2">
      <c r="L6784" s="5"/>
      <c r="M6784" s="5"/>
    </row>
    <row r="6785" spans="12:13" x14ac:dyDescent="0.2">
      <c r="L6785" s="5"/>
      <c r="M6785" s="5"/>
    </row>
    <row r="6786" spans="12:13" x14ac:dyDescent="0.2">
      <c r="L6786" s="5"/>
      <c r="M6786" s="5"/>
    </row>
    <row r="6787" spans="12:13" x14ac:dyDescent="0.2">
      <c r="L6787" s="5"/>
      <c r="M6787" s="5"/>
    </row>
    <row r="6788" spans="12:13" x14ac:dyDescent="0.2">
      <c r="L6788" s="5"/>
      <c r="M6788" s="5"/>
    </row>
    <row r="6789" spans="12:13" x14ac:dyDescent="0.2">
      <c r="L6789" s="5"/>
      <c r="M6789" s="5"/>
    </row>
    <row r="6790" spans="12:13" x14ac:dyDescent="0.2">
      <c r="L6790" s="5"/>
      <c r="M6790" s="5"/>
    </row>
    <row r="6791" spans="12:13" x14ac:dyDescent="0.2">
      <c r="L6791" s="5"/>
      <c r="M6791" s="5"/>
    </row>
    <row r="6792" spans="12:13" x14ac:dyDescent="0.2">
      <c r="L6792" s="5"/>
      <c r="M6792" s="5"/>
    </row>
    <row r="6793" spans="12:13" x14ac:dyDescent="0.2">
      <c r="L6793" s="5"/>
      <c r="M6793" s="5"/>
    </row>
    <row r="6794" spans="12:13" x14ac:dyDescent="0.2">
      <c r="L6794" s="5"/>
      <c r="M6794" s="5"/>
    </row>
    <row r="6795" spans="12:13" x14ac:dyDescent="0.2">
      <c r="L6795" s="5"/>
      <c r="M6795" s="5"/>
    </row>
    <row r="6796" spans="12:13" x14ac:dyDescent="0.2">
      <c r="L6796" s="5"/>
      <c r="M6796" s="5"/>
    </row>
    <row r="6797" spans="12:13" x14ac:dyDescent="0.2">
      <c r="L6797" s="5"/>
      <c r="M6797" s="5"/>
    </row>
    <row r="6798" spans="12:13" x14ac:dyDescent="0.2">
      <c r="L6798" s="5"/>
      <c r="M6798" s="5"/>
    </row>
    <row r="6799" spans="12:13" x14ac:dyDescent="0.2">
      <c r="L6799" s="5"/>
      <c r="M6799" s="5"/>
    </row>
    <row r="6800" spans="12:13" x14ac:dyDescent="0.2">
      <c r="L6800" s="5"/>
      <c r="M6800" s="5"/>
    </row>
    <row r="6801" spans="12:13" x14ac:dyDescent="0.2">
      <c r="L6801" s="5"/>
      <c r="M6801" s="5"/>
    </row>
    <row r="6802" spans="12:13" x14ac:dyDescent="0.2">
      <c r="L6802" s="5"/>
      <c r="M6802" s="5"/>
    </row>
    <row r="6803" spans="12:13" x14ac:dyDescent="0.2">
      <c r="L6803" s="5"/>
      <c r="M6803" s="5"/>
    </row>
    <row r="6804" spans="12:13" x14ac:dyDescent="0.2">
      <c r="L6804" s="5"/>
      <c r="M6804" s="5"/>
    </row>
    <row r="6805" spans="12:13" x14ac:dyDescent="0.2">
      <c r="L6805" s="5"/>
      <c r="M6805" s="5"/>
    </row>
    <row r="6806" spans="12:13" x14ac:dyDescent="0.2">
      <c r="L6806" s="5"/>
      <c r="M6806" s="5"/>
    </row>
    <row r="6807" spans="12:13" x14ac:dyDescent="0.2">
      <c r="L6807" s="5"/>
      <c r="M6807" s="5"/>
    </row>
    <row r="6808" spans="12:13" x14ac:dyDescent="0.2">
      <c r="L6808" s="5"/>
      <c r="M6808" s="5"/>
    </row>
    <row r="6809" spans="12:13" x14ac:dyDescent="0.2">
      <c r="L6809" s="5"/>
      <c r="M6809" s="5"/>
    </row>
    <row r="6810" spans="12:13" x14ac:dyDescent="0.2">
      <c r="L6810" s="5"/>
      <c r="M6810" s="5"/>
    </row>
    <row r="6811" spans="12:13" x14ac:dyDescent="0.2">
      <c r="L6811" s="5"/>
      <c r="M6811" s="5"/>
    </row>
    <row r="6812" spans="12:13" x14ac:dyDescent="0.2">
      <c r="L6812" s="5"/>
      <c r="M6812" s="5"/>
    </row>
    <row r="6813" spans="12:13" x14ac:dyDescent="0.2">
      <c r="L6813" s="5"/>
      <c r="M6813" s="5"/>
    </row>
    <row r="6814" spans="12:13" x14ac:dyDescent="0.2">
      <c r="L6814" s="5"/>
      <c r="M6814" s="5"/>
    </row>
    <row r="6815" spans="12:13" x14ac:dyDescent="0.2">
      <c r="L6815" s="5"/>
      <c r="M6815" s="5"/>
    </row>
    <row r="6816" spans="12:13" x14ac:dyDescent="0.2">
      <c r="L6816" s="5"/>
      <c r="M6816" s="5"/>
    </row>
    <row r="6817" spans="12:13" x14ac:dyDescent="0.2">
      <c r="L6817" s="5"/>
      <c r="M6817" s="5"/>
    </row>
    <row r="6818" spans="12:13" x14ac:dyDescent="0.2">
      <c r="L6818" s="5"/>
      <c r="M6818" s="5"/>
    </row>
    <row r="6819" spans="12:13" x14ac:dyDescent="0.2">
      <c r="L6819" s="5"/>
      <c r="M6819" s="5"/>
    </row>
    <row r="6820" spans="12:13" x14ac:dyDescent="0.2">
      <c r="L6820" s="5"/>
      <c r="M6820" s="5"/>
    </row>
    <row r="6821" spans="12:13" x14ac:dyDescent="0.2">
      <c r="L6821" s="5"/>
      <c r="M6821" s="5"/>
    </row>
    <row r="6822" spans="12:13" x14ac:dyDescent="0.2">
      <c r="L6822" s="5"/>
      <c r="M6822" s="5"/>
    </row>
    <row r="6823" spans="12:13" x14ac:dyDescent="0.2">
      <c r="L6823" s="5"/>
      <c r="M6823" s="5"/>
    </row>
    <row r="6824" spans="12:13" x14ac:dyDescent="0.2">
      <c r="L6824" s="5"/>
      <c r="M6824" s="5"/>
    </row>
    <row r="6825" spans="12:13" x14ac:dyDescent="0.2">
      <c r="L6825" s="5"/>
      <c r="M6825" s="5"/>
    </row>
    <row r="6826" spans="12:13" x14ac:dyDescent="0.2">
      <c r="L6826" s="5"/>
      <c r="M6826" s="5"/>
    </row>
    <row r="6827" spans="12:13" x14ac:dyDescent="0.2">
      <c r="L6827" s="5"/>
      <c r="M6827" s="5"/>
    </row>
    <row r="6828" spans="12:13" x14ac:dyDescent="0.2">
      <c r="L6828" s="5"/>
      <c r="M6828" s="5"/>
    </row>
    <row r="6829" spans="12:13" x14ac:dyDescent="0.2">
      <c r="L6829" s="5"/>
      <c r="M6829" s="5"/>
    </row>
    <row r="6830" spans="12:13" x14ac:dyDescent="0.2">
      <c r="L6830" s="5"/>
      <c r="M6830" s="5"/>
    </row>
    <row r="6831" spans="12:13" x14ac:dyDescent="0.2">
      <c r="L6831" s="5"/>
      <c r="M6831" s="5"/>
    </row>
    <row r="6832" spans="12:13" x14ac:dyDescent="0.2">
      <c r="L6832" s="5"/>
      <c r="M6832" s="5"/>
    </row>
    <row r="6833" spans="12:13" x14ac:dyDescent="0.2">
      <c r="L6833" s="5"/>
      <c r="M6833" s="5"/>
    </row>
    <row r="6834" spans="12:13" x14ac:dyDescent="0.2">
      <c r="L6834" s="5"/>
      <c r="M6834" s="5"/>
    </row>
    <row r="6835" spans="12:13" x14ac:dyDescent="0.2">
      <c r="L6835" s="5"/>
      <c r="M6835" s="5"/>
    </row>
    <row r="6836" spans="12:13" x14ac:dyDescent="0.2">
      <c r="L6836" s="5"/>
      <c r="M6836" s="5"/>
    </row>
    <row r="6837" spans="12:13" x14ac:dyDescent="0.2">
      <c r="L6837" s="5"/>
      <c r="M6837" s="5"/>
    </row>
    <row r="6838" spans="12:13" x14ac:dyDescent="0.2">
      <c r="L6838" s="5"/>
      <c r="M6838" s="5"/>
    </row>
    <row r="6839" spans="12:13" x14ac:dyDescent="0.2">
      <c r="L6839" s="5"/>
      <c r="M6839" s="5"/>
    </row>
    <row r="6840" spans="12:13" x14ac:dyDescent="0.2">
      <c r="L6840" s="5"/>
      <c r="M6840" s="5"/>
    </row>
    <row r="6841" spans="12:13" x14ac:dyDescent="0.2">
      <c r="L6841" s="5"/>
      <c r="M6841" s="5"/>
    </row>
    <row r="6842" spans="12:13" x14ac:dyDescent="0.2">
      <c r="L6842" s="5"/>
      <c r="M6842" s="5"/>
    </row>
    <row r="6843" spans="12:13" x14ac:dyDescent="0.2">
      <c r="L6843" s="5"/>
      <c r="M6843" s="5"/>
    </row>
    <row r="6844" spans="12:13" x14ac:dyDescent="0.2">
      <c r="L6844" s="5"/>
      <c r="M6844" s="5"/>
    </row>
    <row r="6845" spans="12:13" x14ac:dyDescent="0.2">
      <c r="L6845" s="5"/>
      <c r="M6845" s="5"/>
    </row>
    <row r="6846" spans="12:13" x14ac:dyDescent="0.2">
      <c r="L6846" s="5"/>
      <c r="M6846" s="5"/>
    </row>
    <row r="6847" spans="12:13" x14ac:dyDescent="0.2">
      <c r="L6847" s="5"/>
      <c r="M6847" s="5"/>
    </row>
    <row r="6848" spans="12:13" x14ac:dyDescent="0.2">
      <c r="L6848" s="5"/>
      <c r="M6848" s="5"/>
    </row>
    <row r="6849" spans="12:13" x14ac:dyDescent="0.2">
      <c r="L6849" s="5"/>
      <c r="M6849" s="5"/>
    </row>
    <row r="6850" spans="12:13" x14ac:dyDescent="0.2">
      <c r="L6850" s="5"/>
      <c r="M6850" s="5"/>
    </row>
    <row r="6851" spans="12:13" x14ac:dyDescent="0.2">
      <c r="L6851" s="5"/>
      <c r="M6851" s="5"/>
    </row>
    <row r="6852" spans="12:13" x14ac:dyDescent="0.2">
      <c r="L6852" s="5"/>
      <c r="M6852" s="5"/>
    </row>
    <row r="6853" spans="12:13" x14ac:dyDescent="0.2">
      <c r="L6853" s="5"/>
      <c r="M6853" s="5"/>
    </row>
    <row r="6854" spans="12:13" x14ac:dyDescent="0.2">
      <c r="L6854" s="5"/>
      <c r="M6854" s="5"/>
    </row>
    <row r="6855" spans="12:13" x14ac:dyDescent="0.2">
      <c r="L6855" s="5"/>
      <c r="M6855" s="5"/>
    </row>
    <row r="6856" spans="12:13" x14ac:dyDescent="0.2">
      <c r="L6856" s="5"/>
      <c r="M6856" s="5"/>
    </row>
    <row r="6857" spans="12:13" x14ac:dyDescent="0.2">
      <c r="L6857" s="5"/>
      <c r="M6857" s="5"/>
    </row>
    <row r="6858" spans="12:13" x14ac:dyDescent="0.2">
      <c r="L6858" s="5"/>
      <c r="M6858" s="5"/>
    </row>
    <row r="6859" spans="12:13" x14ac:dyDescent="0.2">
      <c r="L6859" s="5"/>
      <c r="M6859" s="5"/>
    </row>
    <row r="6860" spans="12:13" x14ac:dyDescent="0.2">
      <c r="L6860" s="5"/>
      <c r="M6860" s="5"/>
    </row>
    <row r="6861" spans="12:13" x14ac:dyDescent="0.2">
      <c r="L6861" s="5"/>
      <c r="M6861" s="5"/>
    </row>
    <row r="6862" spans="12:13" x14ac:dyDescent="0.2">
      <c r="L6862" s="5"/>
      <c r="M6862" s="5"/>
    </row>
    <row r="6863" spans="12:13" x14ac:dyDescent="0.2">
      <c r="L6863" s="5"/>
      <c r="M6863" s="5"/>
    </row>
    <row r="6864" spans="12:13" x14ac:dyDescent="0.2">
      <c r="L6864" s="5"/>
      <c r="M6864" s="5"/>
    </row>
    <row r="6865" spans="12:13" x14ac:dyDescent="0.2">
      <c r="L6865" s="5"/>
      <c r="M6865" s="5"/>
    </row>
    <row r="6866" spans="12:13" x14ac:dyDescent="0.2">
      <c r="L6866" s="5"/>
      <c r="M6866" s="5"/>
    </row>
    <row r="6867" spans="12:13" x14ac:dyDescent="0.2">
      <c r="L6867" s="5"/>
      <c r="M6867" s="5"/>
    </row>
    <row r="6868" spans="12:13" x14ac:dyDescent="0.2">
      <c r="L6868" s="5"/>
      <c r="M6868" s="5"/>
    </row>
    <row r="6869" spans="12:13" x14ac:dyDescent="0.2">
      <c r="L6869" s="5"/>
      <c r="M6869" s="5"/>
    </row>
    <row r="6870" spans="12:13" x14ac:dyDescent="0.2">
      <c r="L6870" s="5"/>
      <c r="M6870" s="5"/>
    </row>
    <row r="6871" spans="12:13" x14ac:dyDescent="0.2">
      <c r="L6871" s="5"/>
      <c r="M6871" s="5"/>
    </row>
    <row r="6872" spans="12:13" x14ac:dyDescent="0.2">
      <c r="L6872" s="5"/>
      <c r="M6872" s="5"/>
    </row>
    <row r="6873" spans="12:13" x14ac:dyDescent="0.2">
      <c r="L6873" s="5"/>
      <c r="M6873" s="5"/>
    </row>
    <row r="6874" spans="12:13" x14ac:dyDescent="0.2">
      <c r="L6874" s="5"/>
      <c r="M6874" s="5"/>
    </row>
    <row r="6875" spans="12:13" x14ac:dyDescent="0.2">
      <c r="L6875" s="5"/>
      <c r="M6875" s="5"/>
    </row>
    <row r="6876" spans="12:13" x14ac:dyDescent="0.2">
      <c r="L6876" s="5"/>
      <c r="M6876" s="5"/>
    </row>
    <row r="6877" spans="12:13" x14ac:dyDescent="0.2">
      <c r="L6877" s="5"/>
      <c r="M6877" s="5"/>
    </row>
    <row r="6878" spans="12:13" x14ac:dyDescent="0.2">
      <c r="L6878" s="5"/>
      <c r="M6878" s="5"/>
    </row>
    <row r="6879" spans="12:13" x14ac:dyDescent="0.2">
      <c r="L6879" s="5"/>
      <c r="M6879" s="5"/>
    </row>
    <row r="6880" spans="12:13" x14ac:dyDescent="0.2">
      <c r="L6880" s="5"/>
      <c r="M6880" s="5"/>
    </row>
    <row r="6881" spans="12:13" x14ac:dyDescent="0.2">
      <c r="L6881" s="5"/>
      <c r="M6881" s="5"/>
    </row>
    <row r="6882" spans="12:13" x14ac:dyDescent="0.2">
      <c r="L6882" s="5"/>
      <c r="M6882" s="5"/>
    </row>
    <row r="6883" spans="12:13" x14ac:dyDescent="0.2">
      <c r="L6883" s="5"/>
      <c r="M6883" s="5"/>
    </row>
    <row r="6884" spans="12:13" x14ac:dyDescent="0.2">
      <c r="L6884" s="5"/>
      <c r="M6884" s="5"/>
    </row>
    <row r="6885" spans="12:13" x14ac:dyDescent="0.2">
      <c r="L6885" s="5"/>
      <c r="M6885" s="5"/>
    </row>
    <row r="6886" spans="12:13" x14ac:dyDescent="0.2">
      <c r="L6886" s="5"/>
      <c r="M6886" s="5"/>
    </row>
    <row r="6887" spans="12:13" x14ac:dyDescent="0.2">
      <c r="L6887" s="5"/>
      <c r="M6887" s="5"/>
    </row>
    <row r="6888" spans="12:13" x14ac:dyDescent="0.2">
      <c r="L6888" s="5"/>
      <c r="M6888" s="5"/>
    </row>
    <row r="6889" spans="12:13" x14ac:dyDescent="0.2">
      <c r="L6889" s="5"/>
      <c r="M6889" s="5"/>
    </row>
    <row r="6890" spans="12:13" x14ac:dyDescent="0.2">
      <c r="L6890" s="5"/>
      <c r="M6890" s="5"/>
    </row>
    <row r="6891" spans="12:13" x14ac:dyDescent="0.2">
      <c r="L6891" s="5"/>
      <c r="M6891" s="5"/>
    </row>
    <row r="6892" spans="12:13" x14ac:dyDescent="0.2">
      <c r="L6892" s="5"/>
      <c r="M6892" s="5"/>
    </row>
    <row r="6893" spans="12:13" x14ac:dyDescent="0.2">
      <c r="L6893" s="5"/>
      <c r="M6893" s="5"/>
    </row>
    <row r="6894" spans="12:13" x14ac:dyDescent="0.2">
      <c r="L6894" s="5"/>
      <c r="M6894" s="5"/>
    </row>
    <row r="6895" spans="12:13" x14ac:dyDescent="0.2">
      <c r="L6895" s="5"/>
      <c r="M6895" s="5"/>
    </row>
    <row r="6896" spans="12:13" x14ac:dyDescent="0.2">
      <c r="L6896" s="5"/>
      <c r="M6896" s="5"/>
    </row>
    <row r="6897" spans="12:13" x14ac:dyDescent="0.2">
      <c r="L6897" s="5"/>
      <c r="M6897" s="5"/>
    </row>
    <row r="6898" spans="12:13" x14ac:dyDescent="0.2">
      <c r="L6898" s="5"/>
      <c r="M6898" s="5"/>
    </row>
    <row r="6899" spans="12:13" x14ac:dyDescent="0.2">
      <c r="L6899" s="5"/>
      <c r="M6899" s="5"/>
    </row>
    <row r="6900" spans="12:13" x14ac:dyDescent="0.2">
      <c r="L6900" s="5"/>
      <c r="M6900" s="5"/>
    </row>
    <row r="6901" spans="12:13" x14ac:dyDescent="0.2">
      <c r="L6901" s="5"/>
      <c r="M6901" s="5"/>
    </row>
    <row r="6902" spans="12:13" x14ac:dyDescent="0.2">
      <c r="L6902" s="5"/>
      <c r="M6902" s="5"/>
    </row>
    <row r="6903" spans="12:13" x14ac:dyDescent="0.2">
      <c r="L6903" s="5"/>
      <c r="M6903" s="5"/>
    </row>
    <row r="6904" spans="12:13" x14ac:dyDescent="0.2">
      <c r="L6904" s="5"/>
      <c r="M6904" s="5"/>
    </row>
    <row r="6905" spans="12:13" x14ac:dyDescent="0.2">
      <c r="L6905" s="5"/>
      <c r="M6905" s="5"/>
    </row>
    <row r="6906" spans="12:13" x14ac:dyDescent="0.2">
      <c r="L6906" s="5"/>
      <c r="M6906" s="5"/>
    </row>
    <row r="6907" spans="12:13" x14ac:dyDescent="0.2">
      <c r="L6907" s="5"/>
      <c r="M6907" s="5"/>
    </row>
    <row r="6908" spans="12:13" x14ac:dyDescent="0.2">
      <c r="L6908" s="5"/>
      <c r="M6908" s="5"/>
    </row>
    <row r="6909" spans="12:13" x14ac:dyDescent="0.2">
      <c r="L6909" s="5"/>
      <c r="M6909" s="5"/>
    </row>
    <row r="6910" spans="12:13" x14ac:dyDescent="0.2">
      <c r="L6910" s="5"/>
      <c r="M6910" s="5"/>
    </row>
    <row r="6911" spans="12:13" x14ac:dyDescent="0.2">
      <c r="L6911" s="5"/>
      <c r="M6911" s="5"/>
    </row>
    <row r="6912" spans="12:13" x14ac:dyDescent="0.2">
      <c r="L6912" s="5"/>
      <c r="M6912" s="5"/>
    </row>
    <row r="6913" spans="12:13" x14ac:dyDescent="0.2">
      <c r="L6913" s="5"/>
      <c r="M6913" s="5"/>
    </row>
    <row r="6914" spans="12:13" x14ac:dyDescent="0.2">
      <c r="L6914" s="5"/>
      <c r="M6914" s="5"/>
    </row>
    <row r="6915" spans="12:13" x14ac:dyDescent="0.2">
      <c r="L6915" s="5"/>
      <c r="M6915" s="5"/>
    </row>
    <row r="6916" spans="12:13" x14ac:dyDescent="0.2">
      <c r="L6916" s="5"/>
      <c r="M6916" s="5"/>
    </row>
    <row r="6917" spans="12:13" x14ac:dyDescent="0.2">
      <c r="L6917" s="5"/>
      <c r="M6917" s="5"/>
    </row>
    <row r="6918" spans="12:13" x14ac:dyDescent="0.2">
      <c r="L6918" s="5"/>
      <c r="M6918" s="5"/>
    </row>
    <row r="6919" spans="12:13" x14ac:dyDescent="0.2">
      <c r="L6919" s="5"/>
      <c r="M6919" s="5"/>
    </row>
    <row r="6920" spans="12:13" x14ac:dyDescent="0.2">
      <c r="L6920" s="5"/>
      <c r="M6920" s="5"/>
    </row>
    <row r="6921" spans="12:13" x14ac:dyDescent="0.2">
      <c r="L6921" s="5"/>
      <c r="M6921" s="5"/>
    </row>
    <row r="6922" spans="12:13" x14ac:dyDescent="0.2">
      <c r="L6922" s="5"/>
      <c r="M6922" s="5"/>
    </row>
    <row r="6923" spans="12:13" x14ac:dyDescent="0.2">
      <c r="L6923" s="5"/>
      <c r="M6923" s="5"/>
    </row>
    <row r="6924" spans="12:13" x14ac:dyDescent="0.2">
      <c r="L6924" s="5"/>
      <c r="M6924" s="5"/>
    </row>
    <row r="6925" spans="12:13" x14ac:dyDescent="0.2">
      <c r="L6925" s="5"/>
      <c r="M6925" s="5"/>
    </row>
    <row r="6926" spans="12:13" x14ac:dyDescent="0.2">
      <c r="L6926" s="5"/>
      <c r="M6926" s="5"/>
    </row>
    <row r="6927" spans="12:13" x14ac:dyDescent="0.2">
      <c r="L6927" s="5"/>
      <c r="M6927" s="5"/>
    </row>
    <row r="6928" spans="12:13" x14ac:dyDescent="0.2">
      <c r="L6928" s="5"/>
      <c r="M6928" s="5"/>
    </row>
    <row r="6929" spans="12:13" x14ac:dyDescent="0.2">
      <c r="L6929" s="5"/>
      <c r="M6929" s="5"/>
    </row>
    <row r="6930" spans="12:13" x14ac:dyDescent="0.2">
      <c r="L6930" s="5"/>
      <c r="M6930" s="5"/>
    </row>
    <row r="6931" spans="12:13" x14ac:dyDescent="0.2">
      <c r="L6931" s="5"/>
      <c r="M6931" s="5"/>
    </row>
    <row r="6932" spans="12:13" x14ac:dyDescent="0.2">
      <c r="L6932" s="5"/>
      <c r="M6932" s="5"/>
    </row>
    <row r="6933" spans="12:13" x14ac:dyDescent="0.2">
      <c r="L6933" s="5"/>
      <c r="M6933" s="5"/>
    </row>
    <row r="6934" spans="12:13" x14ac:dyDescent="0.2">
      <c r="L6934" s="5"/>
      <c r="M6934" s="5"/>
    </row>
    <row r="6935" spans="12:13" x14ac:dyDescent="0.2">
      <c r="L6935" s="5"/>
      <c r="M6935" s="5"/>
    </row>
    <row r="6936" spans="12:13" x14ac:dyDescent="0.2">
      <c r="L6936" s="5"/>
      <c r="M6936" s="5"/>
    </row>
    <row r="6937" spans="12:13" x14ac:dyDescent="0.2">
      <c r="L6937" s="5"/>
      <c r="M6937" s="5"/>
    </row>
    <row r="6938" spans="12:13" x14ac:dyDescent="0.2">
      <c r="L6938" s="5"/>
      <c r="M6938" s="5"/>
    </row>
    <row r="6939" spans="12:13" x14ac:dyDescent="0.2">
      <c r="L6939" s="5"/>
      <c r="M6939" s="5"/>
    </row>
    <row r="6940" spans="12:13" x14ac:dyDescent="0.2">
      <c r="L6940" s="5"/>
      <c r="M6940" s="5"/>
    </row>
    <row r="6941" spans="12:13" x14ac:dyDescent="0.2">
      <c r="L6941" s="5"/>
      <c r="M6941" s="5"/>
    </row>
    <row r="6942" spans="12:13" x14ac:dyDescent="0.2">
      <c r="L6942" s="5"/>
      <c r="M6942" s="5"/>
    </row>
    <row r="6943" spans="12:13" x14ac:dyDescent="0.2">
      <c r="L6943" s="5"/>
      <c r="M6943" s="5"/>
    </row>
    <row r="6944" spans="12:13" x14ac:dyDescent="0.2">
      <c r="L6944" s="5"/>
      <c r="M6944" s="5"/>
    </row>
    <row r="6945" spans="12:13" x14ac:dyDescent="0.2">
      <c r="L6945" s="5"/>
      <c r="M6945" s="5"/>
    </row>
    <row r="6946" spans="12:13" x14ac:dyDescent="0.2">
      <c r="L6946" s="5"/>
      <c r="M6946" s="5"/>
    </row>
    <row r="6947" spans="12:13" x14ac:dyDescent="0.2">
      <c r="L6947" s="5"/>
      <c r="M6947" s="5"/>
    </row>
    <row r="6948" spans="12:13" x14ac:dyDescent="0.2">
      <c r="L6948" s="5"/>
      <c r="M6948" s="5"/>
    </row>
    <row r="6949" spans="12:13" x14ac:dyDescent="0.2">
      <c r="L6949" s="5"/>
      <c r="M6949" s="5"/>
    </row>
    <row r="6950" spans="12:13" x14ac:dyDescent="0.2">
      <c r="L6950" s="5"/>
      <c r="M6950" s="5"/>
    </row>
    <row r="6951" spans="12:13" x14ac:dyDescent="0.2">
      <c r="L6951" s="5"/>
      <c r="M6951" s="5"/>
    </row>
    <row r="6952" spans="12:13" x14ac:dyDescent="0.2">
      <c r="L6952" s="5"/>
      <c r="M6952" s="5"/>
    </row>
    <row r="6953" spans="12:13" x14ac:dyDescent="0.2">
      <c r="L6953" s="5"/>
      <c r="M6953" s="5"/>
    </row>
    <row r="6954" spans="12:13" x14ac:dyDescent="0.2">
      <c r="L6954" s="5"/>
      <c r="M6954" s="5"/>
    </row>
    <row r="6955" spans="12:13" x14ac:dyDescent="0.2">
      <c r="L6955" s="5"/>
      <c r="M6955" s="5"/>
    </row>
    <row r="6956" spans="12:13" x14ac:dyDescent="0.2">
      <c r="L6956" s="5"/>
      <c r="M6956" s="5"/>
    </row>
    <row r="6957" spans="12:13" x14ac:dyDescent="0.2">
      <c r="L6957" s="5"/>
      <c r="M6957" s="5"/>
    </row>
    <row r="6958" spans="12:13" x14ac:dyDescent="0.2">
      <c r="L6958" s="5"/>
      <c r="M6958" s="5"/>
    </row>
    <row r="6959" spans="12:13" x14ac:dyDescent="0.2">
      <c r="L6959" s="5"/>
      <c r="M6959" s="5"/>
    </row>
    <row r="6960" spans="12:13" x14ac:dyDescent="0.2">
      <c r="L6960" s="5"/>
      <c r="M6960" s="5"/>
    </row>
    <row r="6961" spans="12:13" x14ac:dyDescent="0.2">
      <c r="L6961" s="5"/>
      <c r="M6961" s="5"/>
    </row>
    <row r="6962" spans="12:13" x14ac:dyDescent="0.2">
      <c r="L6962" s="5"/>
      <c r="M6962" s="5"/>
    </row>
    <row r="6963" spans="12:13" x14ac:dyDescent="0.2">
      <c r="L6963" s="5"/>
      <c r="M6963" s="5"/>
    </row>
    <row r="6964" spans="12:13" x14ac:dyDescent="0.2">
      <c r="L6964" s="5"/>
      <c r="M6964" s="5"/>
    </row>
    <row r="6965" spans="12:13" x14ac:dyDescent="0.2">
      <c r="L6965" s="5"/>
      <c r="M6965" s="5"/>
    </row>
    <row r="6966" spans="12:13" x14ac:dyDescent="0.2">
      <c r="L6966" s="5"/>
      <c r="M6966" s="5"/>
    </row>
    <row r="6967" spans="12:13" x14ac:dyDescent="0.2">
      <c r="L6967" s="5"/>
      <c r="M6967" s="5"/>
    </row>
    <row r="6968" spans="12:13" x14ac:dyDescent="0.2">
      <c r="L6968" s="5"/>
      <c r="M6968" s="5"/>
    </row>
    <row r="6969" spans="12:13" x14ac:dyDescent="0.2">
      <c r="L6969" s="5"/>
      <c r="M6969" s="5"/>
    </row>
    <row r="6970" spans="12:13" x14ac:dyDescent="0.2">
      <c r="L6970" s="5"/>
      <c r="M6970" s="5"/>
    </row>
    <row r="6971" spans="12:13" x14ac:dyDescent="0.2">
      <c r="L6971" s="5"/>
      <c r="M6971" s="5"/>
    </row>
    <row r="6972" spans="12:13" x14ac:dyDescent="0.2">
      <c r="L6972" s="5"/>
      <c r="M6972" s="5"/>
    </row>
    <row r="6973" spans="12:13" x14ac:dyDescent="0.2">
      <c r="L6973" s="5"/>
      <c r="M6973" s="5"/>
    </row>
    <row r="6974" spans="12:13" x14ac:dyDescent="0.2">
      <c r="L6974" s="5"/>
      <c r="M6974" s="5"/>
    </row>
    <row r="6975" spans="12:13" x14ac:dyDescent="0.2">
      <c r="L6975" s="5"/>
      <c r="M6975" s="5"/>
    </row>
    <row r="6976" spans="12:13" x14ac:dyDescent="0.2">
      <c r="L6976" s="5"/>
      <c r="M6976" s="5"/>
    </row>
    <row r="6977" spans="12:13" x14ac:dyDescent="0.2">
      <c r="L6977" s="5"/>
      <c r="M6977" s="5"/>
    </row>
    <row r="6978" spans="12:13" x14ac:dyDescent="0.2">
      <c r="L6978" s="5"/>
      <c r="M6978" s="5"/>
    </row>
    <row r="6979" spans="12:13" x14ac:dyDescent="0.2">
      <c r="L6979" s="5"/>
      <c r="M6979" s="5"/>
    </row>
    <row r="6980" spans="12:13" x14ac:dyDescent="0.2">
      <c r="L6980" s="5"/>
      <c r="M6980" s="5"/>
    </row>
    <row r="6981" spans="12:13" x14ac:dyDescent="0.2">
      <c r="L6981" s="5"/>
      <c r="M6981" s="5"/>
    </row>
    <row r="6982" spans="12:13" x14ac:dyDescent="0.2">
      <c r="L6982" s="5"/>
      <c r="M6982" s="5"/>
    </row>
    <row r="6983" spans="12:13" x14ac:dyDescent="0.2">
      <c r="L6983" s="5"/>
      <c r="M6983" s="5"/>
    </row>
    <row r="6984" spans="12:13" x14ac:dyDescent="0.2">
      <c r="L6984" s="5"/>
      <c r="M6984" s="5"/>
    </row>
    <row r="6985" spans="12:13" x14ac:dyDescent="0.2">
      <c r="L6985" s="5"/>
      <c r="M6985" s="5"/>
    </row>
    <row r="6986" spans="12:13" x14ac:dyDescent="0.2">
      <c r="L6986" s="5"/>
      <c r="M6986" s="5"/>
    </row>
    <row r="6987" spans="12:13" x14ac:dyDescent="0.2">
      <c r="L6987" s="5"/>
      <c r="M6987" s="5"/>
    </row>
    <row r="6988" spans="12:13" x14ac:dyDescent="0.2">
      <c r="L6988" s="5"/>
      <c r="M6988" s="5"/>
    </row>
    <row r="6989" spans="12:13" x14ac:dyDescent="0.2">
      <c r="L6989" s="5"/>
      <c r="M6989" s="5"/>
    </row>
    <row r="6990" spans="12:13" x14ac:dyDescent="0.2">
      <c r="L6990" s="5"/>
      <c r="M6990" s="5"/>
    </row>
    <row r="6991" spans="12:13" x14ac:dyDescent="0.2">
      <c r="L6991" s="5"/>
      <c r="M6991" s="5"/>
    </row>
    <row r="6992" spans="12:13" x14ac:dyDescent="0.2">
      <c r="L6992" s="5"/>
      <c r="M6992" s="5"/>
    </row>
    <row r="6993" spans="12:13" x14ac:dyDescent="0.2">
      <c r="L6993" s="5"/>
      <c r="M6993" s="5"/>
    </row>
    <row r="6994" spans="12:13" x14ac:dyDescent="0.2">
      <c r="L6994" s="5"/>
      <c r="M6994" s="5"/>
    </row>
    <row r="6995" spans="12:13" x14ac:dyDescent="0.2">
      <c r="L6995" s="5"/>
      <c r="M6995" s="5"/>
    </row>
    <row r="6996" spans="12:13" x14ac:dyDescent="0.2">
      <c r="L6996" s="5"/>
      <c r="M6996" s="5"/>
    </row>
    <row r="6997" spans="12:13" x14ac:dyDescent="0.2">
      <c r="L6997" s="5"/>
      <c r="M6997" s="5"/>
    </row>
    <row r="6998" spans="12:13" x14ac:dyDescent="0.2">
      <c r="L6998" s="5"/>
      <c r="M6998" s="5"/>
    </row>
    <row r="6999" spans="12:13" x14ac:dyDescent="0.2">
      <c r="L6999" s="5"/>
      <c r="M6999" s="5"/>
    </row>
    <row r="7000" spans="12:13" x14ac:dyDescent="0.2">
      <c r="L7000" s="5"/>
      <c r="M7000" s="5"/>
    </row>
    <row r="7001" spans="12:13" x14ac:dyDescent="0.2">
      <c r="L7001" s="5"/>
      <c r="M7001" s="5"/>
    </row>
    <row r="7002" spans="12:13" x14ac:dyDescent="0.2">
      <c r="L7002" s="5"/>
      <c r="M7002" s="5"/>
    </row>
    <row r="7003" spans="12:13" x14ac:dyDescent="0.2">
      <c r="L7003" s="5"/>
      <c r="M7003" s="5"/>
    </row>
    <row r="7004" spans="12:13" x14ac:dyDescent="0.2">
      <c r="L7004" s="5"/>
      <c r="M7004" s="5"/>
    </row>
    <row r="7005" spans="12:13" x14ac:dyDescent="0.2">
      <c r="L7005" s="5"/>
      <c r="M7005" s="5"/>
    </row>
    <row r="7006" spans="12:13" x14ac:dyDescent="0.2">
      <c r="L7006" s="5"/>
      <c r="M7006" s="5"/>
    </row>
    <row r="7007" spans="12:13" x14ac:dyDescent="0.2">
      <c r="L7007" s="5"/>
      <c r="M7007" s="5"/>
    </row>
    <row r="7008" spans="12:13" x14ac:dyDescent="0.2">
      <c r="L7008" s="5"/>
      <c r="M7008" s="5"/>
    </row>
    <row r="7009" spans="12:13" x14ac:dyDescent="0.2">
      <c r="L7009" s="5"/>
      <c r="M7009" s="5"/>
    </row>
    <row r="7010" spans="12:13" x14ac:dyDescent="0.2">
      <c r="L7010" s="5"/>
      <c r="M7010" s="5"/>
    </row>
    <row r="7011" spans="12:13" x14ac:dyDescent="0.2">
      <c r="L7011" s="5"/>
      <c r="M7011" s="5"/>
    </row>
    <row r="7012" spans="12:13" x14ac:dyDescent="0.2">
      <c r="L7012" s="5"/>
      <c r="M7012" s="5"/>
    </row>
    <row r="7013" spans="12:13" x14ac:dyDescent="0.2">
      <c r="L7013" s="5"/>
      <c r="M7013" s="5"/>
    </row>
    <row r="7014" spans="12:13" x14ac:dyDescent="0.2">
      <c r="L7014" s="5"/>
      <c r="M7014" s="5"/>
    </row>
    <row r="7015" spans="12:13" x14ac:dyDescent="0.2">
      <c r="L7015" s="5"/>
      <c r="M7015" s="5"/>
    </row>
    <row r="7016" spans="12:13" x14ac:dyDescent="0.2">
      <c r="L7016" s="5"/>
      <c r="M7016" s="5"/>
    </row>
    <row r="7017" spans="12:13" x14ac:dyDescent="0.2">
      <c r="L7017" s="5"/>
      <c r="M7017" s="5"/>
    </row>
    <row r="7018" spans="12:13" x14ac:dyDescent="0.2">
      <c r="L7018" s="5"/>
      <c r="M7018" s="5"/>
    </row>
    <row r="7019" spans="12:13" x14ac:dyDescent="0.2">
      <c r="L7019" s="5"/>
      <c r="M7019" s="5"/>
    </row>
    <row r="7020" spans="12:13" x14ac:dyDescent="0.2">
      <c r="L7020" s="5"/>
      <c r="M7020" s="5"/>
    </row>
    <row r="7021" spans="12:13" x14ac:dyDescent="0.2">
      <c r="L7021" s="5"/>
      <c r="M7021" s="5"/>
    </row>
    <row r="7022" spans="12:13" x14ac:dyDescent="0.2">
      <c r="L7022" s="5"/>
      <c r="M7022" s="5"/>
    </row>
    <row r="7023" spans="12:13" x14ac:dyDescent="0.2">
      <c r="L7023" s="5"/>
      <c r="M7023" s="5"/>
    </row>
    <row r="7024" spans="12:13" x14ac:dyDescent="0.2">
      <c r="L7024" s="5"/>
      <c r="M7024" s="5"/>
    </row>
    <row r="7025" spans="12:13" x14ac:dyDescent="0.2">
      <c r="L7025" s="5"/>
      <c r="M7025" s="5"/>
    </row>
    <row r="7026" spans="12:13" x14ac:dyDescent="0.2">
      <c r="L7026" s="5"/>
      <c r="M7026" s="5"/>
    </row>
    <row r="7027" spans="12:13" x14ac:dyDescent="0.2">
      <c r="L7027" s="5"/>
      <c r="M7027" s="5"/>
    </row>
    <row r="7028" spans="12:13" x14ac:dyDescent="0.2">
      <c r="L7028" s="5"/>
      <c r="M7028" s="5"/>
    </row>
    <row r="7029" spans="12:13" x14ac:dyDescent="0.2">
      <c r="L7029" s="5"/>
      <c r="M7029" s="5"/>
    </row>
    <row r="7030" spans="12:13" x14ac:dyDescent="0.2">
      <c r="L7030" s="5"/>
      <c r="M7030" s="5"/>
    </row>
    <row r="7031" spans="12:13" x14ac:dyDescent="0.2">
      <c r="L7031" s="5"/>
      <c r="M7031" s="5"/>
    </row>
    <row r="7032" spans="12:13" x14ac:dyDescent="0.2">
      <c r="L7032" s="5"/>
      <c r="M7032" s="5"/>
    </row>
    <row r="7033" spans="12:13" x14ac:dyDescent="0.2">
      <c r="L7033" s="5"/>
      <c r="M7033" s="5"/>
    </row>
    <row r="7034" spans="12:13" x14ac:dyDescent="0.2">
      <c r="L7034" s="5"/>
      <c r="M7034" s="5"/>
    </row>
    <row r="7035" spans="12:13" x14ac:dyDescent="0.2">
      <c r="L7035" s="5"/>
      <c r="M7035" s="5"/>
    </row>
    <row r="7036" spans="12:13" x14ac:dyDescent="0.2">
      <c r="L7036" s="5"/>
      <c r="M7036" s="5"/>
    </row>
    <row r="7037" spans="12:13" x14ac:dyDescent="0.2">
      <c r="L7037" s="5"/>
      <c r="M7037" s="5"/>
    </row>
    <row r="7038" spans="12:13" x14ac:dyDescent="0.2">
      <c r="L7038" s="5"/>
      <c r="M7038" s="5"/>
    </row>
    <row r="7039" spans="12:13" x14ac:dyDescent="0.2">
      <c r="L7039" s="5"/>
      <c r="M7039" s="5"/>
    </row>
    <row r="7040" spans="12:13" x14ac:dyDescent="0.2">
      <c r="L7040" s="5"/>
      <c r="M7040" s="5"/>
    </row>
    <row r="7041" spans="12:13" x14ac:dyDescent="0.2">
      <c r="L7041" s="5"/>
      <c r="M7041" s="5"/>
    </row>
    <row r="7042" spans="12:13" x14ac:dyDescent="0.2">
      <c r="L7042" s="5"/>
      <c r="M7042" s="5"/>
    </row>
    <row r="7043" spans="12:13" x14ac:dyDescent="0.2">
      <c r="L7043" s="5"/>
      <c r="M7043" s="5"/>
    </row>
    <row r="7044" spans="12:13" x14ac:dyDescent="0.2">
      <c r="L7044" s="5"/>
      <c r="M7044" s="5"/>
    </row>
    <row r="7045" spans="12:13" x14ac:dyDescent="0.2">
      <c r="L7045" s="5"/>
      <c r="M7045" s="5"/>
    </row>
    <row r="7046" spans="12:13" x14ac:dyDescent="0.2">
      <c r="L7046" s="5"/>
      <c r="M7046" s="5"/>
    </row>
    <row r="7047" spans="12:13" x14ac:dyDescent="0.2">
      <c r="L7047" s="5"/>
      <c r="M7047" s="5"/>
    </row>
    <row r="7048" spans="12:13" x14ac:dyDescent="0.2">
      <c r="L7048" s="5"/>
      <c r="M7048" s="5"/>
    </row>
    <row r="7049" spans="12:13" x14ac:dyDescent="0.2">
      <c r="L7049" s="5"/>
      <c r="M7049" s="5"/>
    </row>
    <row r="7050" spans="12:13" x14ac:dyDescent="0.2">
      <c r="L7050" s="5"/>
      <c r="M7050" s="5"/>
    </row>
    <row r="7051" spans="12:13" x14ac:dyDescent="0.2">
      <c r="L7051" s="5"/>
      <c r="M7051" s="5"/>
    </row>
    <row r="7052" spans="12:13" x14ac:dyDescent="0.2">
      <c r="L7052" s="5"/>
      <c r="M7052" s="5"/>
    </row>
    <row r="7053" spans="12:13" x14ac:dyDescent="0.2">
      <c r="L7053" s="5"/>
      <c r="M7053" s="5"/>
    </row>
    <row r="7054" spans="12:13" x14ac:dyDescent="0.2">
      <c r="L7054" s="5"/>
      <c r="M7054" s="5"/>
    </row>
    <row r="7055" spans="12:13" x14ac:dyDescent="0.2">
      <c r="L7055" s="5"/>
      <c r="M7055" s="5"/>
    </row>
    <row r="7056" spans="12:13" x14ac:dyDescent="0.2">
      <c r="L7056" s="5"/>
      <c r="M7056" s="5"/>
    </row>
    <row r="7057" spans="12:13" x14ac:dyDescent="0.2">
      <c r="L7057" s="5"/>
      <c r="M7057" s="5"/>
    </row>
    <row r="7058" spans="12:13" x14ac:dyDescent="0.2">
      <c r="L7058" s="5"/>
      <c r="M7058" s="5"/>
    </row>
    <row r="7059" spans="12:13" x14ac:dyDescent="0.2">
      <c r="L7059" s="5"/>
      <c r="M7059" s="5"/>
    </row>
    <row r="7060" spans="12:13" x14ac:dyDescent="0.2">
      <c r="L7060" s="5"/>
      <c r="M7060" s="5"/>
    </row>
    <row r="7061" spans="12:13" x14ac:dyDescent="0.2">
      <c r="L7061" s="5"/>
      <c r="M7061" s="5"/>
    </row>
    <row r="7062" spans="12:13" x14ac:dyDescent="0.2">
      <c r="L7062" s="5"/>
      <c r="M7062" s="5"/>
    </row>
    <row r="7063" spans="12:13" x14ac:dyDescent="0.2">
      <c r="L7063" s="5"/>
      <c r="M7063" s="5"/>
    </row>
    <row r="7064" spans="12:13" x14ac:dyDescent="0.2">
      <c r="L7064" s="5"/>
      <c r="M7064" s="5"/>
    </row>
    <row r="7065" spans="12:13" x14ac:dyDescent="0.2">
      <c r="L7065" s="5"/>
      <c r="M7065" s="5"/>
    </row>
    <row r="7066" spans="12:13" x14ac:dyDescent="0.2">
      <c r="L7066" s="5"/>
      <c r="M7066" s="5"/>
    </row>
    <row r="7067" spans="12:13" x14ac:dyDescent="0.2">
      <c r="L7067" s="5"/>
      <c r="M7067" s="5"/>
    </row>
    <row r="7068" spans="12:13" x14ac:dyDescent="0.2">
      <c r="L7068" s="5"/>
      <c r="M7068" s="5"/>
    </row>
    <row r="7069" spans="12:13" x14ac:dyDescent="0.2">
      <c r="L7069" s="5"/>
      <c r="M7069" s="5"/>
    </row>
    <row r="7070" spans="12:13" x14ac:dyDescent="0.2">
      <c r="L7070" s="5"/>
      <c r="M7070" s="5"/>
    </row>
    <row r="7071" spans="12:13" x14ac:dyDescent="0.2">
      <c r="L7071" s="5"/>
      <c r="M7071" s="5"/>
    </row>
    <row r="7072" spans="12:13" x14ac:dyDescent="0.2">
      <c r="L7072" s="5"/>
      <c r="M7072" s="5"/>
    </row>
    <row r="7073" spans="12:13" x14ac:dyDescent="0.2">
      <c r="L7073" s="5"/>
      <c r="M7073" s="5"/>
    </row>
    <row r="7074" spans="12:13" x14ac:dyDescent="0.2">
      <c r="L7074" s="5"/>
      <c r="M7074" s="5"/>
    </row>
    <row r="7075" spans="12:13" x14ac:dyDescent="0.2">
      <c r="L7075" s="5"/>
      <c r="M7075" s="5"/>
    </row>
    <row r="7076" spans="12:13" x14ac:dyDescent="0.2">
      <c r="L7076" s="5"/>
      <c r="M7076" s="5"/>
    </row>
    <row r="7077" spans="12:13" x14ac:dyDescent="0.2">
      <c r="L7077" s="5"/>
      <c r="M7077" s="5"/>
    </row>
    <row r="7078" spans="12:13" x14ac:dyDescent="0.2">
      <c r="L7078" s="5"/>
      <c r="M7078" s="5"/>
    </row>
    <row r="7079" spans="12:13" x14ac:dyDescent="0.2">
      <c r="L7079" s="5"/>
      <c r="M7079" s="5"/>
    </row>
    <row r="7080" spans="12:13" x14ac:dyDescent="0.2">
      <c r="L7080" s="5"/>
      <c r="M7080" s="5"/>
    </row>
    <row r="7081" spans="12:13" x14ac:dyDescent="0.2">
      <c r="L7081" s="5"/>
      <c r="M7081" s="5"/>
    </row>
    <row r="7082" spans="12:13" x14ac:dyDescent="0.2">
      <c r="L7082" s="5"/>
      <c r="M7082" s="5"/>
    </row>
    <row r="7083" spans="12:13" x14ac:dyDescent="0.2">
      <c r="L7083" s="5"/>
      <c r="M7083" s="5"/>
    </row>
    <row r="7084" spans="12:13" x14ac:dyDescent="0.2">
      <c r="L7084" s="5"/>
      <c r="M7084" s="5"/>
    </row>
    <row r="7085" spans="12:13" x14ac:dyDescent="0.2">
      <c r="L7085" s="5"/>
      <c r="M7085" s="5"/>
    </row>
    <row r="7086" spans="12:13" x14ac:dyDescent="0.2">
      <c r="L7086" s="5"/>
      <c r="M7086" s="5"/>
    </row>
    <row r="7087" spans="12:13" x14ac:dyDescent="0.2">
      <c r="L7087" s="5"/>
      <c r="M7087" s="5"/>
    </row>
    <row r="7088" spans="12:13" x14ac:dyDescent="0.2">
      <c r="L7088" s="5"/>
      <c r="M7088" s="5"/>
    </row>
    <row r="7089" spans="12:13" x14ac:dyDescent="0.2">
      <c r="L7089" s="5"/>
      <c r="M7089" s="5"/>
    </row>
    <row r="7090" spans="12:13" x14ac:dyDescent="0.2">
      <c r="L7090" s="5"/>
      <c r="M7090" s="5"/>
    </row>
    <row r="7091" spans="12:13" x14ac:dyDescent="0.2">
      <c r="L7091" s="5"/>
      <c r="M7091" s="5"/>
    </row>
    <row r="7092" spans="12:13" x14ac:dyDescent="0.2">
      <c r="L7092" s="5"/>
      <c r="M7092" s="5"/>
    </row>
    <row r="7093" spans="12:13" x14ac:dyDescent="0.2">
      <c r="L7093" s="5"/>
      <c r="M7093" s="5"/>
    </row>
    <row r="7094" spans="12:13" x14ac:dyDescent="0.2">
      <c r="L7094" s="5"/>
      <c r="M7094" s="5"/>
    </row>
    <row r="7095" spans="12:13" x14ac:dyDescent="0.2">
      <c r="L7095" s="5"/>
      <c r="M7095" s="5"/>
    </row>
    <row r="7096" spans="12:13" x14ac:dyDescent="0.2">
      <c r="L7096" s="5"/>
      <c r="M7096" s="5"/>
    </row>
    <row r="7097" spans="12:13" x14ac:dyDescent="0.2">
      <c r="L7097" s="5"/>
      <c r="M7097" s="5"/>
    </row>
    <row r="7098" spans="12:13" x14ac:dyDescent="0.2">
      <c r="L7098" s="5"/>
      <c r="M7098" s="5"/>
    </row>
    <row r="7099" spans="12:13" x14ac:dyDescent="0.2">
      <c r="L7099" s="5"/>
      <c r="M7099" s="5"/>
    </row>
    <row r="7100" spans="12:13" x14ac:dyDescent="0.2">
      <c r="L7100" s="5"/>
      <c r="M7100" s="5"/>
    </row>
    <row r="7101" spans="12:13" x14ac:dyDescent="0.2">
      <c r="L7101" s="5"/>
      <c r="M7101" s="5"/>
    </row>
    <row r="7102" spans="12:13" x14ac:dyDescent="0.2">
      <c r="L7102" s="5"/>
      <c r="M7102" s="5"/>
    </row>
    <row r="7103" spans="12:13" x14ac:dyDescent="0.2">
      <c r="L7103" s="5"/>
      <c r="M7103" s="5"/>
    </row>
    <row r="7104" spans="12:13" x14ac:dyDescent="0.2">
      <c r="L7104" s="5"/>
      <c r="M7104" s="5"/>
    </row>
    <row r="7105" spans="12:13" x14ac:dyDescent="0.2">
      <c r="L7105" s="5"/>
      <c r="M7105" s="5"/>
    </row>
    <row r="7106" spans="12:13" x14ac:dyDescent="0.2">
      <c r="L7106" s="5"/>
      <c r="M7106" s="5"/>
    </row>
    <row r="7107" spans="12:13" x14ac:dyDescent="0.2">
      <c r="L7107" s="5"/>
      <c r="M7107" s="5"/>
    </row>
    <row r="7108" spans="12:13" x14ac:dyDescent="0.2">
      <c r="L7108" s="5"/>
      <c r="M7108" s="5"/>
    </row>
    <row r="7109" spans="12:13" x14ac:dyDescent="0.2">
      <c r="L7109" s="5"/>
      <c r="M7109" s="5"/>
    </row>
    <row r="7110" spans="12:13" x14ac:dyDescent="0.2">
      <c r="L7110" s="5"/>
      <c r="M7110" s="5"/>
    </row>
    <row r="7111" spans="12:13" x14ac:dyDescent="0.2">
      <c r="L7111" s="5"/>
      <c r="M7111" s="5"/>
    </row>
    <row r="7112" spans="12:13" x14ac:dyDescent="0.2">
      <c r="L7112" s="5"/>
      <c r="M7112" s="5"/>
    </row>
    <row r="7113" spans="12:13" x14ac:dyDescent="0.2">
      <c r="L7113" s="5"/>
      <c r="M7113" s="5"/>
    </row>
    <row r="7114" spans="12:13" x14ac:dyDescent="0.2">
      <c r="L7114" s="5"/>
      <c r="M7114" s="5"/>
    </row>
    <row r="7115" spans="12:13" x14ac:dyDescent="0.2">
      <c r="L7115" s="5"/>
      <c r="M7115" s="5"/>
    </row>
    <row r="7116" spans="12:13" x14ac:dyDescent="0.2">
      <c r="L7116" s="5"/>
      <c r="M7116" s="5"/>
    </row>
    <row r="7117" spans="12:13" x14ac:dyDescent="0.2">
      <c r="L7117" s="5"/>
      <c r="M7117" s="5"/>
    </row>
    <row r="7118" spans="12:13" x14ac:dyDescent="0.2">
      <c r="L7118" s="5"/>
      <c r="M7118" s="5"/>
    </row>
    <row r="7119" spans="12:13" x14ac:dyDescent="0.2">
      <c r="L7119" s="5"/>
      <c r="M7119" s="5"/>
    </row>
    <row r="7120" spans="12:13" x14ac:dyDescent="0.2">
      <c r="L7120" s="5"/>
      <c r="M7120" s="5"/>
    </row>
    <row r="7121" spans="12:13" x14ac:dyDescent="0.2">
      <c r="L7121" s="5"/>
      <c r="M7121" s="5"/>
    </row>
    <row r="7122" spans="12:13" x14ac:dyDescent="0.2">
      <c r="L7122" s="5"/>
      <c r="M7122" s="5"/>
    </row>
    <row r="7123" spans="12:13" x14ac:dyDescent="0.2">
      <c r="L7123" s="5"/>
      <c r="M7123" s="5"/>
    </row>
    <row r="7124" spans="12:13" x14ac:dyDescent="0.2">
      <c r="L7124" s="5"/>
      <c r="M7124" s="5"/>
    </row>
    <row r="7125" spans="12:13" x14ac:dyDescent="0.2">
      <c r="L7125" s="5"/>
      <c r="M7125" s="5"/>
    </row>
    <row r="7126" spans="12:13" x14ac:dyDescent="0.2">
      <c r="L7126" s="5"/>
      <c r="M7126" s="5"/>
    </row>
    <row r="7127" spans="12:13" x14ac:dyDescent="0.2">
      <c r="L7127" s="5"/>
      <c r="M7127" s="5"/>
    </row>
    <row r="7128" spans="12:13" x14ac:dyDescent="0.2">
      <c r="L7128" s="5"/>
      <c r="M7128" s="5"/>
    </row>
    <row r="7129" spans="12:13" x14ac:dyDescent="0.2">
      <c r="L7129" s="5"/>
      <c r="M7129" s="5"/>
    </row>
    <row r="7130" spans="12:13" x14ac:dyDescent="0.2">
      <c r="L7130" s="5"/>
      <c r="M7130" s="5"/>
    </row>
    <row r="7131" spans="12:13" x14ac:dyDescent="0.2">
      <c r="L7131" s="5"/>
      <c r="M7131" s="5"/>
    </row>
    <row r="7132" spans="12:13" x14ac:dyDescent="0.2">
      <c r="L7132" s="5"/>
      <c r="M7132" s="5"/>
    </row>
    <row r="7133" spans="12:13" x14ac:dyDescent="0.2">
      <c r="L7133" s="5"/>
      <c r="M7133" s="5"/>
    </row>
    <row r="7134" spans="12:13" x14ac:dyDescent="0.2">
      <c r="L7134" s="5"/>
      <c r="M7134" s="5"/>
    </row>
    <row r="7135" spans="12:13" x14ac:dyDescent="0.2">
      <c r="L7135" s="5"/>
      <c r="M7135" s="5"/>
    </row>
    <row r="7136" spans="12:13" x14ac:dyDescent="0.2">
      <c r="L7136" s="5"/>
      <c r="M7136" s="5"/>
    </row>
    <row r="7137" spans="12:13" x14ac:dyDescent="0.2">
      <c r="L7137" s="5"/>
      <c r="M7137" s="5"/>
    </row>
    <row r="7138" spans="12:13" x14ac:dyDescent="0.2">
      <c r="L7138" s="5"/>
      <c r="M7138" s="5"/>
    </row>
    <row r="7139" spans="12:13" x14ac:dyDescent="0.2">
      <c r="L7139" s="5"/>
      <c r="M7139" s="5"/>
    </row>
    <row r="7140" spans="12:13" x14ac:dyDescent="0.2">
      <c r="L7140" s="5"/>
      <c r="M7140" s="5"/>
    </row>
    <row r="7141" spans="12:13" x14ac:dyDescent="0.2">
      <c r="L7141" s="5"/>
      <c r="M7141" s="5"/>
    </row>
    <row r="7142" spans="12:13" x14ac:dyDescent="0.2">
      <c r="L7142" s="5"/>
      <c r="M7142" s="5"/>
    </row>
    <row r="7143" spans="12:13" x14ac:dyDescent="0.2">
      <c r="L7143" s="5"/>
      <c r="M7143" s="5"/>
    </row>
    <row r="7144" spans="12:13" x14ac:dyDescent="0.2">
      <c r="L7144" s="5"/>
      <c r="M7144" s="5"/>
    </row>
    <row r="7145" spans="12:13" x14ac:dyDescent="0.2">
      <c r="L7145" s="5"/>
      <c r="M7145" s="5"/>
    </row>
    <row r="7146" spans="12:13" x14ac:dyDescent="0.2">
      <c r="L7146" s="5"/>
      <c r="M7146" s="5"/>
    </row>
    <row r="7147" spans="12:13" x14ac:dyDescent="0.2">
      <c r="L7147" s="5"/>
      <c r="M7147" s="5"/>
    </row>
    <row r="7148" spans="12:13" x14ac:dyDescent="0.2">
      <c r="L7148" s="5"/>
      <c r="M7148" s="5"/>
    </row>
    <row r="7149" spans="12:13" x14ac:dyDescent="0.2">
      <c r="L7149" s="5"/>
      <c r="M7149" s="5"/>
    </row>
    <row r="7150" spans="12:13" x14ac:dyDescent="0.2">
      <c r="L7150" s="5"/>
      <c r="M7150" s="5"/>
    </row>
    <row r="7151" spans="12:13" x14ac:dyDescent="0.2">
      <c r="L7151" s="5"/>
      <c r="M7151" s="5"/>
    </row>
    <row r="7152" spans="12:13" x14ac:dyDescent="0.2">
      <c r="L7152" s="5"/>
      <c r="M7152" s="5"/>
    </row>
    <row r="7153" spans="12:13" x14ac:dyDescent="0.2">
      <c r="L7153" s="5"/>
      <c r="M7153" s="5"/>
    </row>
    <row r="7154" spans="12:13" x14ac:dyDescent="0.2">
      <c r="L7154" s="5"/>
      <c r="M7154" s="5"/>
    </row>
    <row r="7155" spans="12:13" x14ac:dyDescent="0.2">
      <c r="L7155" s="5"/>
      <c r="M7155" s="5"/>
    </row>
    <row r="7156" spans="12:13" x14ac:dyDescent="0.2">
      <c r="L7156" s="5"/>
      <c r="M7156" s="5"/>
    </row>
    <row r="7157" spans="12:13" x14ac:dyDescent="0.2">
      <c r="L7157" s="5"/>
      <c r="M7157" s="5"/>
    </row>
    <row r="7158" spans="12:13" x14ac:dyDescent="0.2">
      <c r="L7158" s="5"/>
      <c r="M7158" s="5"/>
    </row>
    <row r="7159" spans="12:13" x14ac:dyDescent="0.2">
      <c r="L7159" s="5"/>
      <c r="M7159" s="5"/>
    </row>
    <row r="7160" spans="12:13" x14ac:dyDescent="0.2">
      <c r="L7160" s="5"/>
      <c r="M7160" s="5"/>
    </row>
    <row r="7161" spans="12:13" x14ac:dyDescent="0.2">
      <c r="L7161" s="5"/>
      <c r="M7161" s="5"/>
    </row>
    <row r="7162" spans="12:13" x14ac:dyDescent="0.2">
      <c r="L7162" s="5"/>
      <c r="M7162" s="5"/>
    </row>
    <row r="7163" spans="12:13" x14ac:dyDescent="0.2">
      <c r="L7163" s="5"/>
      <c r="M7163" s="5"/>
    </row>
    <row r="7164" spans="12:13" x14ac:dyDescent="0.2">
      <c r="L7164" s="5"/>
      <c r="M7164" s="5"/>
    </row>
    <row r="7165" spans="12:13" x14ac:dyDescent="0.2">
      <c r="L7165" s="5"/>
      <c r="M7165" s="5"/>
    </row>
    <row r="7166" spans="12:13" x14ac:dyDescent="0.2">
      <c r="L7166" s="5"/>
      <c r="M7166" s="5"/>
    </row>
    <row r="7167" spans="12:13" x14ac:dyDescent="0.2">
      <c r="L7167" s="5"/>
      <c r="M7167" s="5"/>
    </row>
    <row r="7168" spans="12:13" x14ac:dyDescent="0.2">
      <c r="L7168" s="5"/>
      <c r="M7168" s="5"/>
    </row>
    <row r="7169" spans="12:13" x14ac:dyDescent="0.2">
      <c r="L7169" s="5"/>
      <c r="M7169" s="5"/>
    </row>
    <row r="7170" spans="12:13" x14ac:dyDescent="0.2">
      <c r="L7170" s="5"/>
      <c r="M7170" s="5"/>
    </row>
    <row r="7171" spans="12:13" x14ac:dyDescent="0.2">
      <c r="L7171" s="5"/>
      <c r="M7171" s="5"/>
    </row>
    <row r="7172" spans="12:13" x14ac:dyDescent="0.2">
      <c r="L7172" s="5"/>
      <c r="M7172" s="5"/>
    </row>
    <row r="7173" spans="12:13" x14ac:dyDescent="0.2">
      <c r="L7173" s="5"/>
      <c r="M7173" s="5"/>
    </row>
    <row r="7174" spans="12:13" x14ac:dyDescent="0.2">
      <c r="L7174" s="5"/>
      <c r="M7174" s="5"/>
    </row>
    <row r="7175" spans="12:13" x14ac:dyDescent="0.2">
      <c r="L7175" s="5"/>
      <c r="M7175" s="5"/>
    </row>
    <row r="7176" spans="12:13" x14ac:dyDescent="0.2">
      <c r="L7176" s="5"/>
      <c r="M7176" s="5"/>
    </row>
    <row r="7177" spans="12:13" x14ac:dyDescent="0.2">
      <c r="L7177" s="5"/>
      <c r="M7177" s="5"/>
    </row>
    <row r="7178" spans="12:13" x14ac:dyDescent="0.2">
      <c r="L7178" s="5"/>
      <c r="M7178" s="5"/>
    </row>
    <row r="7179" spans="12:13" x14ac:dyDescent="0.2">
      <c r="L7179" s="5"/>
      <c r="M7179" s="5"/>
    </row>
    <row r="7180" spans="12:13" x14ac:dyDescent="0.2">
      <c r="L7180" s="5"/>
      <c r="M7180" s="5"/>
    </row>
    <row r="7181" spans="12:13" x14ac:dyDescent="0.2">
      <c r="L7181" s="5"/>
      <c r="M7181" s="5"/>
    </row>
    <row r="7182" spans="12:13" x14ac:dyDescent="0.2">
      <c r="L7182" s="5"/>
      <c r="M7182" s="5"/>
    </row>
    <row r="7183" spans="12:13" x14ac:dyDescent="0.2">
      <c r="L7183" s="5"/>
      <c r="M7183" s="5"/>
    </row>
    <row r="7184" spans="12:13" x14ac:dyDescent="0.2">
      <c r="L7184" s="5"/>
      <c r="M7184" s="5"/>
    </row>
    <row r="7185" spans="12:13" x14ac:dyDescent="0.2">
      <c r="L7185" s="5"/>
      <c r="M7185" s="5"/>
    </row>
    <row r="7186" spans="12:13" x14ac:dyDescent="0.2">
      <c r="L7186" s="5"/>
      <c r="M7186" s="5"/>
    </row>
    <row r="7187" spans="12:13" x14ac:dyDescent="0.2">
      <c r="L7187" s="5"/>
      <c r="M7187" s="5"/>
    </row>
    <row r="7188" spans="12:13" x14ac:dyDescent="0.2">
      <c r="L7188" s="5"/>
      <c r="M7188" s="5"/>
    </row>
    <row r="7189" spans="12:13" x14ac:dyDescent="0.2">
      <c r="L7189" s="5"/>
      <c r="M7189" s="5"/>
    </row>
    <row r="7190" spans="12:13" x14ac:dyDescent="0.2">
      <c r="L7190" s="5"/>
      <c r="M7190" s="5"/>
    </row>
    <row r="7191" spans="12:13" x14ac:dyDescent="0.2">
      <c r="L7191" s="5"/>
      <c r="M7191" s="5"/>
    </row>
    <row r="7192" spans="12:13" x14ac:dyDescent="0.2">
      <c r="L7192" s="5"/>
      <c r="M7192" s="5"/>
    </row>
    <row r="7193" spans="12:13" x14ac:dyDescent="0.2">
      <c r="L7193" s="5"/>
      <c r="M7193" s="5"/>
    </row>
    <row r="7194" spans="12:13" x14ac:dyDescent="0.2">
      <c r="L7194" s="5"/>
      <c r="M7194" s="5"/>
    </row>
    <row r="7195" spans="12:13" x14ac:dyDescent="0.2">
      <c r="L7195" s="5"/>
      <c r="M7195" s="5"/>
    </row>
    <row r="7196" spans="12:13" x14ac:dyDescent="0.2">
      <c r="L7196" s="5"/>
      <c r="M7196" s="5"/>
    </row>
    <row r="7197" spans="12:13" x14ac:dyDescent="0.2">
      <c r="L7197" s="5"/>
      <c r="M7197" s="5"/>
    </row>
    <row r="7198" spans="12:13" x14ac:dyDescent="0.2">
      <c r="L7198" s="5"/>
      <c r="M7198" s="5"/>
    </row>
    <row r="7199" spans="12:13" x14ac:dyDescent="0.2">
      <c r="L7199" s="5"/>
      <c r="M7199" s="5"/>
    </row>
    <row r="7200" spans="12:13" x14ac:dyDescent="0.2">
      <c r="L7200" s="5"/>
      <c r="M7200" s="5"/>
    </row>
    <row r="7201" spans="12:13" x14ac:dyDescent="0.2">
      <c r="L7201" s="5"/>
      <c r="M7201" s="5"/>
    </row>
    <row r="7202" spans="12:13" x14ac:dyDescent="0.2">
      <c r="L7202" s="5"/>
      <c r="M7202" s="5"/>
    </row>
    <row r="7203" spans="12:13" x14ac:dyDescent="0.2">
      <c r="L7203" s="5"/>
      <c r="M7203" s="5"/>
    </row>
    <row r="7204" spans="12:13" x14ac:dyDescent="0.2">
      <c r="L7204" s="5"/>
      <c r="M7204" s="5"/>
    </row>
    <row r="7205" spans="12:13" x14ac:dyDescent="0.2">
      <c r="L7205" s="5"/>
      <c r="M7205" s="5"/>
    </row>
    <row r="7206" spans="12:13" x14ac:dyDescent="0.2">
      <c r="L7206" s="5"/>
      <c r="M7206" s="5"/>
    </row>
    <row r="7207" spans="12:13" x14ac:dyDescent="0.2">
      <c r="L7207" s="5"/>
      <c r="M7207" s="5"/>
    </row>
    <row r="7208" spans="12:13" x14ac:dyDescent="0.2">
      <c r="L7208" s="5"/>
      <c r="M7208" s="5"/>
    </row>
    <row r="7209" spans="12:13" x14ac:dyDescent="0.2">
      <c r="L7209" s="5"/>
      <c r="M7209" s="5"/>
    </row>
    <row r="7210" spans="12:13" x14ac:dyDescent="0.2">
      <c r="L7210" s="5"/>
      <c r="M7210" s="5"/>
    </row>
    <row r="7211" spans="12:13" x14ac:dyDescent="0.2">
      <c r="L7211" s="5"/>
      <c r="M7211" s="5"/>
    </row>
    <row r="7212" spans="12:13" x14ac:dyDescent="0.2">
      <c r="L7212" s="5"/>
      <c r="M7212" s="5"/>
    </row>
    <row r="7213" spans="12:13" x14ac:dyDescent="0.2">
      <c r="L7213" s="5"/>
      <c r="M7213" s="5"/>
    </row>
    <row r="7214" spans="12:13" x14ac:dyDescent="0.2">
      <c r="L7214" s="5"/>
      <c r="M7214" s="5"/>
    </row>
    <row r="7215" spans="12:13" x14ac:dyDescent="0.2">
      <c r="L7215" s="5"/>
      <c r="M7215" s="5"/>
    </row>
    <row r="7216" spans="12:13" x14ac:dyDescent="0.2">
      <c r="L7216" s="5"/>
      <c r="M7216" s="5"/>
    </row>
    <row r="7217" spans="12:13" x14ac:dyDescent="0.2">
      <c r="L7217" s="5"/>
      <c r="M7217" s="5"/>
    </row>
    <row r="7218" spans="12:13" x14ac:dyDescent="0.2">
      <c r="L7218" s="5"/>
      <c r="M7218" s="5"/>
    </row>
    <row r="7219" spans="12:13" x14ac:dyDescent="0.2">
      <c r="L7219" s="5"/>
      <c r="M7219" s="5"/>
    </row>
    <row r="7220" spans="12:13" x14ac:dyDescent="0.2">
      <c r="L7220" s="5"/>
      <c r="M7220" s="5"/>
    </row>
    <row r="7221" spans="12:13" x14ac:dyDescent="0.2">
      <c r="L7221" s="5"/>
      <c r="M7221" s="5"/>
    </row>
    <row r="7222" spans="12:13" x14ac:dyDescent="0.2">
      <c r="L7222" s="5"/>
      <c r="M7222" s="5"/>
    </row>
    <row r="7223" spans="12:13" x14ac:dyDescent="0.2">
      <c r="L7223" s="5"/>
      <c r="M7223" s="5"/>
    </row>
    <row r="7224" spans="12:13" x14ac:dyDescent="0.2">
      <c r="L7224" s="5"/>
      <c r="M7224" s="5"/>
    </row>
    <row r="7225" spans="12:13" x14ac:dyDescent="0.2">
      <c r="L7225" s="5"/>
      <c r="M7225" s="5"/>
    </row>
    <row r="7226" spans="12:13" x14ac:dyDescent="0.2">
      <c r="L7226" s="5"/>
      <c r="M7226" s="5"/>
    </row>
    <row r="7227" spans="12:13" x14ac:dyDescent="0.2">
      <c r="L7227" s="5"/>
      <c r="M7227" s="5"/>
    </row>
    <row r="7228" spans="12:13" x14ac:dyDescent="0.2">
      <c r="L7228" s="5"/>
      <c r="M7228" s="5"/>
    </row>
    <row r="7229" spans="12:13" x14ac:dyDescent="0.2">
      <c r="L7229" s="5"/>
      <c r="M7229" s="5"/>
    </row>
    <row r="7230" spans="12:13" x14ac:dyDescent="0.2">
      <c r="L7230" s="5"/>
      <c r="M7230" s="5"/>
    </row>
    <row r="7231" spans="12:13" x14ac:dyDescent="0.2">
      <c r="L7231" s="5"/>
      <c r="M7231" s="5"/>
    </row>
    <row r="7232" spans="12:13" x14ac:dyDescent="0.2">
      <c r="L7232" s="5"/>
      <c r="M7232" s="5"/>
    </row>
    <row r="7233" spans="12:13" x14ac:dyDescent="0.2">
      <c r="L7233" s="5"/>
      <c r="M7233" s="5"/>
    </row>
    <row r="7234" spans="12:13" x14ac:dyDescent="0.2">
      <c r="L7234" s="5"/>
      <c r="M7234" s="5"/>
    </row>
    <row r="7235" spans="12:13" x14ac:dyDescent="0.2">
      <c r="L7235" s="5"/>
      <c r="M7235" s="5"/>
    </row>
    <row r="7236" spans="12:13" x14ac:dyDescent="0.2">
      <c r="L7236" s="5"/>
      <c r="M7236" s="5"/>
    </row>
    <row r="7237" spans="12:13" x14ac:dyDescent="0.2">
      <c r="L7237" s="5"/>
      <c r="M7237" s="5"/>
    </row>
    <row r="7238" spans="12:13" x14ac:dyDescent="0.2">
      <c r="L7238" s="5"/>
      <c r="M7238" s="5"/>
    </row>
    <row r="7239" spans="12:13" x14ac:dyDescent="0.2">
      <c r="L7239" s="5"/>
      <c r="M7239" s="5"/>
    </row>
    <row r="7240" spans="12:13" x14ac:dyDescent="0.2">
      <c r="L7240" s="5"/>
      <c r="M7240" s="5"/>
    </row>
    <row r="7241" spans="12:13" x14ac:dyDescent="0.2">
      <c r="L7241" s="5"/>
      <c r="M7241" s="5"/>
    </row>
    <row r="7242" spans="12:13" x14ac:dyDescent="0.2">
      <c r="L7242" s="5"/>
      <c r="M7242" s="5"/>
    </row>
    <row r="7243" spans="12:13" x14ac:dyDescent="0.2">
      <c r="L7243" s="5"/>
      <c r="M7243" s="5"/>
    </row>
    <row r="7244" spans="12:13" x14ac:dyDescent="0.2">
      <c r="L7244" s="5"/>
      <c r="M7244" s="5"/>
    </row>
    <row r="7245" spans="12:13" x14ac:dyDescent="0.2">
      <c r="L7245" s="5"/>
      <c r="M7245" s="5"/>
    </row>
    <row r="7246" spans="12:13" x14ac:dyDescent="0.2">
      <c r="L7246" s="5"/>
      <c r="M7246" s="5"/>
    </row>
    <row r="7247" spans="12:13" x14ac:dyDescent="0.2">
      <c r="L7247" s="5"/>
      <c r="M7247" s="5"/>
    </row>
    <row r="7248" spans="12:13" x14ac:dyDescent="0.2">
      <c r="L7248" s="5"/>
      <c r="M7248" s="5"/>
    </row>
    <row r="7249" spans="12:13" x14ac:dyDescent="0.2">
      <c r="L7249" s="5"/>
      <c r="M7249" s="5"/>
    </row>
    <row r="7250" spans="12:13" x14ac:dyDescent="0.2">
      <c r="L7250" s="5"/>
      <c r="M7250" s="5"/>
    </row>
    <row r="7251" spans="12:13" x14ac:dyDescent="0.2">
      <c r="L7251" s="5"/>
      <c r="M7251" s="5"/>
    </row>
    <row r="7252" spans="12:13" x14ac:dyDescent="0.2">
      <c r="L7252" s="5"/>
      <c r="M7252" s="5"/>
    </row>
    <row r="7253" spans="12:13" x14ac:dyDescent="0.2">
      <c r="L7253" s="5"/>
      <c r="M7253" s="5"/>
    </row>
    <row r="7254" spans="12:13" x14ac:dyDescent="0.2">
      <c r="L7254" s="5"/>
      <c r="M7254" s="5"/>
    </row>
    <row r="7255" spans="12:13" x14ac:dyDescent="0.2">
      <c r="L7255" s="5"/>
      <c r="M7255" s="5"/>
    </row>
    <row r="7256" spans="12:13" x14ac:dyDescent="0.2">
      <c r="L7256" s="5"/>
      <c r="M7256" s="5"/>
    </row>
    <row r="7257" spans="12:13" x14ac:dyDescent="0.2">
      <c r="L7257" s="5"/>
      <c r="M7257" s="5"/>
    </row>
    <row r="7258" spans="12:13" x14ac:dyDescent="0.2">
      <c r="L7258" s="5"/>
      <c r="M7258" s="5"/>
    </row>
    <row r="7259" spans="12:13" x14ac:dyDescent="0.2">
      <c r="L7259" s="5"/>
      <c r="M7259" s="5"/>
    </row>
    <row r="7260" spans="12:13" x14ac:dyDescent="0.2">
      <c r="L7260" s="5"/>
      <c r="M7260" s="5"/>
    </row>
    <row r="7261" spans="12:13" x14ac:dyDescent="0.2">
      <c r="L7261" s="5"/>
      <c r="M7261" s="5"/>
    </row>
    <row r="7262" spans="12:13" x14ac:dyDescent="0.2">
      <c r="L7262" s="5"/>
      <c r="M7262" s="5"/>
    </row>
    <row r="7263" spans="12:13" x14ac:dyDescent="0.2">
      <c r="L7263" s="5"/>
      <c r="M7263" s="5"/>
    </row>
    <row r="7264" spans="12:13" x14ac:dyDescent="0.2">
      <c r="L7264" s="5"/>
      <c r="M7264" s="5"/>
    </row>
    <row r="7265" spans="12:13" x14ac:dyDescent="0.2">
      <c r="L7265" s="5"/>
      <c r="M7265" s="5"/>
    </row>
    <row r="7266" spans="12:13" x14ac:dyDescent="0.2">
      <c r="L7266" s="5"/>
      <c r="M7266" s="5"/>
    </row>
    <row r="7267" spans="12:13" x14ac:dyDescent="0.2">
      <c r="L7267" s="5"/>
      <c r="M7267" s="5"/>
    </row>
    <row r="7268" spans="12:13" x14ac:dyDescent="0.2">
      <c r="L7268" s="5"/>
      <c r="M7268" s="5"/>
    </row>
    <row r="7269" spans="12:13" x14ac:dyDescent="0.2">
      <c r="L7269" s="5"/>
      <c r="M7269" s="5"/>
    </row>
    <row r="7270" spans="12:13" x14ac:dyDescent="0.2">
      <c r="L7270" s="5"/>
      <c r="M7270" s="5"/>
    </row>
    <row r="7271" spans="12:13" x14ac:dyDescent="0.2">
      <c r="L7271" s="5"/>
      <c r="M7271" s="5"/>
    </row>
    <row r="7272" spans="12:13" x14ac:dyDescent="0.2">
      <c r="L7272" s="5"/>
      <c r="M7272" s="5"/>
    </row>
    <row r="7273" spans="12:13" x14ac:dyDescent="0.2">
      <c r="L7273" s="5"/>
      <c r="M7273" s="5"/>
    </row>
    <row r="7274" spans="12:13" x14ac:dyDescent="0.2">
      <c r="L7274" s="5"/>
      <c r="M7274" s="5"/>
    </row>
    <row r="7275" spans="12:13" x14ac:dyDescent="0.2">
      <c r="L7275" s="5"/>
      <c r="M7275" s="5"/>
    </row>
    <row r="7276" spans="12:13" x14ac:dyDescent="0.2">
      <c r="L7276" s="5"/>
      <c r="M7276" s="5"/>
    </row>
    <row r="7277" spans="12:13" x14ac:dyDescent="0.2">
      <c r="L7277" s="5"/>
      <c r="M7277" s="5"/>
    </row>
    <row r="7278" spans="12:13" x14ac:dyDescent="0.2">
      <c r="L7278" s="5"/>
      <c r="M7278" s="5"/>
    </row>
    <row r="7279" spans="12:13" x14ac:dyDescent="0.2">
      <c r="L7279" s="5"/>
      <c r="M7279" s="5"/>
    </row>
    <row r="7280" spans="12:13" x14ac:dyDescent="0.2">
      <c r="L7280" s="5"/>
      <c r="M7280" s="5"/>
    </row>
    <row r="7281" spans="12:13" x14ac:dyDescent="0.2">
      <c r="L7281" s="5"/>
      <c r="M7281" s="5"/>
    </row>
    <row r="7282" spans="12:13" x14ac:dyDescent="0.2">
      <c r="L7282" s="5"/>
      <c r="M7282" s="5"/>
    </row>
    <row r="7283" spans="12:13" x14ac:dyDescent="0.2">
      <c r="L7283" s="5"/>
      <c r="M7283" s="5"/>
    </row>
    <row r="7284" spans="12:13" x14ac:dyDescent="0.2">
      <c r="L7284" s="5"/>
      <c r="M7284" s="5"/>
    </row>
    <row r="7285" spans="12:13" x14ac:dyDescent="0.2">
      <c r="L7285" s="5"/>
      <c r="M7285" s="5"/>
    </row>
    <row r="7286" spans="12:13" x14ac:dyDescent="0.2">
      <c r="L7286" s="5"/>
      <c r="M7286" s="5"/>
    </row>
    <row r="7287" spans="12:13" x14ac:dyDescent="0.2">
      <c r="L7287" s="5"/>
      <c r="M7287" s="5"/>
    </row>
    <row r="7288" spans="12:13" x14ac:dyDescent="0.2">
      <c r="L7288" s="5"/>
      <c r="M7288" s="5"/>
    </row>
    <row r="7289" spans="12:13" x14ac:dyDescent="0.2">
      <c r="L7289" s="5"/>
      <c r="M7289" s="5"/>
    </row>
    <row r="7290" spans="12:13" x14ac:dyDescent="0.2">
      <c r="L7290" s="5"/>
      <c r="M7290" s="5"/>
    </row>
    <row r="7291" spans="12:13" x14ac:dyDescent="0.2">
      <c r="L7291" s="5"/>
      <c r="M7291" s="5"/>
    </row>
    <row r="7292" spans="12:13" x14ac:dyDescent="0.2">
      <c r="L7292" s="5"/>
      <c r="M7292" s="5"/>
    </row>
    <row r="7293" spans="12:13" x14ac:dyDescent="0.2">
      <c r="L7293" s="5"/>
      <c r="M7293" s="5"/>
    </row>
    <row r="7294" spans="12:13" x14ac:dyDescent="0.2">
      <c r="L7294" s="5"/>
      <c r="M7294" s="5"/>
    </row>
    <row r="7295" spans="12:13" x14ac:dyDescent="0.2">
      <c r="L7295" s="5"/>
      <c r="M7295" s="5"/>
    </row>
    <row r="7296" spans="12:13" x14ac:dyDescent="0.2">
      <c r="L7296" s="5"/>
      <c r="M7296" s="5"/>
    </row>
    <row r="7297" spans="12:13" x14ac:dyDescent="0.2">
      <c r="L7297" s="5"/>
      <c r="M7297" s="5"/>
    </row>
    <row r="7298" spans="12:13" x14ac:dyDescent="0.2">
      <c r="L7298" s="5"/>
      <c r="M7298" s="5"/>
    </row>
    <row r="7299" spans="12:13" x14ac:dyDescent="0.2">
      <c r="L7299" s="5"/>
      <c r="M7299" s="5"/>
    </row>
    <row r="7300" spans="12:13" x14ac:dyDescent="0.2">
      <c r="L7300" s="5"/>
      <c r="M7300" s="5"/>
    </row>
    <row r="7301" spans="12:13" x14ac:dyDescent="0.2">
      <c r="L7301" s="5"/>
      <c r="M7301" s="5"/>
    </row>
    <row r="7302" spans="12:13" x14ac:dyDescent="0.2">
      <c r="L7302" s="5"/>
      <c r="M7302" s="5"/>
    </row>
    <row r="7303" spans="12:13" x14ac:dyDescent="0.2">
      <c r="L7303" s="5"/>
      <c r="M7303" s="5"/>
    </row>
    <row r="7304" spans="12:13" x14ac:dyDescent="0.2">
      <c r="L7304" s="5"/>
      <c r="M7304" s="5"/>
    </row>
    <row r="7305" spans="12:13" x14ac:dyDescent="0.2">
      <c r="L7305" s="5"/>
      <c r="M7305" s="5"/>
    </row>
    <row r="7306" spans="12:13" x14ac:dyDescent="0.2">
      <c r="L7306" s="5"/>
      <c r="M7306" s="5"/>
    </row>
    <row r="7307" spans="12:13" x14ac:dyDescent="0.2">
      <c r="L7307" s="5"/>
      <c r="M7307" s="5"/>
    </row>
    <row r="7308" spans="12:13" x14ac:dyDescent="0.2">
      <c r="L7308" s="5"/>
      <c r="M7308" s="5"/>
    </row>
    <row r="7309" spans="12:13" x14ac:dyDescent="0.2">
      <c r="L7309" s="5"/>
      <c r="M7309" s="5"/>
    </row>
    <row r="7310" spans="12:13" x14ac:dyDescent="0.2">
      <c r="L7310" s="5"/>
      <c r="M7310" s="5"/>
    </row>
    <row r="7311" spans="12:13" x14ac:dyDescent="0.2">
      <c r="L7311" s="5"/>
      <c r="M7311" s="5"/>
    </row>
    <row r="7312" spans="12:13" x14ac:dyDescent="0.2">
      <c r="L7312" s="5"/>
      <c r="M7312" s="5"/>
    </row>
    <row r="7313" spans="12:13" x14ac:dyDescent="0.2">
      <c r="L7313" s="5"/>
      <c r="M7313" s="5"/>
    </row>
    <row r="7314" spans="12:13" x14ac:dyDescent="0.2">
      <c r="L7314" s="5"/>
      <c r="M7314" s="5"/>
    </row>
    <row r="7315" spans="12:13" x14ac:dyDescent="0.2">
      <c r="L7315" s="5"/>
      <c r="M7315" s="5"/>
    </row>
    <row r="7316" spans="12:13" x14ac:dyDescent="0.2">
      <c r="L7316" s="5"/>
      <c r="M7316" s="5"/>
    </row>
    <row r="7317" spans="12:13" x14ac:dyDescent="0.2">
      <c r="L7317" s="5"/>
      <c r="M7317" s="5"/>
    </row>
    <row r="7318" spans="12:13" x14ac:dyDescent="0.2">
      <c r="L7318" s="5"/>
      <c r="M7318" s="5"/>
    </row>
    <row r="7319" spans="12:13" x14ac:dyDescent="0.2">
      <c r="L7319" s="5"/>
      <c r="M7319" s="5"/>
    </row>
    <row r="7320" spans="12:13" x14ac:dyDescent="0.2">
      <c r="L7320" s="5"/>
      <c r="M7320" s="5"/>
    </row>
    <row r="7321" spans="12:13" x14ac:dyDescent="0.2">
      <c r="L7321" s="5"/>
      <c r="M7321" s="5"/>
    </row>
    <row r="7322" spans="12:13" x14ac:dyDescent="0.2">
      <c r="L7322" s="5"/>
      <c r="M7322" s="5"/>
    </row>
    <row r="7323" spans="12:13" x14ac:dyDescent="0.2">
      <c r="L7323" s="5"/>
      <c r="M7323" s="5"/>
    </row>
    <row r="7324" spans="12:13" x14ac:dyDescent="0.2">
      <c r="L7324" s="5"/>
      <c r="M7324" s="5"/>
    </row>
    <row r="7325" spans="12:13" x14ac:dyDescent="0.2">
      <c r="L7325" s="5"/>
      <c r="M7325" s="5"/>
    </row>
    <row r="7326" spans="12:13" x14ac:dyDescent="0.2">
      <c r="L7326" s="5"/>
      <c r="M7326" s="5"/>
    </row>
    <row r="7327" spans="12:13" x14ac:dyDescent="0.2">
      <c r="L7327" s="5"/>
      <c r="M7327" s="5"/>
    </row>
    <row r="7328" spans="12:13" x14ac:dyDescent="0.2">
      <c r="L7328" s="5"/>
      <c r="M7328" s="5"/>
    </row>
    <row r="7329" spans="12:13" x14ac:dyDescent="0.2">
      <c r="L7329" s="5"/>
      <c r="M7329" s="5"/>
    </row>
    <row r="7330" spans="12:13" x14ac:dyDescent="0.2">
      <c r="L7330" s="5"/>
      <c r="M7330" s="5"/>
    </row>
    <row r="7331" spans="12:13" x14ac:dyDescent="0.2">
      <c r="L7331" s="5"/>
      <c r="M7331" s="5"/>
    </row>
    <row r="7332" spans="12:13" x14ac:dyDescent="0.2">
      <c r="L7332" s="5"/>
      <c r="M7332" s="5"/>
    </row>
    <row r="7333" spans="12:13" x14ac:dyDescent="0.2">
      <c r="L7333" s="5"/>
      <c r="M7333" s="5"/>
    </row>
    <row r="7334" spans="12:13" x14ac:dyDescent="0.2">
      <c r="L7334" s="5"/>
      <c r="M7334" s="5"/>
    </row>
    <row r="7335" spans="12:13" x14ac:dyDescent="0.2">
      <c r="L7335" s="5"/>
      <c r="M7335" s="5"/>
    </row>
    <row r="7336" spans="12:13" x14ac:dyDescent="0.2">
      <c r="L7336" s="5"/>
      <c r="M7336" s="5"/>
    </row>
    <row r="7337" spans="12:13" x14ac:dyDescent="0.2">
      <c r="L7337" s="5"/>
      <c r="M7337" s="5"/>
    </row>
    <row r="7338" spans="12:13" x14ac:dyDescent="0.2">
      <c r="L7338" s="5"/>
      <c r="M7338" s="5"/>
    </row>
    <row r="7339" spans="12:13" x14ac:dyDescent="0.2">
      <c r="L7339" s="5"/>
      <c r="M7339" s="5"/>
    </row>
    <row r="7340" spans="12:13" x14ac:dyDescent="0.2">
      <c r="L7340" s="5"/>
      <c r="M7340" s="5"/>
    </row>
    <row r="7341" spans="12:13" x14ac:dyDescent="0.2">
      <c r="L7341" s="5"/>
      <c r="M7341" s="5"/>
    </row>
    <row r="7342" spans="12:13" x14ac:dyDescent="0.2">
      <c r="L7342" s="5"/>
      <c r="M7342" s="5"/>
    </row>
    <row r="7343" spans="12:13" x14ac:dyDescent="0.2">
      <c r="L7343" s="5"/>
      <c r="M7343" s="5"/>
    </row>
    <row r="7344" spans="12:13" x14ac:dyDescent="0.2">
      <c r="L7344" s="5"/>
      <c r="M7344" s="5"/>
    </row>
    <row r="7345" spans="12:13" x14ac:dyDescent="0.2">
      <c r="L7345" s="5"/>
      <c r="M7345" s="5"/>
    </row>
    <row r="7346" spans="12:13" x14ac:dyDescent="0.2">
      <c r="L7346" s="5"/>
      <c r="M7346" s="5"/>
    </row>
    <row r="7347" spans="12:13" x14ac:dyDescent="0.2">
      <c r="L7347" s="5"/>
      <c r="M7347" s="5"/>
    </row>
    <row r="7348" spans="12:13" x14ac:dyDescent="0.2">
      <c r="L7348" s="5"/>
      <c r="M7348" s="5"/>
    </row>
    <row r="7349" spans="12:13" x14ac:dyDescent="0.2">
      <c r="L7349" s="5"/>
      <c r="M7349" s="5"/>
    </row>
    <row r="7350" spans="12:13" x14ac:dyDescent="0.2">
      <c r="L7350" s="5"/>
      <c r="M7350" s="5"/>
    </row>
    <row r="7351" spans="12:13" x14ac:dyDescent="0.2">
      <c r="L7351" s="5"/>
      <c r="M7351" s="5"/>
    </row>
    <row r="7352" spans="12:13" x14ac:dyDescent="0.2">
      <c r="L7352" s="5"/>
      <c r="M7352" s="5"/>
    </row>
    <row r="7353" spans="12:13" x14ac:dyDescent="0.2">
      <c r="L7353" s="5"/>
      <c r="M7353" s="5"/>
    </row>
    <row r="7354" spans="12:13" x14ac:dyDescent="0.2">
      <c r="L7354" s="5"/>
      <c r="M7354" s="5"/>
    </row>
    <row r="7355" spans="12:13" x14ac:dyDescent="0.2">
      <c r="L7355" s="5"/>
      <c r="M7355" s="5"/>
    </row>
    <row r="7356" spans="12:13" x14ac:dyDescent="0.2">
      <c r="L7356" s="5"/>
      <c r="M7356" s="5"/>
    </row>
    <row r="7357" spans="12:13" x14ac:dyDescent="0.2">
      <c r="L7357" s="5"/>
      <c r="M7357" s="5"/>
    </row>
    <row r="7358" spans="12:13" x14ac:dyDescent="0.2">
      <c r="L7358" s="5"/>
      <c r="M7358" s="5"/>
    </row>
    <row r="7359" spans="12:13" x14ac:dyDescent="0.2">
      <c r="L7359" s="5"/>
      <c r="M7359" s="5"/>
    </row>
    <row r="7360" spans="12:13" x14ac:dyDescent="0.2">
      <c r="L7360" s="5"/>
      <c r="M7360" s="5"/>
    </row>
    <row r="7361" spans="12:13" x14ac:dyDescent="0.2">
      <c r="L7361" s="5"/>
      <c r="M7361" s="5"/>
    </row>
    <row r="7362" spans="12:13" x14ac:dyDescent="0.2">
      <c r="L7362" s="5"/>
      <c r="M7362" s="5"/>
    </row>
    <row r="7363" spans="12:13" x14ac:dyDescent="0.2">
      <c r="L7363" s="5"/>
      <c r="M7363" s="5"/>
    </row>
    <row r="7364" spans="12:13" x14ac:dyDescent="0.2">
      <c r="L7364" s="5"/>
      <c r="M7364" s="5"/>
    </row>
    <row r="7365" spans="12:13" x14ac:dyDescent="0.2">
      <c r="L7365" s="5"/>
      <c r="M7365" s="5"/>
    </row>
    <row r="7366" spans="12:13" x14ac:dyDescent="0.2">
      <c r="L7366" s="5"/>
      <c r="M7366" s="5"/>
    </row>
    <row r="7367" spans="12:13" x14ac:dyDescent="0.2">
      <c r="L7367" s="5"/>
      <c r="M7367" s="5"/>
    </row>
    <row r="7368" spans="12:13" x14ac:dyDescent="0.2">
      <c r="L7368" s="5"/>
      <c r="M7368" s="5"/>
    </row>
    <row r="7369" spans="12:13" x14ac:dyDescent="0.2">
      <c r="L7369" s="5"/>
      <c r="M7369" s="5"/>
    </row>
    <row r="7370" spans="12:13" x14ac:dyDescent="0.2">
      <c r="L7370" s="5"/>
      <c r="M7370" s="5"/>
    </row>
    <row r="7371" spans="12:13" x14ac:dyDescent="0.2">
      <c r="L7371" s="5"/>
      <c r="M7371" s="5"/>
    </row>
    <row r="7372" spans="12:13" x14ac:dyDescent="0.2">
      <c r="L7372" s="5"/>
      <c r="M7372" s="5"/>
    </row>
    <row r="7373" spans="12:13" x14ac:dyDescent="0.2">
      <c r="L7373" s="5"/>
      <c r="M7373" s="5"/>
    </row>
    <row r="7374" spans="12:13" x14ac:dyDescent="0.2">
      <c r="L7374" s="5"/>
      <c r="M7374" s="5"/>
    </row>
    <row r="7375" spans="12:13" x14ac:dyDescent="0.2">
      <c r="L7375" s="5"/>
      <c r="M7375" s="5"/>
    </row>
    <row r="7376" spans="12:13" x14ac:dyDescent="0.2">
      <c r="L7376" s="5"/>
      <c r="M7376" s="5"/>
    </row>
    <row r="7377" spans="12:13" x14ac:dyDescent="0.2">
      <c r="L7377" s="5"/>
      <c r="M7377" s="5"/>
    </row>
    <row r="7378" spans="12:13" x14ac:dyDescent="0.2">
      <c r="L7378" s="5"/>
      <c r="M7378" s="5"/>
    </row>
    <row r="7379" spans="12:13" x14ac:dyDescent="0.2">
      <c r="L7379" s="5"/>
      <c r="M7379" s="5"/>
    </row>
    <row r="7380" spans="12:13" x14ac:dyDescent="0.2">
      <c r="L7380" s="5"/>
      <c r="M7380" s="5"/>
    </row>
    <row r="7381" spans="12:13" x14ac:dyDescent="0.2">
      <c r="L7381" s="5"/>
      <c r="M7381" s="5"/>
    </row>
    <row r="7382" spans="12:13" x14ac:dyDescent="0.2">
      <c r="L7382" s="5"/>
      <c r="M7382" s="5"/>
    </row>
    <row r="7383" spans="12:13" x14ac:dyDescent="0.2">
      <c r="L7383" s="5"/>
      <c r="M7383" s="5"/>
    </row>
    <row r="7384" spans="12:13" x14ac:dyDescent="0.2">
      <c r="L7384" s="5"/>
      <c r="M7384" s="5"/>
    </row>
    <row r="7385" spans="12:13" x14ac:dyDescent="0.2">
      <c r="L7385" s="5"/>
      <c r="M7385" s="5"/>
    </row>
    <row r="7386" spans="12:13" x14ac:dyDescent="0.2">
      <c r="L7386" s="5"/>
      <c r="M7386" s="5"/>
    </row>
    <row r="7387" spans="12:13" x14ac:dyDescent="0.2">
      <c r="L7387" s="5"/>
      <c r="M7387" s="5"/>
    </row>
    <row r="7388" spans="12:13" x14ac:dyDescent="0.2">
      <c r="L7388" s="5"/>
      <c r="M7388" s="5"/>
    </row>
    <row r="7389" spans="12:13" x14ac:dyDescent="0.2">
      <c r="L7389" s="5"/>
      <c r="M7389" s="5"/>
    </row>
    <row r="7390" spans="12:13" x14ac:dyDescent="0.2">
      <c r="L7390" s="5"/>
      <c r="M7390" s="5"/>
    </row>
    <row r="7391" spans="12:13" x14ac:dyDescent="0.2">
      <c r="L7391" s="5"/>
      <c r="M7391" s="5"/>
    </row>
    <row r="7392" spans="12:13" x14ac:dyDescent="0.2">
      <c r="L7392" s="5"/>
      <c r="M7392" s="5"/>
    </row>
    <row r="7393" spans="12:13" x14ac:dyDescent="0.2">
      <c r="L7393" s="5"/>
      <c r="M7393" s="5"/>
    </row>
    <row r="7394" spans="12:13" x14ac:dyDescent="0.2">
      <c r="L7394" s="5"/>
      <c r="M7394" s="5"/>
    </row>
    <row r="7395" spans="12:13" x14ac:dyDescent="0.2">
      <c r="L7395" s="5"/>
      <c r="M7395" s="5"/>
    </row>
    <row r="7396" spans="12:13" x14ac:dyDescent="0.2">
      <c r="L7396" s="5"/>
      <c r="M7396" s="5"/>
    </row>
    <row r="7397" spans="12:13" x14ac:dyDescent="0.2">
      <c r="L7397" s="5"/>
      <c r="M7397" s="5"/>
    </row>
    <row r="7398" spans="12:13" x14ac:dyDescent="0.2">
      <c r="L7398" s="5"/>
      <c r="M7398" s="5"/>
    </row>
    <row r="7399" spans="12:13" x14ac:dyDescent="0.2">
      <c r="L7399" s="5"/>
      <c r="M7399" s="5"/>
    </row>
    <row r="7400" spans="12:13" x14ac:dyDescent="0.2">
      <c r="L7400" s="5"/>
      <c r="M7400" s="5"/>
    </row>
    <row r="7401" spans="12:13" x14ac:dyDescent="0.2">
      <c r="L7401" s="5"/>
      <c r="M7401" s="5"/>
    </row>
    <row r="7402" spans="12:13" x14ac:dyDescent="0.2">
      <c r="L7402" s="5"/>
      <c r="M7402" s="5"/>
    </row>
    <row r="7403" spans="12:13" x14ac:dyDescent="0.2">
      <c r="L7403" s="5"/>
      <c r="M7403" s="5"/>
    </row>
    <row r="7404" spans="12:13" x14ac:dyDescent="0.2">
      <c r="L7404" s="5"/>
      <c r="M7404" s="5"/>
    </row>
    <row r="7405" spans="12:13" x14ac:dyDescent="0.2">
      <c r="L7405" s="5"/>
      <c r="M7405" s="5"/>
    </row>
    <row r="7406" spans="12:13" x14ac:dyDescent="0.2">
      <c r="L7406" s="5"/>
      <c r="M7406" s="5"/>
    </row>
    <row r="7407" spans="12:13" x14ac:dyDescent="0.2">
      <c r="L7407" s="5"/>
      <c r="M7407" s="5"/>
    </row>
    <row r="7408" spans="12:13" x14ac:dyDescent="0.2">
      <c r="L7408" s="5"/>
      <c r="M7408" s="5"/>
    </row>
    <row r="7409" spans="12:13" x14ac:dyDescent="0.2">
      <c r="L7409" s="5"/>
      <c r="M7409" s="5"/>
    </row>
    <row r="7410" spans="12:13" x14ac:dyDescent="0.2">
      <c r="L7410" s="5"/>
      <c r="M7410" s="5"/>
    </row>
    <row r="7411" spans="12:13" x14ac:dyDescent="0.2">
      <c r="L7411" s="5"/>
      <c r="M7411" s="5"/>
    </row>
    <row r="7412" spans="12:13" x14ac:dyDescent="0.2">
      <c r="L7412" s="5"/>
      <c r="M7412" s="5"/>
    </row>
    <row r="7413" spans="12:13" x14ac:dyDescent="0.2">
      <c r="L7413" s="5"/>
      <c r="M7413" s="5"/>
    </row>
    <row r="7414" spans="12:13" x14ac:dyDescent="0.2">
      <c r="L7414" s="5"/>
      <c r="M7414" s="5"/>
    </row>
    <row r="7415" spans="12:13" x14ac:dyDescent="0.2">
      <c r="L7415" s="5"/>
      <c r="M7415" s="5"/>
    </row>
    <row r="7416" spans="12:13" x14ac:dyDescent="0.2">
      <c r="L7416" s="5"/>
      <c r="M7416" s="5"/>
    </row>
    <row r="7417" spans="12:13" x14ac:dyDescent="0.2">
      <c r="L7417" s="5"/>
      <c r="M7417" s="5"/>
    </row>
    <row r="7418" spans="12:13" x14ac:dyDescent="0.2">
      <c r="L7418" s="5"/>
      <c r="M7418" s="5"/>
    </row>
    <row r="7419" spans="12:13" x14ac:dyDescent="0.2">
      <c r="L7419" s="5"/>
      <c r="M7419" s="5"/>
    </row>
    <row r="7420" spans="12:13" x14ac:dyDescent="0.2">
      <c r="L7420" s="5"/>
      <c r="M7420" s="5"/>
    </row>
    <row r="7421" spans="12:13" x14ac:dyDescent="0.2">
      <c r="L7421" s="5"/>
      <c r="M7421" s="5"/>
    </row>
    <row r="7422" spans="12:13" x14ac:dyDescent="0.2">
      <c r="L7422" s="5"/>
      <c r="M7422" s="5"/>
    </row>
    <row r="7423" spans="12:13" x14ac:dyDescent="0.2">
      <c r="L7423" s="5"/>
      <c r="M7423" s="5"/>
    </row>
    <row r="7424" spans="12:13" x14ac:dyDescent="0.2">
      <c r="L7424" s="5"/>
      <c r="M7424" s="5"/>
    </row>
    <row r="7425" spans="12:13" x14ac:dyDescent="0.2">
      <c r="L7425" s="5"/>
      <c r="M7425" s="5"/>
    </row>
    <row r="7426" spans="12:13" x14ac:dyDescent="0.2">
      <c r="L7426" s="5"/>
      <c r="M7426" s="5"/>
    </row>
    <row r="7427" spans="12:13" x14ac:dyDescent="0.2">
      <c r="L7427" s="5"/>
      <c r="M7427" s="5"/>
    </row>
    <row r="7428" spans="12:13" x14ac:dyDescent="0.2">
      <c r="L7428" s="5"/>
      <c r="M7428" s="5"/>
    </row>
    <row r="7429" spans="12:13" x14ac:dyDescent="0.2">
      <c r="L7429" s="5"/>
      <c r="M7429" s="5"/>
    </row>
    <row r="7430" spans="12:13" x14ac:dyDescent="0.2">
      <c r="L7430" s="5"/>
      <c r="M7430" s="5"/>
    </row>
    <row r="7431" spans="12:13" x14ac:dyDescent="0.2">
      <c r="L7431" s="5"/>
      <c r="M7431" s="5"/>
    </row>
    <row r="7432" spans="12:13" x14ac:dyDescent="0.2">
      <c r="L7432" s="5"/>
      <c r="M7432" s="5"/>
    </row>
    <row r="7433" spans="12:13" x14ac:dyDescent="0.2">
      <c r="L7433" s="5"/>
      <c r="M7433" s="5"/>
    </row>
    <row r="7434" spans="12:13" x14ac:dyDescent="0.2">
      <c r="L7434" s="5"/>
      <c r="M7434" s="5"/>
    </row>
    <row r="7435" spans="12:13" x14ac:dyDescent="0.2">
      <c r="L7435" s="5"/>
      <c r="M7435" s="5"/>
    </row>
    <row r="7436" spans="12:13" x14ac:dyDescent="0.2">
      <c r="L7436" s="5"/>
      <c r="M7436" s="5"/>
    </row>
    <row r="7437" spans="12:13" x14ac:dyDescent="0.2">
      <c r="L7437" s="5"/>
      <c r="M7437" s="5"/>
    </row>
    <row r="7438" spans="12:13" x14ac:dyDescent="0.2">
      <c r="L7438" s="5"/>
      <c r="M7438" s="5"/>
    </row>
    <row r="7439" spans="12:13" x14ac:dyDescent="0.2">
      <c r="L7439" s="5"/>
      <c r="M7439" s="5"/>
    </row>
    <row r="7440" spans="12:13" x14ac:dyDescent="0.2">
      <c r="L7440" s="5"/>
      <c r="M7440" s="5"/>
    </row>
    <row r="7441" spans="12:13" x14ac:dyDescent="0.2">
      <c r="L7441" s="5"/>
      <c r="M7441" s="5"/>
    </row>
    <row r="7442" spans="12:13" x14ac:dyDescent="0.2">
      <c r="L7442" s="5"/>
      <c r="M7442" s="5"/>
    </row>
    <row r="7443" spans="12:13" x14ac:dyDescent="0.2">
      <c r="L7443" s="5"/>
      <c r="M7443" s="5"/>
    </row>
    <row r="7444" spans="12:13" x14ac:dyDescent="0.2">
      <c r="L7444" s="5"/>
      <c r="M7444" s="5"/>
    </row>
    <row r="7445" spans="12:13" x14ac:dyDescent="0.2">
      <c r="L7445" s="5"/>
      <c r="M7445" s="5"/>
    </row>
    <row r="7446" spans="12:13" x14ac:dyDescent="0.2">
      <c r="L7446" s="5"/>
      <c r="M7446" s="5"/>
    </row>
    <row r="7447" spans="12:13" x14ac:dyDescent="0.2">
      <c r="L7447" s="5"/>
      <c r="M7447" s="5"/>
    </row>
    <row r="7448" spans="12:13" x14ac:dyDescent="0.2">
      <c r="L7448" s="5"/>
      <c r="M7448" s="5"/>
    </row>
    <row r="7449" spans="12:13" x14ac:dyDescent="0.2">
      <c r="L7449" s="5"/>
      <c r="M7449" s="5"/>
    </row>
    <row r="7450" spans="12:13" x14ac:dyDescent="0.2">
      <c r="L7450" s="5"/>
      <c r="M7450" s="5"/>
    </row>
    <row r="7451" spans="12:13" x14ac:dyDescent="0.2">
      <c r="L7451" s="5"/>
      <c r="M7451" s="5"/>
    </row>
    <row r="7452" spans="12:13" x14ac:dyDescent="0.2">
      <c r="L7452" s="5"/>
      <c r="M7452" s="5"/>
    </row>
    <row r="7453" spans="12:13" x14ac:dyDescent="0.2">
      <c r="L7453" s="5"/>
      <c r="M7453" s="5"/>
    </row>
    <row r="7454" spans="12:13" x14ac:dyDescent="0.2">
      <c r="L7454" s="5"/>
      <c r="M7454" s="5"/>
    </row>
    <row r="7455" spans="12:13" x14ac:dyDescent="0.2">
      <c r="L7455" s="5"/>
      <c r="M7455" s="5"/>
    </row>
    <row r="7456" spans="12:13" x14ac:dyDescent="0.2">
      <c r="L7456" s="5"/>
      <c r="M7456" s="5"/>
    </row>
    <row r="7457" spans="12:13" x14ac:dyDescent="0.2">
      <c r="L7457" s="5"/>
      <c r="M7457" s="5"/>
    </row>
    <row r="7458" spans="12:13" x14ac:dyDescent="0.2">
      <c r="L7458" s="5"/>
      <c r="M7458" s="5"/>
    </row>
    <row r="7459" spans="12:13" x14ac:dyDescent="0.2">
      <c r="L7459" s="5"/>
      <c r="M7459" s="5"/>
    </row>
    <row r="7460" spans="12:13" x14ac:dyDescent="0.2">
      <c r="L7460" s="5"/>
      <c r="M7460" s="5"/>
    </row>
    <row r="7461" spans="12:13" x14ac:dyDescent="0.2">
      <c r="L7461" s="5"/>
      <c r="M7461" s="5"/>
    </row>
    <row r="7462" spans="12:13" x14ac:dyDescent="0.2">
      <c r="L7462" s="5"/>
      <c r="M7462" s="5"/>
    </row>
    <row r="7463" spans="12:13" x14ac:dyDescent="0.2">
      <c r="L7463" s="5"/>
      <c r="M7463" s="5"/>
    </row>
    <row r="7464" spans="12:13" x14ac:dyDescent="0.2">
      <c r="L7464" s="5"/>
      <c r="M7464" s="5"/>
    </row>
    <row r="7465" spans="12:13" x14ac:dyDescent="0.2">
      <c r="L7465" s="5"/>
      <c r="M7465" s="5"/>
    </row>
    <row r="7466" spans="12:13" x14ac:dyDescent="0.2">
      <c r="L7466" s="5"/>
      <c r="M7466" s="5"/>
    </row>
    <row r="7467" spans="12:13" x14ac:dyDescent="0.2">
      <c r="L7467" s="5"/>
      <c r="M7467" s="5"/>
    </row>
    <row r="7468" spans="12:13" x14ac:dyDescent="0.2">
      <c r="L7468" s="5"/>
      <c r="M7468" s="5"/>
    </row>
    <row r="7469" spans="12:13" x14ac:dyDescent="0.2">
      <c r="L7469" s="5"/>
      <c r="M7469" s="5"/>
    </row>
    <row r="7470" spans="12:13" x14ac:dyDescent="0.2">
      <c r="L7470" s="5"/>
      <c r="M7470" s="5"/>
    </row>
    <row r="7471" spans="12:13" x14ac:dyDescent="0.2">
      <c r="L7471" s="5"/>
      <c r="M7471" s="5"/>
    </row>
    <row r="7472" spans="12:13" x14ac:dyDescent="0.2">
      <c r="L7472" s="5"/>
      <c r="M7472" s="5"/>
    </row>
    <row r="7473" spans="12:13" x14ac:dyDescent="0.2">
      <c r="L7473" s="5"/>
      <c r="M7473" s="5"/>
    </row>
    <row r="7474" spans="12:13" x14ac:dyDescent="0.2">
      <c r="L7474" s="5"/>
      <c r="M7474" s="5"/>
    </row>
    <row r="7475" spans="12:13" x14ac:dyDescent="0.2">
      <c r="L7475" s="5"/>
      <c r="M7475" s="5"/>
    </row>
    <row r="7476" spans="12:13" x14ac:dyDescent="0.2">
      <c r="L7476" s="5"/>
      <c r="M7476" s="5"/>
    </row>
    <row r="7477" spans="12:13" x14ac:dyDescent="0.2">
      <c r="L7477" s="5"/>
      <c r="M7477" s="5"/>
    </row>
    <row r="7478" spans="12:13" x14ac:dyDescent="0.2">
      <c r="L7478" s="5"/>
      <c r="M7478" s="5"/>
    </row>
    <row r="7479" spans="12:13" x14ac:dyDescent="0.2">
      <c r="L7479" s="5"/>
      <c r="M7479" s="5"/>
    </row>
    <row r="7480" spans="12:13" x14ac:dyDescent="0.2">
      <c r="L7480" s="5"/>
      <c r="M7480" s="5"/>
    </row>
    <row r="7481" spans="12:13" x14ac:dyDescent="0.2">
      <c r="L7481" s="5"/>
      <c r="M7481" s="5"/>
    </row>
    <row r="7482" spans="12:13" x14ac:dyDescent="0.2">
      <c r="L7482" s="5"/>
      <c r="M7482" s="5"/>
    </row>
    <row r="7483" spans="12:13" x14ac:dyDescent="0.2">
      <c r="L7483" s="5"/>
      <c r="M7483" s="5"/>
    </row>
    <row r="7484" spans="12:13" x14ac:dyDescent="0.2">
      <c r="L7484" s="5"/>
      <c r="M7484" s="5"/>
    </row>
    <row r="7485" spans="12:13" x14ac:dyDescent="0.2">
      <c r="L7485" s="5"/>
      <c r="M7485" s="5"/>
    </row>
    <row r="7486" spans="12:13" x14ac:dyDescent="0.2">
      <c r="L7486" s="5"/>
      <c r="M7486" s="5"/>
    </row>
    <row r="7487" spans="12:13" x14ac:dyDescent="0.2">
      <c r="L7487" s="5"/>
      <c r="M7487" s="5"/>
    </row>
    <row r="7488" spans="12:13" x14ac:dyDescent="0.2">
      <c r="L7488" s="5"/>
      <c r="M7488" s="5"/>
    </row>
    <row r="7489" spans="12:13" x14ac:dyDescent="0.2">
      <c r="L7489" s="5"/>
      <c r="M7489" s="5"/>
    </row>
    <row r="7490" spans="12:13" x14ac:dyDescent="0.2">
      <c r="L7490" s="5"/>
      <c r="M7490" s="5"/>
    </row>
    <row r="7491" spans="12:13" x14ac:dyDescent="0.2">
      <c r="L7491" s="5"/>
      <c r="M7491" s="5"/>
    </row>
    <row r="7492" spans="12:13" x14ac:dyDescent="0.2">
      <c r="L7492" s="5"/>
      <c r="M7492" s="5"/>
    </row>
    <row r="7493" spans="12:13" x14ac:dyDescent="0.2">
      <c r="L7493" s="5"/>
      <c r="M7493" s="5"/>
    </row>
    <row r="7494" spans="12:13" x14ac:dyDescent="0.2">
      <c r="L7494" s="5"/>
      <c r="M7494" s="5"/>
    </row>
    <row r="7495" spans="12:13" x14ac:dyDescent="0.2">
      <c r="L7495" s="5"/>
      <c r="M7495" s="5"/>
    </row>
    <row r="7496" spans="12:13" x14ac:dyDescent="0.2">
      <c r="L7496" s="5"/>
      <c r="M7496" s="5"/>
    </row>
    <row r="7497" spans="12:13" x14ac:dyDescent="0.2">
      <c r="L7497" s="5"/>
      <c r="M7497" s="5"/>
    </row>
    <row r="7498" spans="12:13" x14ac:dyDescent="0.2">
      <c r="L7498" s="5"/>
      <c r="M7498" s="5"/>
    </row>
    <row r="7499" spans="12:13" x14ac:dyDescent="0.2">
      <c r="L7499" s="5"/>
      <c r="M7499" s="5"/>
    </row>
    <row r="7500" spans="12:13" x14ac:dyDescent="0.2">
      <c r="L7500" s="5"/>
      <c r="M7500" s="5"/>
    </row>
    <row r="7501" spans="12:13" x14ac:dyDescent="0.2">
      <c r="L7501" s="5"/>
      <c r="M7501" s="5"/>
    </row>
    <row r="7502" spans="12:13" x14ac:dyDescent="0.2">
      <c r="L7502" s="5"/>
      <c r="M7502" s="5"/>
    </row>
    <row r="7503" spans="12:13" x14ac:dyDescent="0.2">
      <c r="L7503" s="5"/>
      <c r="M7503" s="5"/>
    </row>
    <row r="7504" spans="12:13" x14ac:dyDescent="0.2">
      <c r="L7504" s="5"/>
      <c r="M7504" s="5"/>
    </row>
    <row r="7505" spans="12:13" x14ac:dyDescent="0.2">
      <c r="L7505" s="5"/>
      <c r="M7505" s="5"/>
    </row>
    <row r="7506" spans="12:13" x14ac:dyDescent="0.2">
      <c r="L7506" s="5"/>
      <c r="M7506" s="5"/>
    </row>
    <row r="7507" spans="12:13" x14ac:dyDescent="0.2">
      <c r="L7507" s="5"/>
      <c r="M7507" s="5"/>
    </row>
    <row r="7508" spans="12:13" x14ac:dyDescent="0.2">
      <c r="L7508" s="5"/>
      <c r="M7508" s="5"/>
    </row>
    <row r="7509" spans="12:13" x14ac:dyDescent="0.2">
      <c r="L7509" s="5"/>
      <c r="M7509" s="5"/>
    </row>
    <row r="7510" spans="12:13" x14ac:dyDescent="0.2">
      <c r="L7510" s="5"/>
      <c r="M7510" s="5"/>
    </row>
    <row r="7511" spans="12:13" x14ac:dyDescent="0.2">
      <c r="L7511" s="5"/>
      <c r="M7511" s="5"/>
    </row>
    <row r="7512" spans="12:13" x14ac:dyDescent="0.2">
      <c r="L7512" s="5"/>
      <c r="M7512" s="5"/>
    </row>
    <row r="7513" spans="12:13" x14ac:dyDescent="0.2">
      <c r="L7513" s="5"/>
      <c r="M7513" s="5"/>
    </row>
    <row r="7514" spans="12:13" x14ac:dyDescent="0.2">
      <c r="L7514" s="5"/>
      <c r="M7514" s="5"/>
    </row>
    <row r="7515" spans="12:13" x14ac:dyDescent="0.2">
      <c r="L7515" s="5"/>
      <c r="M7515" s="5"/>
    </row>
    <row r="7516" spans="12:13" x14ac:dyDescent="0.2">
      <c r="L7516" s="5"/>
      <c r="M7516" s="5"/>
    </row>
    <row r="7517" spans="12:13" x14ac:dyDescent="0.2">
      <c r="L7517" s="5"/>
      <c r="M7517" s="5"/>
    </row>
    <row r="7518" spans="12:13" x14ac:dyDescent="0.2">
      <c r="L7518" s="5"/>
      <c r="M7518" s="5"/>
    </row>
    <row r="7519" spans="12:13" x14ac:dyDescent="0.2">
      <c r="L7519" s="5"/>
      <c r="M7519" s="5"/>
    </row>
    <row r="7520" spans="12:13" x14ac:dyDescent="0.2">
      <c r="L7520" s="5"/>
      <c r="M7520" s="5"/>
    </row>
    <row r="7521" spans="12:13" x14ac:dyDescent="0.2">
      <c r="L7521" s="5"/>
      <c r="M7521" s="5"/>
    </row>
    <row r="7522" spans="12:13" x14ac:dyDescent="0.2">
      <c r="L7522" s="5"/>
      <c r="M7522" s="5"/>
    </row>
    <row r="7523" spans="12:13" x14ac:dyDescent="0.2">
      <c r="L7523" s="5"/>
      <c r="M7523" s="5"/>
    </row>
    <row r="7524" spans="12:13" x14ac:dyDescent="0.2">
      <c r="L7524" s="5"/>
      <c r="M7524" s="5"/>
    </row>
    <row r="7525" spans="12:13" x14ac:dyDescent="0.2">
      <c r="L7525" s="5"/>
      <c r="M7525" s="5"/>
    </row>
    <row r="7526" spans="12:13" x14ac:dyDescent="0.2">
      <c r="L7526" s="5"/>
      <c r="M7526" s="5"/>
    </row>
    <row r="7527" spans="12:13" x14ac:dyDescent="0.2">
      <c r="L7527" s="5"/>
      <c r="M7527" s="5"/>
    </row>
    <row r="7528" spans="12:13" x14ac:dyDescent="0.2">
      <c r="L7528" s="5"/>
      <c r="M7528" s="5"/>
    </row>
    <row r="7529" spans="12:13" x14ac:dyDescent="0.2">
      <c r="L7529" s="5"/>
      <c r="M7529" s="5"/>
    </row>
    <row r="7530" spans="12:13" x14ac:dyDescent="0.2">
      <c r="L7530" s="5"/>
      <c r="M7530" s="5"/>
    </row>
    <row r="7531" spans="12:13" x14ac:dyDescent="0.2">
      <c r="L7531" s="5"/>
      <c r="M7531" s="5"/>
    </row>
    <row r="7532" spans="12:13" x14ac:dyDescent="0.2">
      <c r="L7532" s="5"/>
      <c r="M7532" s="5"/>
    </row>
    <row r="7533" spans="12:13" x14ac:dyDescent="0.2">
      <c r="L7533" s="5"/>
      <c r="M7533" s="5"/>
    </row>
    <row r="7534" spans="12:13" x14ac:dyDescent="0.2">
      <c r="L7534" s="5"/>
      <c r="M7534" s="5"/>
    </row>
    <row r="7535" spans="12:13" x14ac:dyDescent="0.2">
      <c r="L7535" s="5"/>
      <c r="M7535" s="5"/>
    </row>
    <row r="7536" spans="12:13" x14ac:dyDescent="0.2">
      <c r="L7536" s="5"/>
      <c r="M7536" s="5"/>
    </row>
    <row r="7537" spans="12:13" x14ac:dyDescent="0.2">
      <c r="L7537" s="5"/>
      <c r="M7537" s="5"/>
    </row>
    <row r="7538" spans="12:13" x14ac:dyDescent="0.2">
      <c r="L7538" s="5"/>
      <c r="M7538" s="5"/>
    </row>
    <row r="7539" spans="12:13" x14ac:dyDescent="0.2">
      <c r="L7539" s="5"/>
      <c r="M7539" s="5"/>
    </row>
    <row r="7540" spans="12:13" x14ac:dyDescent="0.2">
      <c r="L7540" s="5"/>
      <c r="M7540" s="5"/>
    </row>
    <row r="7541" spans="12:13" x14ac:dyDescent="0.2">
      <c r="L7541" s="5"/>
      <c r="M7541" s="5"/>
    </row>
    <row r="7542" spans="12:13" x14ac:dyDescent="0.2">
      <c r="L7542" s="5"/>
      <c r="M7542" s="5"/>
    </row>
    <row r="7543" spans="12:13" x14ac:dyDescent="0.2">
      <c r="L7543" s="5"/>
      <c r="M7543" s="5"/>
    </row>
    <row r="7544" spans="12:13" x14ac:dyDescent="0.2">
      <c r="L7544" s="5"/>
      <c r="M7544" s="5"/>
    </row>
    <row r="7545" spans="12:13" x14ac:dyDescent="0.2">
      <c r="L7545" s="5"/>
      <c r="M7545" s="5"/>
    </row>
    <row r="7546" spans="12:13" x14ac:dyDescent="0.2">
      <c r="L7546" s="5"/>
      <c r="M7546" s="5"/>
    </row>
    <row r="7547" spans="12:13" x14ac:dyDescent="0.2">
      <c r="L7547" s="5"/>
      <c r="M7547" s="5"/>
    </row>
    <row r="7548" spans="12:13" x14ac:dyDescent="0.2">
      <c r="L7548" s="5"/>
      <c r="M7548" s="5"/>
    </row>
    <row r="7549" spans="12:13" x14ac:dyDescent="0.2">
      <c r="L7549" s="5"/>
      <c r="M7549" s="5"/>
    </row>
    <row r="7550" spans="12:13" x14ac:dyDescent="0.2">
      <c r="L7550" s="5"/>
      <c r="M7550" s="5"/>
    </row>
    <row r="7551" spans="12:13" x14ac:dyDescent="0.2">
      <c r="L7551" s="5"/>
      <c r="M7551" s="5"/>
    </row>
    <row r="7552" spans="12:13" x14ac:dyDescent="0.2">
      <c r="L7552" s="5"/>
      <c r="M7552" s="5"/>
    </row>
    <row r="7553" spans="12:13" x14ac:dyDescent="0.2">
      <c r="L7553" s="5"/>
      <c r="M7553" s="5"/>
    </row>
    <row r="7554" spans="12:13" x14ac:dyDescent="0.2">
      <c r="L7554" s="5"/>
      <c r="M7554" s="5"/>
    </row>
    <row r="7555" spans="12:13" x14ac:dyDescent="0.2">
      <c r="L7555" s="5"/>
      <c r="M7555" s="5"/>
    </row>
    <row r="7556" spans="12:13" x14ac:dyDescent="0.2">
      <c r="L7556" s="5"/>
      <c r="M7556" s="5"/>
    </row>
    <row r="7557" spans="12:13" x14ac:dyDescent="0.2">
      <c r="L7557" s="5"/>
      <c r="M7557" s="5"/>
    </row>
    <row r="7558" spans="12:13" x14ac:dyDescent="0.2">
      <c r="L7558" s="5"/>
      <c r="M7558" s="5"/>
    </row>
    <row r="7559" spans="12:13" x14ac:dyDescent="0.2">
      <c r="L7559" s="5"/>
      <c r="M7559" s="5"/>
    </row>
    <row r="7560" spans="12:13" x14ac:dyDescent="0.2">
      <c r="L7560" s="5"/>
      <c r="M7560" s="5"/>
    </row>
    <row r="7561" spans="12:13" x14ac:dyDescent="0.2">
      <c r="L7561" s="5"/>
      <c r="M7561" s="5"/>
    </row>
    <row r="7562" spans="12:13" x14ac:dyDescent="0.2">
      <c r="L7562" s="5"/>
      <c r="M7562" s="5"/>
    </row>
    <row r="7563" spans="12:13" x14ac:dyDescent="0.2">
      <c r="L7563" s="5"/>
      <c r="M7563" s="5"/>
    </row>
    <row r="7564" spans="12:13" x14ac:dyDescent="0.2">
      <c r="L7564" s="5"/>
      <c r="M7564" s="5"/>
    </row>
    <row r="7565" spans="12:13" x14ac:dyDescent="0.2">
      <c r="L7565" s="5"/>
      <c r="M7565" s="5"/>
    </row>
    <row r="7566" spans="12:13" x14ac:dyDescent="0.2">
      <c r="L7566" s="5"/>
      <c r="M7566" s="5"/>
    </row>
    <row r="7567" spans="12:13" x14ac:dyDescent="0.2">
      <c r="L7567" s="5"/>
      <c r="M7567" s="5"/>
    </row>
    <row r="7568" spans="12:13" x14ac:dyDescent="0.2">
      <c r="L7568" s="5"/>
      <c r="M7568" s="5"/>
    </row>
    <row r="7569" spans="12:13" x14ac:dyDescent="0.2">
      <c r="L7569" s="5"/>
      <c r="M7569" s="5"/>
    </row>
    <row r="7570" spans="12:13" x14ac:dyDescent="0.2">
      <c r="L7570" s="5"/>
      <c r="M7570" s="5"/>
    </row>
    <row r="7571" spans="12:13" x14ac:dyDescent="0.2">
      <c r="L7571" s="5"/>
      <c r="M7571" s="5"/>
    </row>
    <row r="7572" spans="12:13" x14ac:dyDescent="0.2">
      <c r="L7572" s="5"/>
      <c r="M7572" s="5"/>
    </row>
    <row r="7573" spans="12:13" x14ac:dyDescent="0.2">
      <c r="L7573" s="5"/>
      <c r="M7573" s="5"/>
    </row>
    <row r="7574" spans="12:13" x14ac:dyDescent="0.2">
      <c r="L7574" s="5"/>
      <c r="M7574" s="5"/>
    </row>
    <row r="7575" spans="12:13" x14ac:dyDescent="0.2">
      <c r="L7575" s="5"/>
      <c r="M7575" s="5"/>
    </row>
    <row r="7576" spans="12:13" x14ac:dyDescent="0.2">
      <c r="L7576" s="5"/>
      <c r="M7576" s="5"/>
    </row>
    <row r="7577" spans="12:13" x14ac:dyDescent="0.2">
      <c r="L7577" s="5"/>
      <c r="M7577" s="5"/>
    </row>
    <row r="7578" spans="12:13" x14ac:dyDescent="0.2">
      <c r="L7578" s="5"/>
      <c r="M7578" s="5"/>
    </row>
    <row r="7579" spans="12:13" x14ac:dyDescent="0.2">
      <c r="L7579" s="5"/>
      <c r="M7579" s="5"/>
    </row>
    <row r="7580" spans="12:13" x14ac:dyDescent="0.2">
      <c r="L7580" s="5"/>
      <c r="M7580" s="5"/>
    </row>
    <row r="7581" spans="12:13" x14ac:dyDescent="0.2">
      <c r="L7581" s="5"/>
      <c r="M7581" s="5"/>
    </row>
    <row r="7582" spans="12:13" x14ac:dyDescent="0.2">
      <c r="L7582" s="5"/>
      <c r="M7582" s="5"/>
    </row>
    <row r="7583" spans="12:13" x14ac:dyDescent="0.2">
      <c r="L7583" s="5"/>
      <c r="M7583" s="5"/>
    </row>
    <row r="7584" spans="12:13" x14ac:dyDescent="0.2">
      <c r="L7584" s="5"/>
      <c r="M7584" s="5"/>
    </row>
    <row r="7585" spans="12:13" x14ac:dyDescent="0.2">
      <c r="L7585" s="5"/>
      <c r="M7585" s="5"/>
    </row>
    <row r="7586" spans="12:13" x14ac:dyDescent="0.2">
      <c r="L7586" s="5"/>
      <c r="M7586" s="5"/>
    </row>
    <row r="7587" spans="12:13" x14ac:dyDescent="0.2">
      <c r="L7587" s="5"/>
      <c r="M7587" s="5"/>
    </row>
    <row r="7588" spans="12:13" x14ac:dyDescent="0.2">
      <c r="L7588" s="5"/>
      <c r="M7588" s="5"/>
    </row>
    <row r="7589" spans="12:13" x14ac:dyDescent="0.2">
      <c r="L7589" s="5"/>
      <c r="M7589" s="5"/>
    </row>
    <row r="7590" spans="12:13" x14ac:dyDescent="0.2">
      <c r="L7590" s="5"/>
      <c r="M7590" s="5"/>
    </row>
    <row r="7591" spans="12:13" x14ac:dyDescent="0.2">
      <c r="L7591" s="5"/>
      <c r="M7591" s="5"/>
    </row>
    <row r="7592" spans="12:13" x14ac:dyDescent="0.2">
      <c r="L7592" s="5"/>
      <c r="M7592" s="5"/>
    </row>
    <row r="7593" spans="12:13" x14ac:dyDescent="0.2">
      <c r="L7593" s="5"/>
      <c r="M7593" s="5"/>
    </row>
    <row r="7594" spans="12:13" x14ac:dyDescent="0.2">
      <c r="L7594" s="5"/>
      <c r="M7594" s="5"/>
    </row>
    <row r="7595" spans="12:13" x14ac:dyDescent="0.2">
      <c r="L7595" s="5"/>
      <c r="M7595" s="5"/>
    </row>
    <row r="7596" spans="12:13" x14ac:dyDescent="0.2">
      <c r="L7596" s="5"/>
      <c r="M7596" s="5"/>
    </row>
    <row r="7597" spans="12:13" x14ac:dyDescent="0.2">
      <c r="L7597" s="5"/>
      <c r="M7597" s="5"/>
    </row>
    <row r="7598" spans="12:13" x14ac:dyDescent="0.2">
      <c r="L7598" s="5"/>
      <c r="M7598" s="5"/>
    </row>
    <row r="7599" spans="12:13" x14ac:dyDescent="0.2">
      <c r="L7599" s="5"/>
      <c r="M7599" s="5"/>
    </row>
    <row r="7600" spans="12:13" x14ac:dyDescent="0.2">
      <c r="L7600" s="5"/>
      <c r="M7600" s="5"/>
    </row>
    <row r="7601" spans="12:13" x14ac:dyDescent="0.2">
      <c r="L7601" s="5"/>
      <c r="M7601" s="5"/>
    </row>
    <row r="7602" spans="12:13" x14ac:dyDescent="0.2">
      <c r="L7602" s="5"/>
      <c r="M7602" s="5"/>
    </row>
    <row r="7603" spans="12:13" x14ac:dyDescent="0.2">
      <c r="L7603" s="5"/>
      <c r="M7603" s="5"/>
    </row>
    <row r="7604" spans="12:13" x14ac:dyDescent="0.2">
      <c r="L7604" s="5"/>
      <c r="M7604" s="5"/>
    </row>
    <row r="7605" spans="12:13" x14ac:dyDescent="0.2">
      <c r="L7605" s="5"/>
      <c r="M7605" s="5"/>
    </row>
    <row r="7606" spans="12:13" x14ac:dyDescent="0.2">
      <c r="L7606" s="5"/>
      <c r="M7606" s="5"/>
    </row>
    <row r="7607" spans="12:13" x14ac:dyDescent="0.2">
      <c r="L7607" s="5"/>
      <c r="M7607" s="5"/>
    </row>
    <row r="7608" spans="12:13" x14ac:dyDescent="0.2">
      <c r="L7608" s="5"/>
      <c r="M7608" s="5"/>
    </row>
    <row r="7609" spans="12:13" x14ac:dyDescent="0.2">
      <c r="L7609" s="5"/>
      <c r="M7609" s="5"/>
    </row>
    <row r="7610" spans="12:13" x14ac:dyDescent="0.2">
      <c r="L7610" s="5"/>
      <c r="M7610" s="5"/>
    </row>
    <row r="7611" spans="12:13" x14ac:dyDescent="0.2">
      <c r="L7611" s="5"/>
      <c r="M7611" s="5"/>
    </row>
    <row r="7612" spans="12:13" x14ac:dyDescent="0.2">
      <c r="L7612" s="5"/>
      <c r="M7612" s="5"/>
    </row>
    <row r="7613" spans="12:13" x14ac:dyDescent="0.2">
      <c r="L7613" s="5"/>
      <c r="M7613" s="5"/>
    </row>
    <row r="7614" spans="12:13" x14ac:dyDescent="0.2">
      <c r="L7614" s="5"/>
      <c r="M7614" s="5"/>
    </row>
    <row r="7615" spans="12:13" x14ac:dyDescent="0.2">
      <c r="L7615" s="5"/>
      <c r="M7615" s="5"/>
    </row>
    <row r="7616" spans="12:13" x14ac:dyDescent="0.2">
      <c r="L7616" s="5"/>
      <c r="M7616" s="5"/>
    </row>
    <row r="7617" spans="12:13" x14ac:dyDescent="0.2">
      <c r="L7617" s="5"/>
      <c r="M7617" s="5"/>
    </row>
    <row r="7618" spans="12:13" x14ac:dyDescent="0.2">
      <c r="L7618" s="5"/>
      <c r="M7618" s="5"/>
    </row>
    <row r="7619" spans="12:13" x14ac:dyDescent="0.2">
      <c r="L7619" s="5"/>
      <c r="M7619" s="5"/>
    </row>
    <row r="7620" spans="12:13" x14ac:dyDescent="0.2">
      <c r="L7620" s="5"/>
      <c r="M7620" s="5"/>
    </row>
    <row r="7621" spans="12:13" x14ac:dyDescent="0.2">
      <c r="L7621" s="5"/>
      <c r="M7621" s="5"/>
    </row>
    <row r="7622" spans="12:13" x14ac:dyDescent="0.2">
      <c r="L7622" s="5"/>
      <c r="M7622" s="5"/>
    </row>
    <row r="7623" spans="12:13" x14ac:dyDescent="0.2">
      <c r="L7623" s="5"/>
      <c r="M7623" s="5"/>
    </row>
    <row r="7624" spans="12:13" x14ac:dyDescent="0.2">
      <c r="L7624" s="5"/>
      <c r="M7624" s="5"/>
    </row>
    <row r="7625" spans="12:13" x14ac:dyDescent="0.2">
      <c r="L7625" s="5"/>
      <c r="M7625" s="5"/>
    </row>
    <row r="7626" spans="12:13" x14ac:dyDescent="0.2">
      <c r="L7626" s="5"/>
      <c r="M7626" s="5"/>
    </row>
    <row r="7627" spans="12:13" x14ac:dyDescent="0.2">
      <c r="L7627" s="5"/>
      <c r="M7627" s="5"/>
    </row>
    <row r="7628" spans="12:13" x14ac:dyDescent="0.2">
      <c r="L7628" s="5"/>
      <c r="M7628" s="5"/>
    </row>
    <row r="7629" spans="12:13" x14ac:dyDescent="0.2">
      <c r="L7629" s="5"/>
      <c r="M7629" s="5"/>
    </row>
    <row r="7630" spans="12:13" x14ac:dyDescent="0.2">
      <c r="L7630" s="5"/>
      <c r="M7630" s="5"/>
    </row>
    <row r="7631" spans="12:13" x14ac:dyDescent="0.2">
      <c r="L7631" s="5"/>
      <c r="M7631" s="5"/>
    </row>
    <row r="7632" spans="12:13" x14ac:dyDescent="0.2">
      <c r="L7632" s="5"/>
      <c r="M7632" s="5"/>
    </row>
    <row r="7633" spans="12:13" x14ac:dyDescent="0.2">
      <c r="L7633" s="5"/>
      <c r="M7633" s="5"/>
    </row>
    <row r="7634" spans="12:13" x14ac:dyDescent="0.2">
      <c r="L7634" s="5"/>
      <c r="M7634" s="5"/>
    </row>
    <row r="7635" spans="12:13" x14ac:dyDescent="0.2">
      <c r="L7635" s="5"/>
      <c r="M7635" s="5"/>
    </row>
    <row r="7636" spans="12:13" x14ac:dyDescent="0.2">
      <c r="L7636" s="5"/>
      <c r="M7636" s="5"/>
    </row>
    <row r="7637" spans="12:13" x14ac:dyDescent="0.2">
      <c r="L7637" s="5"/>
      <c r="M7637" s="5"/>
    </row>
    <row r="7638" spans="12:13" x14ac:dyDescent="0.2">
      <c r="L7638" s="5"/>
      <c r="M7638" s="5"/>
    </row>
    <row r="7639" spans="12:13" x14ac:dyDescent="0.2">
      <c r="L7639" s="5"/>
      <c r="M7639" s="5"/>
    </row>
    <row r="7640" spans="12:13" x14ac:dyDescent="0.2">
      <c r="L7640" s="5"/>
      <c r="M7640" s="5"/>
    </row>
    <row r="7641" spans="12:13" x14ac:dyDescent="0.2">
      <c r="L7641" s="5"/>
      <c r="M7641" s="5"/>
    </row>
    <row r="7642" spans="12:13" x14ac:dyDescent="0.2">
      <c r="L7642" s="5"/>
      <c r="M7642" s="5"/>
    </row>
    <row r="7643" spans="12:13" x14ac:dyDescent="0.2">
      <c r="L7643" s="5"/>
      <c r="M7643" s="5"/>
    </row>
    <row r="7644" spans="12:13" x14ac:dyDescent="0.2">
      <c r="L7644" s="5"/>
      <c r="M7644" s="5"/>
    </row>
    <row r="7645" spans="12:13" x14ac:dyDescent="0.2">
      <c r="L7645" s="5"/>
      <c r="M7645" s="5"/>
    </row>
    <row r="7646" spans="12:13" x14ac:dyDescent="0.2">
      <c r="L7646" s="5"/>
      <c r="M7646" s="5"/>
    </row>
    <row r="7647" spans="12:13" x14ac:dyDescent="0.2">
      <c r="L7647" s="5"/>
      <c r="M7647" s="5"/>
    </row>
    <row r="7648" spans="12:13" x14ac:dyDescent="0.2">
      <c r="L7648" s="5"/>
      <c r="M7648" s="5"/>
    </row>
    <row r="7649" spans="12:13" x14ac:dyDescent="0.2">
      <c r="L7649" s="5"/>
      <c r="M7649" s="5"/>
    </row>
    <row r="7650" spans="12:13" x14ac:dyDescent="0.2">
      <c r="L7650" s="5"/>
      <c r="M7650" s="5"/>
    </row>
    <row r="7651" spans="12:13" x14ac:dyDescent="0.2">
      <c r="L7651" s="5"/>
      <c r="M7651" s="5"/>
    </row>
    <row r="7652" spans="12:13" x14ac:dyDescent="0.2">
      <c r="L7652" s="5"/>
      <c r="M7652" s="5"/>
    </row>
    <row r="7653" spans="12:13" x14ac:dyDescent="0.2">
      <c r="L7653" s="5"/>
      <c r="M7653" s="5"/>
    </row>
    <row r="7654" spans="12:13" x14ac:dyDescent="0.2">
      <c r="L7654" s="5"/>
      <c r="M7654" s="5"/>
    </row>
    <row r="7655" spans="12:13" x14ac:dyDescent="0.2">
      <c r="L7655" s="5"/>
      <c r="M7655" s="5"/>
    </row>
    <row r="7656" spans="12:13" x14ac:dyDescent="0.2">
      <c r="L7656" s="5"/>
      <c r="M7656" s="5"/>
    </row>
    <row r="7657" spans="12:13" x14ac:dyDescent="0.2">
      <c r="L7657" s="5"/>
      <c r="M7657" s="5"/>
    </row>
    <row r="7658" spans="12:13" x14ac:dyDescent="0.2">
      <c r="L7658" s="5"/>
      <c r="M7658" s="5"/>
    </row>
    <row r="7659" spans="12:13" x14ac:dyDescent="0.2">
      <c r="L7659" s="5"/>
      <c r="M7659" s="5"/>
    </row>
    <row r="7660" spans="12:13" x14ac:dyDescent="0.2">
      <c r="L7660" s="5"/>
      <c r="M7660" s="5"/>
    </row>
    <row r="7661" spans="12:13" x14ac:dyDescent="0.2">
      <c r="L7661" s="5"/>
      <c r="M7661" s="5"/>
    </row>
    <row r="7662" spans="12:13" x14ac:dyDescent="0.2">
      <c r="L7662" s="5"/>
      <c r="M7662" s="5"/>
    </row>
    <row r="7663" spans="12:13" x14ac:dyDescent="0.2">
      <c r="L7663" s="5"/>
      <c r="M7663" s="5"/>
    </row>
    <row r="7664" spans="12:13" x14ac:dyDescent="0.2">
      <c r="L7664" s="5"/>
      <c r="M7664" s="5"/>
    </row>
    <row r="7665" spans="12:13" x14ac:dyDescent="0.2">
      <c r="L7665" s="5"/>
      <c r="M7665" s="5"/>
    </row>
    <row r="7666" spans="12:13" x14ac:dyDescent="0.2">
      <c r="L7666" s="5"/>
      <c r="M7666" s="5"/>
    </row>
    <row r="7667" spans="12:13" x14ac:dyDescent="0.2">
      <c r="L7667" s="5"/>
      <c r="M7667" s="5"/>
    </row>
    <row r="7668" spans="12:13" x14ac:dyDescent="0.2">
      <c r="L7668" s="5"/>
      <c r="M7668" s="5"/>
    </row>
    <row r="7669" spans="12:13" x14ac:dyDescent="0.2">
      <c r="L7669" s="5"/>
      <c r="M7669" s="5"/>
    </row>
    <row r="7670" spans="12:13" x14ac:dyDescent="0.2">
      <c r="L7670" s="5"/>
      <c r="M7670" s="5"/>
    </row>
    <row r="7671" spans="12:13" x14ac:dyDescent="0.2">
      <c r="L7671" s="5"/>
      <c r="M7671" s="5"/>
    </row>
    <row r="7672" spans="12:13" x14ac:dyDescent="0.2">
      <c r="L7672" s="5"/>
      <c r="M7672" s="5"/>
    </row>
    <row r="7673" spans="12:13" x14ac:dyDescent="0.2">
      <c r="L7673" s="5"/>
      <c r="M7673" s="5"/>
    </row>
    <row r="7674" spans="12:13" x14ac:dyDescent="0.2">
      <c r="L7674" s="5"/>
      <c r="M7674" s="5"/>
    </row>
    <row r="7675" spans="12:13" x14ac:dyDescent="0.2">
      <c r="L7675" s="5"/>
      <c r="M7675" s="5"/>
    </row>
    <row r="7676" spans="12:13" x14ac:dyDescent="0.2">
      <c r="L7676" s="5"/>
      <c r="M7676" s="5"/>
    </row>
    <row r="7677" spans="12:13" x14ac:dyDescent="0.2">
      <c r="L7677" s="5"/>
      <c r="M7677" s="5"/>
    </row>
    <row r="7678" spans="12:13" x14ac:dyDescent="0.2">
      <c r="L7678" s="5"/>
      <c r="M7678" s="5"/>
    </row>
    <row r="7679" spans="12:13" x14ac:dyDescent="0.2">
      <c r="L7679" s="5"/>
      <c r="M7679" s="5"/>
    </row>
    <row r="7680" spans="12:13" x14ac:dyDescent="0.2">
      <c r="L7680" s="5"/>
      <c r="M7680" s="5"/>
    </row>
    <row r="7681" spans="12:13" x14ac:dyDescent="0.2">
      <c r="L7681" s="5"/>
      <c r="M7681" s="5"/>
    </row>
    <row r="7682" spans="12:13" x14ac:dyDescent="0.2">
      <c r="L7682" s="5"/>
      <c r="M7682" s="5"/>
    </row>
    <row r="7683" spans="12:13" x14ac:dyDescent="0.2">
      <c r="L7683" s="5"/>
      <c r="M7683" s="5"/>
    </row>
    <row r="7684" spans="12:13" x14ac:dyDescent="0.2">
      <c r="L7684" s="5"/>
      <c r="M7684" s="5"/>
    </row>
    <row r="7685" spans="12:13" x14ac:dyDescent="0.2">
      <c r="L7685" s="5"/>
      <c r="M7685" s="5"/>
    </row>
    <row r="7686" spans="12:13" x14ac:dyDescent="0.2">
      <c r="L7686" s="5"/>
      <c r="M7686" s="5"/>
    </row>
    <row r="7687" spans="12:13" x14ac:dyDescent="0.2">
      <c r="L7687" s="5"/>
      <c r="M7687" s="5"/>
    </row>
    <row r="7688" spans="12:13" x14ac:dyDescent="0.2">
      <c r="L7688" s="5"/>
      <c r="M7688" s="5"/>
    </row>
    <row r="7689" spans="12:13" x14ac:dyDescent="0.2">
      <c r="L7689" s="5"/>
      <c r="M7689" s="5"/>
    </row>
    <row r="7690" spans="12:13" x14ac:dyDescent="0.2">
      <c r="L7690" s="5"/>
      <c r="M7690" s="5"/>
    </row>
    <row r="7691" spans="12:13" x14ac:dyDescent="0.2">
      <c r="L7691" s="5"/>
      <c r="M7691" s="5"/>
    </row>
    <row r="7692" spans="12:13" x14ac:dyDescent="0.2">
      <c r="L7692" s="5"/>
      <c r="M7692" s="5"/>
    </row>
    <row r="7693" spans="12:13" x14ac:dyDescent="0.2">
      <c r="L7693" s="5"/>
      <c r="M7693" s="5"/>
    </row>
    <row r="7694" spans="12:13" x14ac:dyDescent="0.2">
      <c r="L7694" s="5"/>
      <c r="M7694" s="5"/>
    </row>
    <row r="7695" spans="12:13" x14ac:dyDescent="0.2">
      <c r="L7695" s="5"/>
      <c r="M7695" s="5"/>
    </row>
    <row r="7696" spans="12:13" x14ac:dyDescent="0.2">
      <c r="L7696" s="5"/>
      <c r="M7696" s="5"/>
    </row>
    <row r="7697" spans="12:13" x14ac:dyDescent="0.2">
      <c r="L7697" s="5"/>
      <c r="M7697" s="5"/>
    </row>
    <row r="7698" spans="12:13" x14ac:dyDescent="0.2">
      <c r="L7698" s="5"/>
      <c r="M7698" s="5"/>
    </row>
    <row r="7699" spans="12:13" x14ac:dyDescent="0.2">
      <c r="L7699" s="5"/>
      <c r="M7699" s="5"/>
    </row>
    <row r="7700" spans="12:13" x14ac:dyDescent="0.2">
      <c r="L7700" s="5"/>
      <c r="M7700" s="5"/>
    </row>
    <row r="7701" spans="12:13" x14ac:dyDescent="0.2">
      <c r="L7701" s="5"/>
      <c r="M7701" s="5"/>
    </row>
    <row r="7702" spans="12:13" x14ac:dyDescent="0.2">
      <c r="L7702" s="5"/>
      <c r="M7702" s="5"/>
    </row>
    <row r="7703" spans="12:13" x14ac:dyDescent="0.2">
      <c r="L7703" s="5"/>
      <c r="M7703" s="5"/>
    </row>
    <row r="7704" spans="12:13" x14ac:dyDescent="0.2">
      <c r="L7704" s="5"/>
      <c r="M7704" s="5"/>
    </row>
    <row r="7705" spans="12:13" x14ac:dyDescent="0.2">
      <c r="L7705" s="5"/>
      <c r="M7705" s="5"/>
    </row>
    <row r="7706" spans="12:13" x14ac:dyDescent="0.2">
      <c r="L7706" s="5"/>
      <c r="M7706" s="5"/>
    </row>
    <row r="7707" spans="12:13" x14ac:dyDescent="0.2">
      <c r="L7707" s="5"/>
      <c r="M7707" s="5"/>
    </row>
    <row r="7708" spans="12:13" x14ac:dyDescent="0.2">
      <c r="L7708" s="5"/>
      <c r="M7708" s="5"/>
    </row>
    <row r="7709" spans="12:13" x14ac:dyDescent="0.2">
      <c r="L7709" s="5"/>
      <c r="M7709" s="5"/>
    </row>
    <row r="7710" spans="12:13" x14ac:dyDescent="0.2">
      <c r="L7710" s="5"/>
      <c r="M7710" s="5"/>
    </row>
    <row r="7711" spans="12:13" x14ac:dyDescent="0.2">
      <c r="L7711" s="5"/>
      <c r="M7711" s="5"/>
    </row>
    <row r="7712" spans="12:13" x14ac:dyDescent="0.2">
      <c r="L7712" s="5"/>
      <c r="M7712" s="5"/>
    </row>
    <row r="7713" spans="12:13" x14ac:dyDescent="0.2">
      <c r="L7713" s="5"/>
      <c r="M7713" s="5"/>
    </row>
    <row r="7714" spans="12:13" x14ac:dyDescent="0.2">
      <c r="L7714" s="5"/>
      <c r="M7714" s="5"/>
    </row>
    <row r="7715" spans="12:13" x14ac:dyDescent="0.2">
      <c r="L7715" s="5"/>
      <c r="M7715" s="5"/>
    </row>
    <row r="7716" spans="12:13" x14ac:dyDescent="0.2">
      <c r="L7716" s="5"/>
      <c r="M7716" s="5"/>
    </row>
    <row r="7717" spans="12:13" x14ac:dyDescent="0.2">
      <c r="L7717" s="5"/>
      <c r="M7717" s="5"/>
    </row>
    <row r="7718" spans="12:13" x14ac:dyDescent="0.2">
      <c r="L7718" s="5"/>
      <c r="M7718" s="5"/>
    </row>
    <row r="7719" spans="12:13" x14ac:dyDescent="0.2">
      <c r="L7719" s="5"/>
      <c r="M7719" s="5"/>
    </row>
    <row r="7720" spans="12:13" x14ac:dyDescent="0.2">
      <c r="L7720" s="5"/>
      <c r="M7720" s="5"/>
    </row>
    <row r="7721" spans="12:13" x14ac:dyDescent="0.2">
      <c r="L7721" s="5"/>
      <c r="M7721" s="5"/>
    </row>
    <row r="7722" spans="12:13" x14ac:dyDescent="0.2">
      <c r="L7722" s="5"/>
      <c r="M7722" s="5"/>
    </row>
    <row r="7723" spans="12:13" x14ac:dyDescent="0.2">
      <c r="L7723" s="5"/>
      <c r="M7723" s="5"/>
    </row>
    <row r="7724" spans="12:13" x14ac:dyDescent="0.2">
      <c r="L7724" s="5"/>
      <c r="M7724" s="5"/>
    </row>
    <row r="7725" spans="12:13" x14ac:dyDescent="0.2">
      <c r="L7725" s="5"/>
      <c r="M7725" s="5"/>
    </row>
    <row r="7726" spans="12:13" x14ac:dyDescent="0.2">
      <c r="L7726" s="5"/>
      <c r="M7726" s="5"/>
    </row>
    <row r="7727" spans="12:13" x14ac:dyDescent="0.2">
      <c r="L7727" s="5"/>
      <c r="M7727" s="5"/>
    </row>
    <row r="7728" spans="12:13" x14ac:dyDescent="0.2">
      <c r="L7728" s="5"/>
      <c r="M7728" s="5"/>
    </row>
    <row r="7729" spans="12:13" x14ac:dyDescent="0.2">
      <c r="L7729" s="5"/>
      <c r="M7729" s="5"/>
    </row>
    <row r="7730" spans="12:13" x14ac:dyDescent="0.2">
      <c r="L7730" s="5"/>
      <c r="M7730" s="5"/>
    </row>
    <row r="7731" spans="12:13" x14ac:dyDescent="0.2">
      <c r="L7731" s="5"/>
      <c r="M7731" s="5"/>
    </row>
    <row r="7732" spans="12:13" x14ac:dyDescent="0.2">
      <c r="L7732" s="5"/>
      <c r="M7732" s="5"/>
    </row>
    <row r="7733" spans="12:13" x14ac:dyDescent="0.2">
      <c r="L7733" s="5"/>
      <c r="M7733" s="5"/>
    </row>
    <row r="7734" spans="12:13" x14ac:dyDescent="0.2">
      <c r="L7734" s="5"/>
      <c r="M7734" s="5"/>
    </row>
    <row r="7735" spans="12:13" x14ac:dyDescent="0.2">
      <c r="L7735" s="5"/>
      <c r="M7735" s="5"/>
    </row>
    <row r="7736" spans="12:13" x14ac:dyDescent="0.2">
      <c r="L7736" s="5"/>
      <c r="M7736" s="5"/>
    </row>
    <row r="7737" spans="12:13" x14ac:dyDescent="0.2">
      <c r="L7737" s="5"/>
      <c r="M7737" s="5"/>
    </row>
    <row r="7738" spans="12:13" x14ac:dyDescent="0.2">
      <c r="L7738" s="5"/>
      <c r="M7738" s="5"/>
    </row>
    <row r="7739" spans="12:13" x14ac:dyDescent="0.2">
      <c r="L7739" s="5"/>
      <c r="M7739" s="5"/>
    </row>
    <row r="7740" spans="12:13" x14ac:dyDescent="0.2">
      <c r="L7740" s="5"/>
      <c r="M7740" s="5"/>
    </row>
    <row r="7741" spans="12:13" x14ac:dyDescent="0.2">
      <c r="L7741" s="5"/>
      <c r="M7741" s="5"/>
    </row>
    <row r="7742" spans="12:13" x14ac:dyDescent="0.2">
      <c r="L7742" s="5"/>
      <c r="M7742" s="5"/>
    </row>
    <row r="7743" spans="12:13" x14ac:dyDescent="0.2">
      <c r="L7743" s="5"/>
      <c r="M7743" s="5"/>
    </row>
    <row r="7744" spans="12:13" x14ac:dyDescent="0.2">
      <c r="L7744" s="5"/>
      <c r="M7744" s="5"/>
    </row>
    <row r="7745" spans="12:13" x14ac:dyDescent="0.2">
      <c r="L7745" s="5"/>
      <c r="M7745" s="5"/>
    </row>
    <row r="7746" spans="12:13" x14ac:dyDescent="0.2">
      <c r="L7746" s="5"/>
      <c r="M7746" s="5"/>
    </row>
    <row r="7747" spans="12:13" x14ac:dyDescent="0.2">
      <c r="L7747" s="5"/>
      <c r="M7747" s="5"/>
    </row>
    <row r="7748" spans="12:13" x14ac:dyDescent="0.2">
      <c r="L7748" s="5"/>
      <c r="M7748" s="5"/>
    </row>
    <row r="7749" spans="12:13" x14ac:dyDescent="0.2">
      <c r="L7749" s="5"/>
      <c r="M7749" s="5"/>
    </row>
    <row r="7750" spans="12:13" x14ac:dyDescent="0.2">
      <c r="L7750" s="5"/>
      <c r="M7750" s="5"/>
    </row>
    <row r="7751" spans="12:13" x14ac:dyDescent="0.2">
      <c r="L7751" s="5"/>
      <c r="M7751" s="5"/>
    </row>
    <row r="7752" spans="12:13" x14ac:dyDescent="0.2">
      <c r="L7752" s="5"/>
      <c r="M7752" s="5"/>
    </row>
    <row r="7753" spans="12:13" x14ac:dyDescent="0.2">
      <c r="L7753" s="5"/>
      <c r="M7753" s="5"/>
    </row>
    <row r="7754" spans="12:13" x14ac:dyDescent="0.2">
      <c r="L7754" s="5"/>
      <c r="M7754" s="5"/>
    </row>
    <row r="7755" spans="12:13" x14ac:dyDescent="0.2">
      <c r="L7755" s="5"/>
      <c r="M7755" s="5"/>
    </row>
    <row r="7756" spans="12:13" x14ac:dyDescent="0.2">
      <c r="L7756" s="5"/>
      <c r="M7756" s="5"/>
    </row>
    <row r="7757" spans="12:13" x14ac:dyDescent="0.2">
      <c r="L7757" s="5"/>
      <c r="M7757" s="5"/>
    </row>
    <row r="7758" spans="12:13" x14ac:dyDescent="0.2">
      <c r="L7758" s="5"/>
      <c r="M7758" s="5"/>
    </row>
    <row r="7759" spans="12:13" x14ac:dyDescent="0.2">
      <c r="L7759" s="5"/>
      <c r="M7759" s="5"/>
    </row>
    <row r="7760" spans="12:13" x14ac:dyDescent="0.2">
      <c r="L7760" s="5"/>
      <c r="M7760" s="5"/>
    </row>
    <row r="7761" spans="12:13" x14ac:dyDescent="0.2">
      <c r="L7761" s="5"/>
      <c r="M7761" s="5"/>
    </row>
    <row r="7762" spans="12:13" x14ac:dyDescent="0.2">
      <c r="L7762" s="5"/>
      <c r="M7762" s="5"/>
    </row>
    <row r="7763" spans="12:13" x14ac:dyDescent="0.2">
      <c r="L7763" s="5"/>
      <c r="M7763" s="5"/>
    </row>
    <row r="7764" spans="12:13" x14ac:dyDescent="0.2">
      <c r="L7764" s="5"/>
      <c r="M7764" s="5"/>
    </row>
    <row r="7765" spans="12:13" x14ac:dyDescent="0.2">
      <c r="L7765" s="5"/>
      <c r="M7765" s="5"/>
    </row>
    <row r="7766" spans="12:13" x14ac:dyDescent="0.2">
      <c r="L7766" s="5"/>
      <c r="M7766" s="5"/>
    </row>
    <row r="7767" spans="12:13" x14ac:dyDescent="0.2">
      <c r="L7767" s="5"/>
      <c r="M7767" s="5"/>
    </row>
    <row r="7768" spans="12:13" x14ac:dyDescent="0.2">
      <c r="L7768" s="5"/>
      <c r="M7768" s="5"/>
    </row>
    <row r="7769" spans="12:13" x14ac:dyDescent="0.2">
      <c r="L7769" s="5"/>
      <c r="M7769" s="5"/>
    </row>
    <row r="7770" spans="12:13" x14ac:dyDescent="0.2">
      <c r="L7770" s="5"/>
      <c r="M7770" s="5"/>
    </row>
    <row r="7771" spans="12:13" x14ac:dyDescent="0.2">
      <c r="L7771" s="5"/>
      <c r="M7771" s="5"/>
    </row>
    <row r="7772" spans="12:13" x14ac:dyDescent="0.2">
      <c r="L7772" s="5"/>
      <c r="M7772" s="5"/>
    </row>
    <row r="7773" spans="12:13" x14ac:dyDescent="0.2">
      <c r="L7773" s="5"/>
      <c r="M7773" s="5"/>
    </row>
    <row r="7774" spans="12:13" x14ac:dyDescent="0.2">
      <c r="L7774" s="5"/>
      <c r="M7774" s="5"/>
    </row>
    <row r="7775" spans="12:13" x14ac:dyDescent="0.2">
      <c r="L7775" s="5"/>
      <c r="M7775" s="5"/>
    </row>
    <row r="7776" spans="12:13" x14ac:dyDescent="0.2">
      <c r="L7776" s="5"/>
      <c r="M7776" s="5"/>
    </row>
    <row r="7777" spans="12:13" x14ac:dyDescent="0.2">
      <c r="L7777" s="5"/>
      <c r="M7777" s="5"/>
    </row>
    <row r="7778" spans="12:13" x14ac:dyDescent="0.2">
      <c r="L7778" s="5"/>
      <c r="M7778" s="5"/>
    </row>
    <row r="7779" spans="12:13" x14ac:dyDescent="0.2">
      <c r="L7779" s="5"/>
      <c r="M7779" s="5"/>
    </row>
    <row r="7780" spans="12:13" x14ac:dyDescent="0.2">
      <c r="L7780" s="5"/>
      <c r="M7780" s="5"/>
    </row>
    <row r="7781" spans="12:13" x14ac:dyDescent="0.2">
      <c r="L7781" s="5"/>
      <c r="M7781" s="5"/>
    </row>
    <row r="7782" spans="12:13" x14ac:dyDescent="0.2">
      <c r="L7782" s="5"/>
      <c r="M7782" s="5"/>
    </row>
    <row r="7783" spans="12:13" x14ac:dyDescent="0.2">
      <c r="L7783" s="5"/>
      <c r="M7783" s="5"/>
    </row>
    <row r="7784" spans="12:13" x14ac:dyDescent="0.2">
      <c r="L7784" s="5"/>
      <c r="M7784" s="5"/>
    </row>
    <row r="7785" spans="12:13" x14ac:dyDescent="0.2">
      <c r="L7785" s="5"/>
      <c r="M7785" s="5"/>
    </row>
    <row r="7786" spans="12:13" x14ac:dyDescent="0.2">
      <c r="L7786" s="5"/>
      <c r="M7786" s="5"/>
    </row>
    <row r="7787" spans="12:13" x14ac:dyDescent="0.2">
      <c r="L7787" s="5"/>
      <c r="M7787" s="5"/>
    </row>
    <row r="7788" spans="12:13" x14ac:dyDescent="0.2">
      <c r="L7788" s="5"/>
      <c r="M7788" s="5"/>
    </row>
    <row r="7789" spans="12:13" x14ac:dyDescent="0.2">
      <c r="L7789" s="5"/>
      <c r="M7789" s="5"/>
    </row>
    <row r="7790" spans="12:13" x14ac:dyDescent="0.2">
      <c r="L7790" s="5"/>
      <c r="M7790" s="5"/>
    </row>
    <row r="7791" spans="12:13" x14ac:dyDescent="0.2">
      <c r="L7791" s="5"/>
      <c r="M7791" s="5"/>
    </row>
    <row r="7792" spans="12:13" x14ac:dyDescent="0.2">
      <c r="L7792" s="5"/>
      <c r="M7792" s="5"/>
    </row>
    <row r="7793" spans="12:13" x14ac:dyDescent="0.2">
      <c r="L7793" s="5"/>
      <c r="M7793" s="5"/>
    </row>
    <row r="7794" spans="12:13" x14ac:dyDescent="0.2">
      <c r="L7794" s="5"/>
      <c r="M7794" s="5"/>
    </row>
    <row r="7795" spans="12:13" x14ac:dyDescent="0.2">
      <c r="L7795" s="5"/>
      <c r="M7795" s="5"/>
    </row>
    <row r="7796" spans="12:13" x14ac:dyDescent="0.2">
      <c r="L7796" s="5"/>
      <c r="M7796" s="5"/>
    </row>
    <row r="7797" spans="12:13" x14ac:dyDescent="0.2">
      <c r="L7797" s="5"/>
      <c r="M7797" s="5"/>
    </row>
    <row r="7798" spans="12:13" x14ac:dyDescent="0.2">
      <c r="L7798" s="5"/>
      <c r="M7798" s="5"/>
    </row>
    <row r="7799" spans="12:13" x14ac:dyDescent="0.2">
      <c r="L7799" s="5"/>
      <c r="M7799" s="5"/>
    </row>
    <row r="7800" spans="12:13" x14ac:dyDescent="0.2">
      <c r="L7800" s="5"/>
      <c r="M7800" s="5"/>
    </row>
    <row r="7801" spans="12:13" x14ac:dyDescent="0.2">
      <c r="L7801" s="5"/>
      <c r="M7801" s="5"/>
    </row>
    <row r="7802" spans="12:13" x14ac:dyDescent="0.2">
      <c r="L7802" s="5"/>
      <c r="M7802" s="5"/>
    </row>
    <row r="7803" spans="12:13" x14ac:dyDescent="0.2">
      <c r="L7803" s="5"/>
      <c r="M7803" s="5"/>
    </row>
    <row r="7804" spans="12:13" x14ac:dyDescent="0.2">
      <c r="L7804" s="5"/>
      <c r="M7804" s="5"/>
    </row>
    <row r="7805" spans="12:13" x14ac:dyDescent="0.2">
      <c r="L7805" s="5"/>
      <c r="M7805" s="5"/>
    </row>
    <row r="7806" spans="12:13" x14ac:dyDescent="0.2">
      <c r="L7806" s="5"/>
      <c r="M7806" s="5"/>
    </row>
    <row r="7807" spans="12:13" x14ac:dyDescent="0.2">
      <c r="L7807" s="5"/>
      <c r="M7807" s="5"/>
    </row>
    <row r="7808" spans="12:13" x14ac:dyDescent="0.2">
      <c r="L7808" s="5"/>
      <c r="M7808" s="5"/>
    </row>
    <row r="7809" spans="12:13" x14ac:dyDescent="0.2">
      <c r="L7809" s="5"/>
      <c r="M7809" s="5"/>
    </row>
    <row r="7810" spans="12:13" x14ac:dyDescent="0.2">
      <c r="L7810" s="5"/>
      <c r="M7810" s="5"/>
    </row>
    <row r="7811" spans="12:13" x14ac:dyDescent="0.2">
      <c r="L7811" s="5"/>
      <c r="M7811" s="5"/>
    </row>
    <row r="7812" spans="12:13" x14ac:dyDescent="0.2">
      <c r="L7812" s="5"/>
      <c r="M7812" s="5"/>
    </row>
    <row r="7813" spans="12:13" x14ac:dyDescent="0.2">
      <c r="L7813" s="5"/>
      <c r="M7813" s="5"/>
    </row>
    <row r="7814" spans="12:13" x14ac:dyDescent="0.2">
      <c r="L7814" s="5"/>
      <c r="M7814" s="5"/>
    </row>
    <row r="7815" spans="12:13" x14ac:dyDescent="0.2">
      <c r="L7815" s="5"/>
      <c r="M7815" s="5"/>
    </row>
    <row r="7816" spans="12:13" x14ac:dyDescent="0.2">
      <c r="L7816" s="5"/>
      <c r="M7816" s="5"/>
    </row>
    <row r="7817" spans="12:13" x14ac:dyDescent="0.2">
      <c r="L7817" s="5"/>
      <c r="M7817" s="5"/>
    </row>
    <row r="7818" spans="12:13" x14ac:dyDescent="0.2">
      <c r="L7818" s="5"/>
      <c r="M7818" s="5"/>
    </row>
    <row r="7819" spans="12:13" x14ac:dyDescent="0.2">
      <c r="L7819" s="5"/>
      <c r="M7819" s="5"/>
    </row>
    <row r="7820" spans="12:13" x14ac:dyDescent="0.2">
      <c r="L7820" s="5"/>
      <c r="M7820" s="5"/>
    </row>
    <row r="7821" spans="12:13" x14ac:dyDescent="0.2">
      <c r="L7821" s="5"/>
      <c r="M7821" s="5"/>
    </row>
    <row r="7822" spans="12:13" x14ac:dyDescent="0.2">
      <c r="L7822" s="5"/>
      <c r="M7822" s="5"/>
    </row>
    <row r="7823" spans="12:13" x14ac:dyDescent="0.2">
      <c r="L7823" s="5"/>
      <c r="M7823" s="5"/>
    </row>
    <row r="7824" spans="12:13" x14ac:dyDescent="0.2">
      <c r="L7824" s="5"/>
      <c r="M7824" s="5"/>
    </row>
    <row r="7825" spans="12:13" x14ac:dyDescent="0.2">
      <c r="L7825" s="5"/>
      <c r="M7825" s="5"/>
    </row>
    <row r="7826" spans="12:13" x14ac:dyDescent="0.2">
      <c r="L7826" s="5"/>
      <c r="M7826" s="5"/>
    </row>
    <row r="7827" spans="12:13" x14ac:dyDescent="0.2">
      <c r="L7827" s="5"/>
      <c r="M7827" s="5"/>
    </row>
    <row r="7828" spans="12:13" x14ac:dyDescent="0.2">
      <c r="L7828" s="5"/>
      <c r="M7828" s="5"/>
    </row>
    <row r="7829" spans="12:13" x14ac:dyDescent="0.2">
      <c r="L7829" s="5"/>
      <c r="M7829" s="5"/>
    </row>
    <row r="7830" spans="12:13" x14ac:dyDescent="0.2">
      <c r="L7830" s="5"/>
      <c r="M7830" s="5"/>
    </row>
    <row r="7831" spans="12:13" x14ac:dyDescent="0.2">
      <c r="L7831" s="5"/>
      <c r="M7831" s="5"/>
    </row>
    <row r="7832" spans="12:13" x14ac:dyDescent="0.2">
      <c r="L7832" s="5"/>
      <c r="M7832" s="5"/>
    </row>
    <row r="7833" spans="12:13" x14ac:dyDescent="0.2">
      <c r="L7833" s="5"/>
      <c r="M7833" s="5"/>
    </row>
    <row r="7834" spans="12:13" x14ac:dyDescent="0.2">
      <c r="L7834" s="5"/>
      <c r="M7834" s="5"/>
    </row>
    <row r="7835" spans="12:13" x14ac:dyDescent="0.2">
      <c r="L7835" s="5"/>
      <c r="M7835" s="5"/>
    </row>
    <row r="7836" spans="12:13" x14ac:dyDescent="0.2">
      <c r="L7836" s="5"/>
      <c r="M7836" s="5"/>
    </row>
    <row r="7837" spans="12:13" x14ac:dyDescent="0.2">
      <c r="L7837" s="5"/>
      <c r="M7837" s="5"/>
    </row>
    <row r="7838" spans="12:13" x14ac:dyDescent="0.2">
      <c r="L7838" s="5"/>
      <c r="M7838" s="5"/>
    </row>
    <row r="7839" spans="12:13" x14ac:dyDescent="0.2">
      <c r="L7839" s="5"/>
      <c r="M7839" s="5"/>
    </row>
    <row r="7840" spans="12:13" x14ac:dyDescent="0.2">
      <c r="L7840" s="5"/>
      <c r="M7840" s="5"/>
    </row>
    <row r="7841" spans="12:13" x14ac:dyDescent="0.2">
      <c r="L7841" s="5"/>
      <c r="M7841" s="5"/>
    </row>
    <row r="7842" spans="12:13" x14ac:dyDescent="0.2">
      <c r="L7842" s="5"/>
      <c r="M7842" s="5"/>
    </row>
    <row r="7843" spans="12:13" x14ac:dyDescent="0.2">
      <c r="L7843" s="5"/>
      <c r="M7843" s="5"/>
    </row>
    <row r="7844" spans="12:13" x14ac:dyDescent="0.2">
      <c r="L7844" s="5"/>
      <c r="M7844" s="5"/>
    </row>
    <row r="7845" spans="12:13" x14ac:dyDescent="0.2">
      <c r="L7845" s="5"/>
      <c r="M7845" s="5"/>
    </row>
    <row r="7846" spans="12:13" x14ac:dyDescent="0.2">
      <c r="L7846" s="5"/>
      <c r="M7846" s="5"/>
    </row>
    <row r="7847" spans="12:13" x14ac:dyDescent="0.2">
      <c r="L7847" s="5"/>
      <c r="M7847" s="5"/>
    </row>
    <row r="7848" spans="12:13" x14ac:dyDescent="0.2">
      <c r="L7848" s="5"/>
      <c r="M7848" s="5"/>
    </row>
    <row r="7849" spans="12:13" x14ac:dyDescent="0.2">
      <c r="L7849" s="5"/>
      <c r="M7849" s="5"/>
    </row>
    <row r="7850" spans="12:13" x14ac:dyDescent="0.2">
      <c r="L7850" s="5"/>
      <c r="M7850" s="5"/>
    </row>
    <row r="7851" spans="12:13" x14ac:dyDescent="0.2">
      <c r="L7851" s="5"/>
      <c r="M7851" s="5"/>
    </row>
    <row r="7852" spans="12:13" x14ac:dyDescent="0.2">
      <c r="L7852" s="5"/>
      <c r="M7852" s="5"/>
    </row>
    <row r="7853" spans="12:13" x14ac:dyDescent="0.2">
      <c r="L7853" s="5"/>
      <c r="M7853" s="5"/>
    </row>
    <row r="7854" spans="12:13" x14ac:dyDescent="0.2">
      <c r="L7854" s="5"/>
      <c r="M7854" s="5"/>
    </row>
    <row r="7855" spans="12:13" x14ac:dyDescent="0.2">
      <c r="L7855" s="5"/>
      <c r="M7855" s="5"/>
    </row>
    <row r="7856" spans="12:13" x14ac:dyDescent="0.2">
      <c r="L7856" s="5"/>
      <c r="M7856" s="5"/>
    </row>
    <row r="7857" spans="12:13" x14ac:dyDescent="0.2">
      <c r="L7857" s="5"/>
      <c r="M7857" s="5"/>
    </row>
    <row r="7858" spans="12:13" x14ac:dyDescent="0.2">
      <c r="L7858" s="5"/>
      <c r="M7858" s="5"/>
    </row>
    <row r="7859" spans="12:13" x14ac:dyDescent="0.2">
      <c r="L7859" s="5"/>
      <c r="M7859" s="5"/>
    </row>
    <row r="7860" spans="12:13" x14ac:dyDescent="0.2">
      <c r="L7860" s="5"/>
      <c r="M7860" s="5"/>
    </row>
    <row r="7861" spans="12:13" x14ac:dyDescent="0.2">
      <c r="L7861" s="5"/>
      <c r="M7861" s="5"/>
    </row>
    <row r="7862" spans="12:13" x14ac:dyDescent="0.2">
      <c r="L7862" s="5"/>
      <c r="M7862" s="5"/>
    </row>
    <row r="7863" spans="12:13" x14ac:dyDescent="0.2">
      <c r="L7863" s="5"/>
      <c r="M7863" s="5"/>
    </row>
    <row r="7864" spans="12:13" x14ac:dyDescent="0.2">
      <c r="L7864" s="5"/>
      <c r="M7864" s="5"/>
    </row>
    <row r="7865" spans="12:13" x14ac:dyDescent="0.2">
      <c r="L7865" s="5"/>
      <c r="M7865" s="5"/>
    </row>
    <row r="7866" spans="12:13" x14ac:dyDescent="0.2">
      <c r="L7866" s="5"/>
      <c r="M7866" s="5"/>
    </row>
    <row r="7867" spans="12:13" x14ac:dyDescent="0.2">
      <c r="L7867" s="5"/>
      <c r="M7867" s="5"/>
    </row>
    <row r="7868" spans="12:13" x14ac:dyDescent="0.2">
      <c r="L7868" s="5"/>
      <c r="M7868" s="5"/>
    </row>
    <row r="7869" spans="12:13" x14ac:dyDescent="0.2">
      <c r="L7869" s="5"/>
      <c r="M7869" s="5"/>
    </row>
    <row r="7870" spans="12:13" x14ac:dyDescent="0.2">
      <c r="L7870" s="5"/>
      <c r="M7870" s="5"/>
    </row>
    <row r="7871" spans="12:13" x14ac:dyDescent="0.2">
      <c r="L7871" s="5"/>
      <c r="M7871" s="5"/>
    </row>
    <row r="7872" spans="12:13" x14ac:dyDescent="0.2">
      <c r="L7872" s="5"/>
      <c r="M7872" s="5"/>
    </row>
    <row r="7873" spans="12:13" x14ac:dyDescent="0.2">
      <c r="L7873" s="5"/>
      <c r="M7873" s="5"/>
    </row>
    <row r="7874" spans="12:13" x14ac:dyDescent="0.2">
      <c r="L7874" s="5"/>
      <c r="M7874" s="5"/>
    </row>
    <row r="7875" spans="12:13" x14ac:dyDescent="0.2">
      <c r="L7875" s="5"/>
      <c r="M7875" s="5"/>
    </row>
    <row r="7876" spans="12:13" x14ac:dyDescent="0.2">
      <c r="L7876" s="5"/>
      <c r="M7876" s="5"/>
    </row>
    <row r="7877" spans="12:13" x14ac:dyDescent="0.2">
      <c r="L7877" s="5"/>
      <c r="M7877" s="5"/>
    </row>
    <row r="7878" spans="12:13" x14ac:dyDescent="0.2">
      <c r="L7878" s="5"/>
      <c r="M7878" s="5"/>
    </row>
    <row r="7879" spans="12:13" x14ac:dyDescent="0.2">
      <c r="L7879" s="5"/>
      <c r="M7879" s="5"/>
    </row>
    <row r="7880" spans="12:13" x14ac:dyDescent="0.2">
      <c r="L7880" s="5"/>
      <c r="M7880" s="5"/>
    </row>
    <row r="7881" spans="12:13" x14ac:dyDescent="0.2">
      <c r="L7881" s="5"/>
      <c r="M7881" s="5"/>
    </row>
    <row r="7882" spans="12:13" x14ac:dyDescent="0.2">
      <c r="L7882" s="5"/>
      <c r="M7882" s="5"/>
    </row>
    <row r="7883" spans="12:13" x14ac:dyDescent="0.2">
      <c r="L7883" s="5"/>
      <c r="M7883" s="5"/>
    </row>
    <row r="7884" spans="12:13" x14ac:dyDescent="0.2">
      <c r="L7884" s="5"/>
      <c r="M7884" s="5"/>
    </row>
    <row r="7885" spans="12:13" x14ac:dyDescent="0.2">
      <c r="L7885" s="5"/>
      <c r="M7885" s="5"/>
    </row>
    <row r="7886" spans="12:13" x14ac:dyDescent="0.2">
      <c r="L7886" s="5"/>
      <c r="M7886" s="5"/>
    </row>
    <row r="7887" spans="12:13" x14ac:dyDescent="0.2">
      <c r="L7887" s="5"/>
      <c r="M7887" s="5"/>
    </row>
    <row r="7888" spans="12:13" x14ac:dyDescent="0.2">
      <c r="L7888" s="5"/>
      <c r="M7888" s="5"/>
    </row>
    <row r="7889" spans="12:13" x14ac:dyDescent="0.2">
      <c r="L7889" s="5"/>
      <c r="M7889" s="5"/>
    </row>
    <row r="7890" spans="12:13" x14ac:dyDescent="0.2">
      <c r="L7890" s="5"/>
      <c r="M7890" s="5"/>
    </row>
    <row r="7891" spans="12:13" x14ac:dyDescent="0.2">
      <c r="L7891" s="5"/>
      <c r="M7891" s="5"/>
    </row>
    <row r="7892" spans="12:13" x14ac:dyDescent="0.2">
      <c r="L7892" s="5"/>
      <c r="M7892" s="5"/>
    </row>
    <row r="7893" spans="12:13" x14ac:dyDescent="0.2">
      <c r="L7893" s="5"/>
      <c r="M7893" s="5"/>
    </row>
    <row r="7894" spans="12:13" x14ac:dyDescent="0.2">
      <c r="L7894" s="5"/>
      <c r="M7894" s="5"/>
    </row>
    <row r="7895" spans="12:13" x14ac:dyDescent="0.2">
      <c r="L7895" s="5"/>
      <c r="M7895" s="5"/>
    </row>
    <row r="7896" spans="12:13" x14ac:dyDescent="0.2">
      <c r="L7896" s="5"/>
      <c r="M7896" s="5"/>
    </row>
    <row r="7897" spans="12:13" x14ac:dyDescent="0.2">
      <c r="L7897" s="5"/>
      <c r="M7897" s="5"/>
    </row>
    <row r="7898" spans="12:13" x14ac:dyDescent="0.2">
      <c r="L7898" s="5"/>
      <c r="M7898" s="5"/>
    </row>
    <row r="7899" spans="12:13" x14ac:dyDescent="0.2">
      <c r="L7899" s="5"/>
      <c r="M7899" s="5"/>
    </row>
    <row r="7900" spans="12:13" x14ac:dyDescent="0.2">
      <c r="L7900" s="5"/>
      <c r="M7900" s="5"/>
    </row>
    <row r="7901" spans="12:13" x14ac:dyDescent="0.2">
      <c r="L7901" s="5"/>
      <c r="M7901" s="5"/>
    </row>
    <row r="7902" spans="12:13" x14ac:dyDescent="0.2">
      <c r="L7902" s="5"/>
      <c r="M7902" s="5"/>
    </row>
    <row r="7903" spans="12:13" x14ac:dyDescent="0.2">
      <c r="L7903" s="5"/>
      <c r="M7903" s="5"/>
    </row>
    <row r="7904" spans="12:13" x14ac:dyDescent="0.2">
      <c r="L7904" s="5"/>
      <c r="M7904" s="5"/>
    </row>
    <row r="7905" spans="12:13" x14ac:dyDescent="0.2">
      <c r="L7905" s="5"/>
      <c r="M7905" s="5"/>
    </row>
    <row r="7906" spans="12:13" x14ac:dyDescent="0.2">
      <c r="L7906" s="5"/>
      <c r="M7906" s="5"/>
    </row>
    <row r="7907" spans="12:13" x14ac:dyDescent="0.2">
      <c r="L7907" s="5"/>
      <c r="M7907" s="5"/>
    </row>
    <row r="7908" spans="12:13" x14ac:dyDescent="0.2">
      <c r="L7908" s="5"/>
      <c r="M7908" s="5"/>
    </row>
    <row r="7909" spans="12:13" x14ac:dyDescent="0.2">
      <c r="L7909" s="5"/>
      <c r="M7909" s="5"/>
    </row>
    <row r="7910" spans="12:13" x14ac:dyDescent="0.2">
      <c r="L7910" s="5"/>
      <c r="M7910" s="5"/>
    </row>
    <row r="7911" spans="12:13" x14ac:dyDescent="0.2">
      <c r="L7911" s="5"/>
      <c r="M7911" s="5"/>
    </row>
    <row r="7912" spans="12:13" x14ac:dyDescent="0.2">
      <c r="L7912" s="5"/>
      <c r="M7912" s="5"/>
    </row>
    <row r="7913" spans="12:13" x14ac:dyDescent="0.2">
      <c r="L7913" s="5"/>
      <c r="M7913" s="5"/>
    </row>
    <row r="7914" spans="12:13" x14ac:dyDescent="0.2">
      <c r="L7914" s="5"/>
      <c r="M7914" s="5"/>
    </row>
    <row r="7915" spans="12:13" x14ac:dyDescent="0.2">
      <c r="L7915" s="5"/>
      <c r="M7915" s="5"/>
    </row>
    <row r="7916" spans="12:13" x14ac:dyDescent="0.2">
      <c r="L7916" s="5"/>
      <c r="M7916" s="5"/>
    </row>
    <row r="7917" spans="12:13" x14ac:dyDescent="0.2">
      <c r="L7917" s="5"/>
      <c r="M7917" s="5"/>
    </row>
    <row r="7918" spans="12:13" x14ac:dyDescent="0.2">
      <c r="L7918" s="5"/>
      <c r="M7918" s="5"/>
    </row>
    <row r="7919" spans="12:13" x14ac:dyDescent="0.2">
      <c r="L7919" s="5"/>
      <c r="M7919" s="5"/>
    </row>
    <row r="7920" spans="12:13" x14ac:dyDescent="0.2">
      <c r="L7920" s="5"/>
      <c r="M7920" s="5"/>
    </row>
    <row r="7921" spans="12:13" x14ac:dyDescent="0.2">
      <c r="L7921" s="5"/>
      <c r="M7921" s="5"/>
    </row>
    <row r="7922" spans="12:13" x14ac:dyDescent="0.2">
      <c r="L7922" s="5"/>
      <c r="M7922" s="5"/>
    </row>
    <row r="7923" spans="12:13" x14ac:dyDescent="0.2">
      <c r="L7923" s="5"/>
      <c r="M7923" s="5"/>
    </row>
    <row r="7924" spans="12:13" x14ac:dyDescent="0.2">
      <c r="L7924" s="5"/>
      <c r="M7924" s="5"/>
    </row>
    <row r="7925" spans="12:13" x14ac:dyDescent="0.2">
      <c r="L7925" s="5"/>
      <c r="M7925" s="5"/>
    </row>
    <row r="7926" spans="12:13" x14ac:dyDescent="0.2">
      <c r="L7926" s="5"/>
      <c r="M7926" s="5"/>
    </row>
    <row r="7927" spans="12:13" x14ac:dyDescent="0.2">
      <c r="L7927" s="5"/>
      <c r="M7927" s="5"/>
    </row>
    <row r="7928" spans="12:13" x14ac:dyDescent="0.2">
      <c r="L7928" s="5"/>
      <c r="M7928" s="5"/>
    </row>
    <row r="7929" spans="12:13" x14ac:dyDescent="0.2">
      <c r="L7929" s="5"/>
      <c r="M7929" s="5"/>
    </row>
    <row r="7930" spans="12:13" x14ac:dyDescent="0.2">
      <c r="L7930" s="5"/>
      <c r="M7930" s="5"/>
    </row>
    <row r="7931" spans="12:13" x14ac:dyDescent="0.2">
      <c r="L7931" s="5"/>
      <c r="M7931" s="5"/>
    </row>
    <row r="7932" spans="12:13" x14ac:dyDescent="0.2">
      <c r="L7932" s="5"/>
      <c r="M7932" s="5"/>
    </row>
    <row r="7933" spans="12:13" x14ac:dyDescent="0.2">
      <c r="L7933" s="5"/>
      <c r="M7933" s="5"/>
    </row>
    <row r="7934" spans="12:13" x14ac:dyDescent="0.2">
      <c r="L7934" s="5"/>
      <c r="M7934" s="5"/>
    </row>
    <row r="7935" spans="12:13" x14ac:dyDescent="0.2">
      <c r="L7935" s="5"/>
      <c r="M7935" s="5"/>
    </row>
    <row r="7936" spans="12:13" x14ac:dyDescent="0.2">
      <c r="L7936" s="5"/>
      <c r="M7936" s="5"/>
    </row>
    <row r="7937" spans="12:13" x14ac:dyDescent="0.2">
      <c r="L7937" s="5"/>
      <c r="M7937" s="5"/>
    </row>
    <row r="7938" spans="12:13" x14ac:dyDescent="0.2">
      <c r="L7938" s="5"/>
      <c r="M7938" s="5"/>
    </row>
    <row r="7939" spans="12:13" x14ac:dyDescent="0.2">
      <c r="L7939" s="5"/>
      <c r="M7939" s="5"/>
    </row>
    <row r="7940" spans="12:13" x14ac:dyDescent="0.2">
      <c r="L7940" s="5"/>
      <c r="M7940" s="5"/>
    </row>
    <row r="7941" spans="12:13" x14ac:dyDescent="0.2">
      <c r="L7941" s="5"/>
      <c r="M7941" s="5"/>
    </row>
    <row r="7942" spans="12:13" x14ac:dyDescent="0.2">
      <c r="L7942" s="5"/>
      <c r="M7942" s="5"/>
    </row>
    <row r="7943" spans="12:13" x14ac:dyDescent="0.2">
      <c r="L7943" s="5"/>
      <c r="M7943" s="5"/>
    </row>
    <row r="7944" spans="12:13" x14ac:dyDescent="0.2">
      <c r="L7944" s="5"/>
      <c r="M7944" s="5"/>
    </row>
    <row r="7945" spans="12:13" x14ac:dyDescent="0.2">
      <c r="L7945" s="5"/>
      <c r="M7945" s="5"/>
    </row>
    <row r="7946" spans="12:13" x14ac:dyDescent="0.2">
      <c r="L7946" s="5"/>
      <c r="M7946" s="5"/>
    </row>
    <row r="7947" spans="12:13" x14ac:dyDescent="0.2">
      <c r="L7947" s="5"/>
      <c r="M7947" s="5"/>
    </row>
    <row r="7948" spans="12:13" x14ac:dyDescent="0.2">
      <c r="L7948" s="5"/>
      <c r="M7948" s="5"/>
    </row>
    <row r="7949" spans="12:13" x14ac:dyDescent="0.2">
      <c r="L7949" s="5"/>
      <c r="M7949" s="5"/>
    </row>
    <row r="7950" spans="12:13" x14ac:dyDescent="0.2">
      <c r="L7950" s="5"/>
      <c r="M7950" s="5"/>
    </row>
    <row r="7951" spans="12:13" x14ac:dyDescent="0.2">
      <c r="L7951" s="5"/>
      <c r="M7951" s="5"/>
    </row>
    <row r="7952" spans="12:13" x14ac:dyDescent="0.2">
      <c r="L7952" s="5"/>
      <c r="M7952" s="5"/>
    </row>
    <row r="7953" spans="12:13" x14ac:dyDescent="0.2">
      <c r="L7953" s="5"/>
      <c r="M7953" s="5"/>
    </row>
    <row r="7954" spans="12:13" x14ac:dyDescent="0.2">
      <c r="L7954" s="5"/>
      <c r="M7954" s="5"/>
    </row>
    <row r="7955" spans="12:13" x14ac:dyDescent="0.2">
      <c r="L7955" s="5"/>
      <c r="M7955" s="5"/>
    </row>
    <row r="7956" spans="12:13" x14ac:dyDescent="0.2">
      <c r="L7956" s="5"/>
      <c r="M7956" s="5"/>
    </row>
    <row r="7957" spans="12:13" x14ac:dyDescent="0.2">
      <c r="L7957" s="5"/>
      <c r="M7957" s="5"/>
    </row>
    <row r="7958" spans="12:13" x14ac:dyDescent="0.2">
      <c r="L7958" s="5"/>
      <c r="M7958" s="5"/>
    </row>
    <row r="7959" spans="12:13" x14ac:dyDescent="0.2">
      <c r="L7959" s="5"/>
      <c r="M7959" s="5"/>
    </row>
    <row r="7960" spans="12:13" x14ac:dyDescent="0.2">
      <c r="L7960" s="5"/>
      <c r="M7960" s="5"/>
    </row>
    <row r="7961" spans="12:13" x14ac:dyDescent="0.2">
      <c r="L7961" s="5"/>
      <c r="M7961" s="5"/>
    </row>
    <row r="7962" spans="12:13" x14ac:dyDescent="0.2">
      <c r="L7962" s="5"/>
      <c r="M7962" s="5"/>
    </row>
    <row r="7963" spans="12:13" x14ac:dyDescent="0.2">
      <c r="L7963" s="5"/>
      <c r="M7963" s="5"/>
    </row>
    <row r="7964" spans="12:13" x14ac:dyDescent="0.2">
      <c r="L7964" s="5"/>
      <c r="M7964" s="5"/>
    </row>
    <row r="7965" spans="12:13" x14ac:dyDescent="0.2">
      <c r="L7965" s="5"/>
      <c r="M7965" s="5"/>
    </row>
    <row r="7966" spans="12:13" x14ac:dyDescent="0.2">
      <c r="L7966" s="5"/>
      <c r="M7966" s="5"/>
    </row>
    <row r="7967" spans="12:13" x14ac:dyDescent="0.2">
      <c r="L7967" s="5"/>
      <c r="M7967" s="5"/>
    </row>
    <row r="7968" spans="12:13" x14ac:dyDescent="0.2">
      <c r="L7968" s="5"/>
      <c r="M7968" s="5"/>
    </row>
    <row r="7969" spans="12:13" x14ac:dyDescent="0.2">
      <c r="L7969" s="5"/>
      <c r="M7969" s="5"/>
    </row>
    <row r="7970" spans="12:13" x14ac:dyDescent="0.2">
      <c r="L7970" s="5"/>
      <c r="M7970" s="5"/>
    </row>
    <row r="7971" spans="12:13" x14ac:dyDescent="0.2">
      <c r="L7971" s="5"/>
      <c r="M7971" s="5"/>
    </row>
    <row r="7972" spans="12:13" x14ac:dyDescent="0.2">
      <c r="L7972" s="5"/>
      <c r="M7972" s="5"/>
    </row>
    <row r="7973" spans="12:13" x14ac:dyDescent="0.2">
      <c r="L7973" s="5"/>
      <c r="M7973" s="5"/>
    </row>
    <row r="7974" spans="12:13" x14ac:dyDescent="0.2">
      <c r="L7974" s="5"/>
      <c r="M7974" s="5"/>
    </row>
    <row r="7975" spans="12:13" x14ac:dyDescent="0.2">
      <c r="L7975" s="5"/>
      <c r="M7975" s="5"/>
    </row>
    <row r="7976" spans="12:13" x14ac:dyDescent="0.2">
      <c r="L7976" s="5"/>
      <c r="M7976" s="5"/>
    </row>
    <row r="7977" spans="12:13" x14ac:dyDescent="0.2">
      <c r="L7977" s="5"/>
      <c r="M7977" s="5"/>
    </row>
    <row r="7978" spans="12:13" x14ac:dyDescent="0.2">
      <c r="L7978" s="5"/>
      <c r="M7978" s="5"/>
    </row>
    <row r="7979" spans="12:13" x14ac:dyDescent="0.2">
      <c r="L7979" s="5"/>
      <c r="M7979" s="5"/>
    </row>
    <row r="7980" spans="12:13" x14ac:dyDescent="0.2">
      <c r="L7980" s="5"/>
      <c r="M7980" s="5"/>
    </row>
    <row r="7981" spans="12:13" x14ac:dyDescent="0.2">
      <c r="L7981" s="5"/>
      <c r="M7981" s="5"/>
    </row>
    <row r="7982" spans="12:13" x14ac:dyDescent="0.2">
      <c r="L7982" s="5"/>
      <c r="M7982" s="5"/>
    </row>
    <row r="7983" spans="12:13" x14ac:dyDescent="0.2">
      <c r="L7983" s="5"/>
      <c r="M7983" s="5"/>
    </row>
    <row r="7984" spans="12:13" x14ac:dyDescent="0.2">
      <c r="L7984" s="5"/>
      <c r="M7984" s="5"/>
    </row>
    <row r="7985" spans="12:13" x14ac:dyDescent="0.2">
      <c r="L7985" s="5"/>
      <c r="M7985" s="5"/>
    </row>
    <row r="7986" spans="12:13" x14ac:dyDescent="0.2">
      <c r="L7986" s="5"/>
      <c r="M7986" s="5"/>
    </row>
    <row r="7987" spans="12:13" x14ac:dyDescent="0.2">
      <c r="L7987" s="5"/>
      <c r="M7987" s="5"/>
    </row>
    <row r="7988" spans="12:13" x14ac:dyDescent="0.2">
      <c r="L7988" s="5"/>
      <c r="M7988" s="5"/>
    </row>
    <row r="7989" spans="12:13" x14ac:dyDescent="0.2">
      <c r="L7989" s="5"/>
      <c r="M7989" s="5"/>
    </row>
    <row r="7990" spans="12:13" x14ac:dyDescent="0.2">
      <c r="L7990" s="5"/>
      <c r="M7990" s="5"/>
    </row>
    <row r="7991" spans="12:13" x14ac:dyDescent="0.2">
      <c r="L7991" s="5"/>
      <c r="M7991" s="5"/>
    </row>
    <row r="7992" spans="12:13" x14ac:dyDescent="0.2">
      <c r="L7992" s="5"/>
      <c r="M7992" s="5"/>
    </row>
    <row r="7993" spans="12:13" x14ac:dyDescent="0.2">
      <c r="L7993" s="5"/>
      <c r="M7993" s="5"/>
    </row>
    <row r="7994" spans="12:13" x14ac:dyDescent="0.2">
      <c r="L7994" s="5"/>
      <c r="M7994" s="5"/>
    </row>
    <row r="7995" spans="12:13" x14ac:dyDescent="0.2">
      <c r="L7995" s="5"/>
      <c r="M7995" s="5"/>
    </row>
    <row r="7996" spans="12:13" x14ac:dyDescent="0.2">
      <c r="L7996" s="5"/>
      <c r="M7996" s="5"/>
    </row>
    <row r="7997" spans="12:13" x14ac:dyDescent="0.2">
      <c r="L7997" s="5"/>
      <c r="M7997" s="5"/>
    </row>
    <row r="7998" spans="12:13" x14ac:dyDescent="0.2">
      <c r="L7998" s="5"/>
      <c r="M7998" s="5"/>
    </row>
    <row r="7999" spans="12:13" x14ac:dyDescent="0.2">
      <c r="L7999" s="5"/>
      <c r="M7999" s="5"/>
    </row>
    <row r="8000" spans="12:13" x14ac:dyDescent="0.2">
      <c r="L8000" s="5"/>
      <c r="M8000" s="5"/>
    </row>
    <row r="8001" spans="12:13" x14ac:dyDescent="0.2">
      <c r="L8001" s="5"/>
      <c r="M8001" s="5"/>
    </row>
    <row r="8002" spans="12:13" x14ac:dyDescent="0.2">
      <c r="L8002" s="5"/>
      <c r="M8002" s="5"/>
    </row>
    <row r="8003" spans="12:13" x14ac:dyDescent="0.2">
      <c r="L8003" s="5"/>
      <c r="M8003" s="5"/>
    </row>
    <row r="8004" spans="12:13" x14ac:dyDescent="0.2">
      <c r="L8004" s="5"/>
      <c r="M8004" s="5"/>
    </row>
    <row r="8005" spans="12:13" x14ac:dyDescent="0.2">
      <c r="L8005" s="5"/>
      <c r="M8005" s="5"/>
    </row>
    <row r="8006" spans="12:13" x14ac:dyDescent="0.2">
      <c r="L8006" s="5"/>
      <c r="M8006" s="5"/>
    </row>
    <row r="8007" spans="12:13" x14ac:dyDescent="0.2">
      <c r="L8007" s="5"/>
      <c r="M8007" s="5"/>
    </row>
    <row r="8008" spans="12:13" x14ac:dyDescent="0.2">
      <c r="L8008" s="5"/>
      <c r="M8008" s="5"/>
    </row>
    <row r="8009" spans="12:13" x14ac:dyDescent="0.2">
      <c r="L8009" s="5"/>
      <c r="M8009" s="5"/>
    </row>
    <row r="8010" spans="12:13" x14ac:dyDescent="0.2">
      <c r="L8010" s="5"/>
      <c r="M8010" s="5"/>
    </row>
    <row r="8011" spans="12:13" x14ac:dyDescent="0.2">
      <c r="L8011" s="5"/>
      <c r="M8011" s="5"/>
    </row>
    <row r="8012" spans="12:13" x14ac:dyDescent="0.2">
      <c r="L8012" s="5"/>
      <c r="M8012" s="5"/>
    </row>
    <row r="8013" spans="12:13" x14ac:dyDescent="0.2">
      <c r="L8013" s="5"/>
      <c r="M8013" s="5"/>
    </row>
    <row r="8014" spans="12:13" x14ac:dyDescent="0.2">
      <c r="L8014" s="5"/>
      <c r="M8014" s="5"/>
    </row>
    <row r="8015" spans="12:13" x14ac:dyDescent="0.2">
      <c r="L8015" s="5"/>
      <c r="M8015" s="5"/>
    </row>
    <row r="8016" spans="12:13" x14ac:dyDescent="0.2">
      <c r="L8016" s="5"/>
      <c r="M8016" s="5"/>
    </row>
    <row r="8017" spans="12:13" x14ac:dyDescent="0.2">
      <c r="L8017" s="5"/>
      <c r="M8017" s="5"/>
    </row>
    <row r="8018" spans="12:13" x14ac:dyDescent="0.2">
      <c r="L8018" s="5"/>
      <c r="M8018" s="5"/>
    </row>
    <row r="8019" spans="12:13" x14ac:dyDescent="0.2">
      <c r="L8019" s="5"/>
      <c r="M8019" s="5"/>
    </row>
    <row r="8020" spans="12:13" x14ac:dyDescent="0.2">
      <c r="L8020" s="5"/>
      <c r="M8020" s="5"/>
    </row>
    <row r="8021" spans="12:13" x14ac:dyDescent="0.2">
      <c r="L8021" s="5"/>
      <c r="M8021" s="5"/>
    </row>
    <row r="8022" spans="12:13" x14ac:dyDescent="0.2">
      <c r="L8022" s="5"/>
      <c r="M8022" s="5"/>
    </row>
    <row r="8023" spans="12:13" x14ac:dyDescent="0.2">
      <c r="L8023" s="5"/>
      <c r="M8023" s="5"/>
    </row>
    <row r="8024" spans="12:13" x14ac:dyDescent="0.2">
      <c r="L8024" s="5"/>
      <c r="M8024" s="5"/>
    </row>
    <row r="8025" spans="12:13" x14ac:dyDescent="0.2">
      <c r="L8025" s="5"/>
      <c r="M8025" s="5"/>
    </row>
    <row r="8026" spans="12:13" x14ac:dyDescent="0.2">
      <c r="L8026" s="5"/>
      <c r="M8026" s="5"/>
    </row>
    <row r="8027" spans="12:13" x14ac:dyDescent="0.2">
      <c r="L8027" s="5"/>
      <c r="M8027" s="5"/>
    </row>
    <row r="8028" spans="12:13" x14ac:dyDescent="0.2">
      <c r="L8028" s="5"/>
      <c r="M8028" s="5"/>
    </row>
    <row r="8029" spans="12:13" x14ac:dyDescent="0.2">
      <c r="L8029" s="5"/>
      <c r="M8029" s="5"/>
    </row>
    <row r="8030" spans="12:13" x14ac:dyDescent="0.2">
      <c r="L8030" s="5"/>
      <c r="M8030" s="5"/>
    </row>
    <row r="8031" spans="12:13" x14ac:dyDescent="0.2">
      <c r="L8031" s="5"/>
      <c r="M8031" s="5"/>
    </row>
    <row r="8032" spans="12:13" x14ac:dyDescent="0.2">
      <c r="L8032" s="5"/>
      <c r="M8032" s="5"/>
    </row>
    <row r="8033" spans="12:13" x14ac:dyDescent="0.2">
      <c r="L8033" s="5"/>
      <c r="M8033" s="5"/>
    </row>
    <row r="8034" spans="12:13" x14ac:dyDescent="0.2">
      <c r="L8034" s="5"/>
      <c r="M8034" s="5"/>
    </row>
    <row r="8035" spans="12:13" x14ac:dyDescent="0.2">
      <c r="L8035" s="5"/>
      <c r="M8035" s="5"/>
    </row>
    <row r="8036" spans="12:13" x14ac:dyDescent="0.2">
      <c r="L8036" s="5"/>
      <c r="M8036" s="5"/>
    </row>
    <row r="8037" spans="12:13" x14ac:dyDescent="0.2">
      <c r="L8037" s="5"/>
      <c r="M8037" s="5"/>
    </row>
    <row r="8038" spans="12:13" x14ac:dyDescent="0.2">
      <c r="L8038" s="5"/>
      <c r="M8038" s="5"/>
    </row>
    <row r="8039" spans="12:13" x14ac:dyDescent="0.2">
      <c r="L8039" s="5"/>
      <c r="M8039" s="5"/>
    </row>
    <row r="8040" spans="12:13" x14ac:dyDescent="0.2">
      <c r="L8040" s="5"/>
      <c r="M8040" s="5"/>
    </row>
    <row r="8041" spans="12:13" x14ac:dyDescent="0.2">
      <c r="L8041" s="5"/>
      <c r="M8041" s="5"/>
    </row>
    <row r="8042" spans="12:13" x14ac:dyDescent="0.2">
      <c r="L8042" s="5"/>
      <c r="M8042" s="5"/>
    </row>
    <row r="8043" spans="12:13" x14ac:dyDescent="0.2">
      <c r="L8043" s="5"/>
      <c r="M8043" s="5"/>
    </row>
    <row r="8044" spans="12:13" x14ac:dyDescent="0.2">
      <c r="L8044" s="5"/>
      <c r="M8044" s="5"/>
    </row>
    <row r="8045" spans="12:13" x14ac:dyDescent="0.2">
      <c r="L8045" s="5"/>
      <c r="M8045" s="5"/>
    </row>
    <row r="8046" spans="12:13" x14ac:dyDescent="0.2">
      <c r="L8046" s="5"/>
      <c r="M8046" s="5"/>
    </row>
    <row r="8047" spans="12:13" x14ac:dyDescent="0.2">
      <c r="L8047" s="5"/>
      <c r="M8047" s="5"/>
    </row>
    <row r="8048" spans="12:13" x14ac:dyDescent="0.2">
      <c r="L8048" s="5"/>
      <c r="M8048" s="5"/>
    </row>
    <row r="8049" spans="12:13" x14ac:dyDescent="0.2">
      <c r="L8049" s="5"/>
      <c r="M8049" s="5"/>
    </row>
    <row r="8050" spans="12:13" x14ac:dyDescent="0.2">
      <c r="L8050" s="5"/>
      <c r="M8050" s="5"/>
    </row>
    <row r="8051" spans="12:13" x14ac:dyDescent="0.2">
      <c r="L8051" s="5"/>
      <c r="M8051" s="5"/>
    </row>
    <row r="8052" spans="12:13" x14ac:dyDescent="0.2">
      <c r="L8052" s="5"/>
      <c r="M8052" s="5"/>
    </row>
    <row r="8053" spans="12:13" x14ac:dyDescent="0.2">
      <c r="L8053" s="5"/>
      <c r="M8053" s="5"/>
    </row>
    <row r="8054" spans="12:13" x14ac:dyDescent="0.2">
      <c r="L8054" s="5"/>
      <c r="M8054" s="5"/>
    </row>
    <row r="8055" spans="12:13" x14ac:dyDescent="0.2">
      <c r="L8055" s="5"/>
      <c r="M8055" s="5"/>
    </row>
    <row r="8056" spans="12:13" x14ac:dyDescent="0.2">
      <c r="L8056" s="5"/>
      <c r="M8056" s="5"/>
    </row>
    <row r="8057" spans="12:13" x14ac:dyDescent="0.2">
      <c r="L8057" s="5"/>
      <c r="M8057" s="5"/>
    </row>
    <row r="8058" spans="12:13" x14ac:dyDescent="0.2">
      <c r="L8058" s="5"/>
      <c r="M8058" s="5"/>
    </row>
    <row r="8059" spans="12:13" x14ac:dyDescent="0.2">
      <c r="L8059" s="5"/>
      <c r="M8059" s="5"/>
    </row>
    <row r="8060" spans="12:13" x14ac:dyDescent="0.2">
      <c r="L8060" s="5"/>
      <c r="M8060" s="5"/>
    </row>
    <row r="8061" spans="12:13" x14ac:dyDescent="0.2">
      <c r="L8061" s="5"/>
      <c r="M8061" s="5"/>
    </row>
    <row r="8062" spans="12:13" x14ac:dyDescent="0.2">
      <c r="L8062" s="5"/>
      <c r="M8062" s="5"/>
    </row>
    <row r="8063" spans="12:13" x14ac:dyDescent="0.2">
      <c r="L8063" s="5"/>
      <c r="M8063" s="5"/>
    </row>
    <row r="8064" spans="12:13" x14ac:dyDescent="0.2">
      <c r="L8064" s="5"/>
      <c r="M8064" s="5"/>
    </row>
    <row r="8065" spans="12:13" x14ac:dyDescent="0.2">
      <c r="L8065" s="5"/>
      <c r="M8065" s="5"/>
    </row>
    <row r="8066" spans="12:13" x14ac:dyDescent="0.2">
      <c r="L8066" s="5"/>
      <c r="M8066" s="5"/>
    </row>
    <row r="8067" spans="12:13" x14ac:dyDescent="0.2">
      <c r="L8067" s="5"/>
      <c r="M8067" s="5"/>
    </row>
    <row r="8068" spans="12:13" x14ac:dyDescent="0.2">
      <c r="L8068" s="5"/>
      <c r="M8068" s="5"/>
    </row>
    <row r="8069" spans="12:13" x14ac:dyDescent="0.2">
      <c r="L8069" s="5"/>
      <c r="M8069" s="5"/>
    </row>
    <row r="8070" spans="12:13" x14ac:dyDescent="0.2">
      <c r="L8070" s="5"/>
      <c r="M8070" s="5"/>
    </row>
    <row r="8071" spans="12:13" x14ac:dyDescent="0.2">
      <c r="L8071" s="5"/>
      <c r="M8071" s="5"/>
    </row>
    <row r="8072" spans="12:13" x14ac:dyDescent="0.2">
      <c r="L8072" s="5"/>
      <c r="M8072" s="5"/>
    </row>
    <row r="8073" spans="12:13" x14ac:dyDescent="0.2">
      <c r="L8073" s="5"/>
      <c r="M8073" s="5"/>
    </row>
    <row r="8074" spans="12:13" x14ac:dyDescent="0.2">
      <c r="L8074" s="5"/>
      <c r="M8074" s="5"/>
    </row>
    <row r="8075" spans="12:13" x14ac:dyDescent="0.2">
      <c r="L8075" s="5"/>
      <c r="M8075" s="5"/>
    </row>
    <row r="8076" spans="12:13" x14ac:dyDescent="0.2">
      <c r="L8076" s="5"/>
      <c r="M8076" s="5"/>
    </row>
    <row r="8077" spans="12:13" x14ac:dyDescent="0.2">
      <c r="L8077" s="5"/>
      <c r="M8077" s="5"/>
    </row>
    <row r="8078" spans="12:13" x14ac:dyDescent="0.2">
      <c r="L8078" s="5"/>
      <c r="M8078" s="5"/>
    </row>
    <row r="8079" spans="12:13" x14ac:dyDescent="0.2">
      <c r="L8079" s="5"/>
      <c r="M8079" s="5"/>
    </row>
    <row r="8080" spans="12:13" x14ac:dyDescent="0.2">
      <c r="L8080" s="5"/>
      <c r="M8080" s="5"/>
    </row>
    <row r="8081" spans="12:13" x14ac:dyDescent="0.2">
      <c r="L8081" s="5"/>
      <c r="M8081" s="5"/>
    </row>
    <row r="8082" spans="12:13" x14ac:dyDescent="0.2">
      <c r="L8082" s="5"/>
      <c r="M8082" s="5"/>
    </row>
    <row r="8083" spans="12:13" x14ac:dyDescent="0.2">
      <c r="L8083" s="5"/>
      <c r="M8083" s="5"/>
    </row>
    <row r="8084" spans="12:13" x14ac:dyDescent="0.2">
      <c r="L8084" s="5"/>
      <c r="M8084" s="5"/>
    </row>
    <row r="8085" spans="12:13" x14ac:dyDescent="0.2">
      <c r="L8085" s="5"/>
      <c r="M8085" s="5"/>
    </row>
    <row r="8086" spans="12:13" x14ac:dyDescent="0.2">
      <c r="L8086" s="5"/>
      <c r="M8086" s="5"/>
    </row>
    <row r="8087" spans="12:13" x14ac:dyDescent="0.2">
      <c r="L8087" s="5"/>
      <c r="M8087" s="5"/>
    </row>
    <row r="8088" spans="12:13" x14ac:dyDescent="0.2">
      <c r="L8088" s="5"/>
      <c r="M8088" s="5"/>
    </row>
    <row r="8089" spans="12:13" x14ac:dyDescent="0.2">
      <c r="L8089" s="5"/>
      <c r="M8089" s="5"/>
    </row>
    <row r="8090" spans="12:13" x14ac:dyDescent="0.2">
      <c r="L8090" s="5"/>
      <c r="M8090" s="5"/>
    </row>
    <row r="8091" spans="12:13" x14ac:dyDescent="0.2">
      <c r="L8091" s="5"/>
      <c r="M8091" s="5"/>
    </row>
    <row r="8092" spans="12:13" x14ac:dyDescent="0.2">
      <c r="L8092" s="5"/>
      <c r="M8092" s="5"/>
    </row>
    <row r="8093" spans="12:13" x14ac:dyDescent="0.2">
      <c r="L8093" s="5"/>
      <c r="M8093" s="5"/>
    </row>
    <row r="8094" spans="12:13" x14ac:dyDescent="0.2">
      <c r="L8094" s="5"/>
      <c r="M8094" s="5"/>
    </row>
    <row r="8095" spans="12:13" x14ac:dyDescent="0.2">
      <c r="L8095" s="5"/>
      <c r="M8095" s="5"/>
    </row>
    <row r="8096" spans="12:13" x14ac:dyDescent="0.2">
      <c r="L8096" s="5"/>
      <c r="M8096" s="5"/>
    </row>
    <row r="8097" spans="12:13" x14ac:dyDescent="0.2">
      <c r="L8097" s="5"/>
      <c r="M8097" s="5"/>
    </row>
    <row r="8098" spans="12:13" x14ac:dyDescent="0.2">
      <c r="L8098" s="5"/>
      <c r="M8098" s="5"/>
    </row>
    <row r="8099" spans="12:13" x14ac:dyDescent="0.2">
      <c r="L8099" s="5"/>
      <c r="M8099" s="5"/>
    </row>
    <row r="8100" spans="12:13" x14ac:dyDescent="0.2">
      <c r="L8100" s="5"/>
      <c r="M8100" s="5"/>
    </row>
    <row r="8101" spans="12:13" x14ac:dyDescent="0.2">
      <c r="L8101" s="5"/>
      <c r="M8101" s="5"/>
    </row>
    <row r="8102" spans="12:13" x14ac:dyDescent="0.2">
      <c r="L8102" s="5"/>
      <c r="M8102" s="5"/>
    </row>
    <row r="8103" spans="12:13" x14ac:dyDescent="0.2">
      <c r="L8103" s="5"/>
      <c r="M8103" s="5"/>
    </row>
    <row r="8104" spans="12:13" x14ac:dyDescent="0.2">
      <c r="L8104" s="5"/>
      <c r="M8104" s="5"/>
    </row>
    <row r="8105" spans="12:13" x14ac:dyDescent="0.2">
      <c r="L8105" s="5"/>
      <c r="M8105" s="5"/>
    </row>
    <row r="8106" spans="12:13" x14ac:dyDescent="0.2">
      <c r="L8106" s="5"/>
      <c r="M8106" s="5"/>
    </row>
    <row r="8107" spans="12:13" x14ac:dyDescent="0.2">
      <c r="L8107" s="5"/>
      <c r="M8107" s="5"/>
    </row>
    <row r="8108" spans="12:13" x14ac:dyDescent="0.2">
      <c r="L8108" s="5"/>
      <c r="M8108" s="5"/>
    </row>
    <row r="8109" spans="12:13" x14ac:dyDescent="0.2">
      <c r="L8109" s="5"/>
      <c r="M8109" s="5"/>
    </row>
    <row r="8110" spans="12:13" x14ac:dyDescent="0.2">
      <c r="L8110" s="5"/>
      <c r="M8110" s="5"/>
    </row>
    <row r="8111" spans="12:13" x14ac:dyDescent="0.2">
      <c r="L8111" s="5"/>
      <c r="M8111" s="5"/>
    </row>
    <row r="8112" spans="12:13" x14ac:dyDescent="0.2">
      <c r="L8112" s="5"/>
      <c r="M8112" s="5"/>
    </row>
    <row r="8113" spans="12:13" x14ac:dyDescent="0.2">
      <c r="L8113" s="5"/>
      <c r="M8113" s="5"/>
    </row>
    <row r="8114" spans="12:13" x14ac:dyDescent="0.2">
      <c r="L8114" s="5"/>
      <c r="M8114" s="5"/>
    </row>
    <row r="8115" spans="12:13" x14ac:dyDescent="0.2">
      <c r="L8115" s="5"/>
      <c r="M8115" s="5"/>
    </row>
    <row r="8116" spans="12:13" x14ac:dyDescent="0.2">
      <c r="L8116" s="5"/>
      <c r="M8116" s="5"/>
    </row>
    <row r="8117" spans="12:13" x14ac:dyDescent="0.2">
      <c r="L8117" s="5"/>
      <c r="M8117" s="5"/>
    </row>
    <row r="8118" spans="12:13" x14ac:dyDescent="0.2">
      <c r="L8118" s="5"/>
      <c r="M8118" s="5"/>
    </row>
    <row r="8119" spans="12:13" x14ac:dyDescent="0.2">
      <c r="L8119" s="5"/>
      <c r="M8119" s="5"/>
    </row>
    <row r="8120" spans="12:13" x14ac:dyDescent="0.2">
      <c r="L8120" s="5"/>
      <c r="M8120" s="5"/>
    </row>
    <row r="8121" spans="12:13" x14ac:dyDescent="0.2">
      <c r="L8121" s="5"/>
      <c r="M8121" s="5"/>
    </row>
    <row r="8122" spans="12:13" x14ac:dyDescent="0.2">
      <c r="L8122" s="5"/>
      <c r="M8122" s="5"/>
    </row>
    <row r="8123" spans="12:13" x14ac:dyDescent="0.2">
      <c r="L8123" s="5"/>
      <c r="M8123" s="5"/>
    </row>
    <row r="8124" spans="12:13" x14ac:dyDescent="0.2">
      <c r="L8124" s="5"/>
      <c r="M8124" s="5"/>
    </row>
    <row r="8125" spans="12:13" x14ac:dyDescent="0.2">
      <c r="L8125" s="5"/>
      <c r="M8125" s="5"/>
    </row>
    <row r="8126" spans="12:13" x14ac:dyDescent="0.2">
      <c r="L8126" s="5"/>
      <c r="M8126" s="5"/>
    </row>
    <row r="8127" spans="12:13" x14ac:dyDescent="0.2">
      <c r="L8127" s="5"/>
      <c r="M8127" s="5"/>
    </row>
    <row r="8128" spans="12:13" x14ac:dyDescent="0.2">
      <c r="L8128" s="5"/>
      <c r="M8128" s="5"/>
    </row>
    <row r="8129" spans="12:13" x14ac:dyDescent="0.2">
      <c r="L8129" s="5"/>
      <c r="M8129" s="5"/>
    </row>
    <row r="8130" spans="12:13" x14ac:dyDescent="0.2">
      <c r="L8130" s="5"/>
      <c r="M8130" s="5"/>
    </row>
    <row r="8131" spans="12:13" x14ac:dyDescent="0.2">
      <c r="L8131" s="5"/>
      <c r="M8131" s="5"/>
    </row>
    <row r="8132" spans="12:13" x14ac:dyDescent="0.2">
      <c r="L8132" s="5"/>
      <c r="M8132" s="5"/>
    </row>
    <row r="8133" spans="12:13" x14ac:dyDescent="0.2">
      <c r="L8133" s="5"/>
      <c r="M8133" s="5"/>
    </row>
    <row r="8134" spans="12:13" x14ac:dyDescent="0.2">
      <c r="L8134" s="5"/>
      <c r="M8134" s="5"/>
    </row>
    <row r="8135" spans="12:13" x14ac:dyDescent="0.2">
      <c r="L8135" s="5"/>
      <c r="M8135" s="5"/>
    </row>
    <row r="8136" spans="12:13" x14ac:dyDescent="0.2">
      <c r="L8136" s="5"/>
      <c r="M8136" s="5"/>
    </row>
    <row r="8137" spans="12:13" x14ac:dyDescent="0.2">
      <c r="L8137" s="5"/>
      <c r="M8137" s="5"/>
    </row>
    <row r="8138" spans="12:13" x14ac:dyDescent="0.2">
      <c r="L8138" s="5"/>
      <c r="M8138" s="5"/>
    </row>
    <row r="8139" spans="12:13" x14ac:dyDescent="0.2">
      <c r="L8139" s="5"/>
      <c r="M8139" s="5"/>
    </row>
    <row r="8140" spans="12:13" x14ac:dyDescent="0.2">
      <c r="L8140" s="5"/>
      <c r="M8140" s="5"/>
    </row>
    <row r="8141" spans="12:13" x14ac:dyDescent="0.2">
      <c r="L8141" s="5"/>
      <c r="M8141" s="5"/>
    </row>
    <row r="8142" spans="12:13" x14ac:dyDescent="0.2">
      <c r="L8142" s="5"/>
      <c r="M8142" s="5"/>
    </row>
    <row r="8143" spans="12:13" x14ac:dyDescent="0.2">
      <c r="L8143" s="5"/>
      <c r="M8143" s="5"/>
    </row>
    <row r="8144" spans="12:13" x14ac:dyDescent="0.2">
      <c r="L8144" s="5"/>
      <c r="M8144" s="5"/>
    </row>
    <row r="8145" spans="12:13" x14ac:dyDescent="0.2">
      <c r="L8145" s="5"/>
      <c r="M8145" s="5"/>
    </row>
    <row r="8146" spans="12:13" x14ac:dyDescent="0.2">
      <c r="L8146" s="5"/>
      <c r="M8146" s="5"/>
    </row>
    <row r="8147" spans="12:13" x14ac:dyDescent="0.2">
      <c r="L8147" s="5"/>
      <c r="M8147" s="5"/>
    </row>
    <row r="8148" spans="12:13" x14ac:dyDescent="0.2">
      <c r="L8148" s="5"/>
      <c r="M8148" s="5"/>
    </row>
    <row r="8149" spans="12:13" x14ac:dyDescent="0.2">
      <c r="L8149" s="5"/>
      <c r="M8149" s="5"/>
    </row>
    <row r="8150" spans="12:13" x14ac:dyDescent="0.2">
      <c r="L8150" s="5"/>
      <c r="M8150" s="5"/>
    </row>
    <row r="8151" spans="12:13" x14ac:dyDescent="0.2">
      <c r="L8151" s="5"/>
      <c r="M8151" s="5"/>
    </row>
    <row r="8152" spans="12:13" x14ac:dyDescent="0.2">
      <c r="L8152" s="5"/>
      <c r="M8152" s="5"/>
    </row>
    <row r="8153" spans="12:13" x14ac:dyDescent="0.2">
      <c r="L8153" s="5"/>
      <c r="M8153" s="5"/>
    </row>
    <row r="8154" spans="12:13" x14ac:dyDescent="0.2">
      <c r="L8154" s="5"/>
      <c r="M8154" s="5"/>
    </row>
    <row r="8155" spans="12:13" x14ac:dyDescent="0.2">
      <c r="L8155" s="5"/>
      <c r="M8155" s="5"/>
    </row>
    <row r="8156" spans="12:13" x14ac:dyDescent="0.2">
      <c r="L8156" s="5"/>
      <c r="M8156" s="5"/>
    </row>
    <row r="8157" spans="12:13" x14ac:dyDescent="0.2">
      <c r="L8157" s="5"/>
      <c r="M8157" s="5"/>
    </row>
    <row r="8158" spans="12:13" x14ac:dyDescent="0.2">
      <c r="L8158" s="5"/>
      <c r="M8158" s="5"/>
    </row>
    <row r="8159" spans="12:13" x14ac:dyDescent="0.2">
      <c r="L8159" s="5"/>
      <c r="M8159" s="5"/>
    </row>
    <row r="8160" spans="12:13" x14ac:dyDescent="0.2">
      <c r="L8160" s="5"/>
      <c r="M8160" s="5"/>
    </row>
    <row r="8161" spans="12:13" x14ac:dyDescent="0.2">
      <c r="L8161" s="5"/>
      <c r="M8161" s="5"/>
    </row>
    <row r="8162" spans="12:13" x14ac:dyDescent="0.2">
      <c r="L8162" s="5"/>
      <c r="M8162" s="5"/>
    </row>
    <row r="8163" spans="12:13" x14ac:dyDescent="0.2">
      <c r="L8163" s="5"/>
      <c r="M8163" s="5"/>
    </row>
    <row r="8164" spans="12:13" x14ac:dyDescent="0.2">
      <c r="L8164" s="5"/>
      <c r="M8164" s="5"/>
    </row>
    <row r="8165" spans="12:13" x14ac:dyDescent="0.2">
      <c r="L8165" s="5"/>
      <c r="M8165" s="5"/>
    </row>
    <row r="8166" spans="12:13" x14ac:dyDescent="0.2">
      <c r="L8166" s="5"/>
      <c r="M8166" s="5"/>
    </row>
    <row r="8167" spans="12:13" x14ac:dyDescent="0.2">
      <c r="L8167" s="5"/>
      <c r="M8167" s="5"/>
    </row>
    <row r="8168" spans="12:13" x14ac:dyDescent="0.2">
      <c r="L8168" s="5"/>
      <c r="M8168" s="5"/>
    </row>
    <row r="8169" spans="12:13" x14ac:dyDescent="0.2">
      <c r="L8169" s="5"/>
      <c r="M8169" s="5"/>
    </row>
    <row r="8170" spans="12:13" x14ac:dyDescent="0.2">
      <c r="L8170" s="5"/>
      <c r="M8170" s="5"/>
    </row>
    <row r="8171" spans="12:13" x14ac:dyDescent="0.2">
      <c r="L8171" s="5"/>
      <c r="M8171" s="5"/>
    </row>
    <row r="8172" spans="12:13" x14ac:dyDescent="0.2">
      <c r="L8172" s="5"/>
      <c r="M8172" s="5"/>
    </row>
    <row r="8173" spans="12:13" x14ac:dyDescent="0.2">
      <c r="L8173" s="5"/>
      <c r="M8173" s="5"/>
    </row>
    <row r="8174" spans="12:13" x14ac:dyDescent="0.2">
      <c r="L8174" s="5"/>
      <c r="M8174" s="5"/>
    </row>
    <row r="8175" spans="12:13" x14ac:dyDescent="0.2">
      <c r="L8175" s="5"/>
      <c r="M8175" s="5"/>
    </row>
    <row r="8176" spans="12:13" x14ac:dyDescent="0.2">
      <c r="L8176" s="5"/>
      <c r="M8176" s="5"/>
    </row>
    <row r="8177" spans="12:13" x14ac:dyDescent="0.2">
      <c r="L8177" s="5"/>
      <c r="M8177" s="5"/>
    </row>
    <row r="8178" spans="12:13" x14ac:dyDescent="0.2">
      <c r="L8178" s="5"/>
      <c r="M8178" s="5"/>
    </row>
    <row r="8179" spans="12:13" x14ac:dyDescent="0.2">
      <c r="L8179" s="5"/>
      <c r="M8179" s="5"/>
    </row>
    <row r="8180" spans="12:13" x14ac:dyDescent="0.2">
      <c r="L8180" s="5"/>
      <c r="M8180" s="5"/>
    </row>
    <row r="8181" spans="12:13" x14ac:dyDescent="0.2">
      <c r="L8181" s="5"/>
      <c r="M8181" s="5"/>
    </row>
    <row r="8182" spans="12:13" x14ac:dyDescent="0.2">
      <c r="L8182" s="5"/>
      <c r="M8182" s="5"/>
    </row>
    <row r="8183" spans="12:13" x14ac:dyDescent="0.2">
      <c r="L8183" s="5"/>
      <c r="M8183" s="5"/>
    </row>
    <row r="8184" spans="12:13" x14ac:dyDescent="0.2">
      <c r="L8184" s="5"/>
      <c r="M8184" s="5"/>
    </row>
    <row r="8185" spans="12:13" x14ac:dyDescent="0.2">
      <c r="L8185" s="5"/>
      <c r="M8185" s="5"/>
    </row>
    <row r="8186" spans="12:13" x14ac:dyDescent="0.2">
      <c r="L8186" s="5"/>
      <c r="M8186" s="5"/>
    </row>
    <row r="8187" spans="12:13" x14ac:dyDescent="0.2">
      <c r="L8187" s="5"/>
      <c r="M8187" s="5"/>
    </row>
    <row r="8188" spans="12:13" x14ac:dyDescent="0.2">
      <c r="L8188" s="5"/>
      <c r="M8188" s="5"/>
    </row>
    <row r="8189" spans="12:13" x14ac:dyDescent="0.2">
      <c r="L8189" s="5"/>
      <c r="M8189" s="5"/>
    </row>
    <row r="8190" spans="12:13" x14ac:dyDescent="0.2">
      <c r="L8190" s="5"/>
      <c r="M8190" s="5"/>
    </row>
    <row r="8191" spans="12:13" x14ac:dyDescent="0.2">
      <c r="L8191" s="5"/>
      <c r="M8191" s="5"/>
    </row>
    <row r="8192" spans="12:13" x14ac:dyDescent="0.2">
      <c r="L8192" s="5"/>
      <c r="M8192" s="5"/>
    </row>
    <row r="8193" spans="12:13" x14ac:dyDescent="0.2">
      <c r="L8193" s="5"/>
      <c r="M8193" s="5"/>
    </row>
    <row r="8194" spans="12:13" x14ac:dyDescent="0.2">
      <c r="L8194" s="5"/>
      <c r="M8194" s="5"/>
    </row>
    <row r="8195" spans="12:13" x14ac:dyDescent="0.2">
      <c r="L8195" s="5"/>
      <c r="M8195" s="5"/>
    </row>
    <row r="8196" spans="12:13" x14ac:dyDescent="0.2">
      <c r="L8196" s="5"/>
      <c r="M8196" s="5"/>
    </row>
    <row r="8197" spans="12:13" x14ac:dyDescent="0.2">
      <c r="L8197" s="5"/>
      <c r="M8197" s="5"/>
    </row>
    <row r="8198" spans="12:13" x14ac:dyDescent="0.2">
      <c r="L8198" s="5"/>
      <c r="M8198" s="5"/>
    </row>
    <row r="8199" spans="12:13" x14ac:dyDescent="0.2">
      <c r="L8199" s="5"/>
      <c r="M8199" s="5"/>
    </row>
    <row r="8200" spans="12:13" x14ac:dyDescent="0.2">
      <c r="L8200" s="5"/>
      <c r="M8200" s="5"/>
    </row>
    <row r="8201" spans="12:13" x14ac:dyDescent="0.2">
      <c r="L8201" s="5"/>
      <c r="M8201" s="5"/>
    </row>
    <row r="8202" spans="12:13" x14ac:dyDescent="0.2">
      <c r="L8202" s="5"/>
      <c r="M8202" s="5"/>
    </row>
    <row r="8203" spans="12:13" x14ac:dyDescent="0.2">
      <c r="L8203" s="5"/>
      <c r="M8203" s="5"/>
    </row>
    <row r="8204" spans="12:13" x14ac:dyDescent="0.2">
      <c r="L8204" s="5"/>
      <c r="M8204" s="5"/>
    </row>
    <row r="8205" spans="12:13" x14ac:dyDescent="0.2">
      <c r="L8205" s="5"/>
      <c r="M8205" s="5"/>
    </row>
    <row r="8206" spans="12:13" x14ac:dyDescent="0.2">
      <c r="L8206" s="5"/>
      <c r="M8206" s="5"/>
    </row>
    <row r="8207" spans="12:13" x14ac:dyDescent="0.2">
      <c r="L8207" s="5"/>
      <c r="M8207" s="5"/>
    </row>
    <row r="8208" spans="12:13" x14ac:dyDescent="0.2">
      <c r="L8208" s="5"/>
      <c r="M8208" s="5"/>
    </row>
    <row r="8209" spans="12:13" x14ac:dyDescent="0.2">
      <c r="L8209" s="5"/>
      <c r="M8209" s="5"/>
    </row>
    <row r="8210" spans="12:13" x14ac:dyDescent="0.2">
      <c r="L8210" s="5"/>
      <c r="M8210" s="5"/>
    </row>
    <row r="8211" spans="12:13" x14ac:dyDescent="0.2">
      <c r="L8211" s="5"/>
      <c r="M8211" s="5"/>
    </row>
    <row r="8212" spans="12:13" x14ac:dyDescent="0.2">
      <c r="L8212" s="5"/>
      <c r="M8212" s="5"/>
    </row>
    <row r="8213" spans="12:13" x14ac:dyDescent="0.2">
      <c r="L8213" s="5"/>
      <c r="M8213" s="5"/>
    </row>
    <row r="8214" spans="12:13" x14ac:dyDescent="0.2">
      <c r="L8214" s="5"/>
      <c r="M8214" s="5"/>
    </row>
    <row r="8215" spans="12:13" x14ac:dyDescent="0.2">
      <c r="L8215" s="5"/>
      <c r="M8215" s="5"/>
    </row>
    <row r="8216" spans="12:13" x14ac:dyDescent="0.2">
      <c r="L8216" s="5"/>
      <c r="M8216" s="5"/>
    </row>
    <row r="8217" spans="12:13" x14ac:dyDescent="0.2">
      <c r="L8217" s="5"/>
      <c r="M8217" s="5"/>
    </row>
    <row r="8218" spans="12:13" x14ac:dyDescent="0.2">
      <c r="L8218" s="5"/>
      <c r="M8218" s="5"/>
    </row>
    <row r="8219" spans="12:13" x14ac:dyDescent="0.2">
      <c r="L8219" s="5"/>
      <c r="M8219" s="5"/>
    </row>
    <row r="8220" spans="12:13" x14ac:dyDescent="0.2">
      <c r="L8220" s="5"/>
      <c r="M8220" s="5"/>
    </row>
    <row r="8221" spans="12:13" x14ac:dyDescent="0.2">
      <c r="L8221" s="5"/>
      <c r="M8221" s="5"/>
    </row>
    <row r="8222" spans="12:13" x14ac:dyDescent="0.2">
      <c r="L8222" s="5"/>
      <c r="M8222" s="5"/>
    </row>
    <row r="8223" spans="12:13" x14ac:dyDescent="0.2">
      <c r="L8223" s="5"/>
      <c r="M8223" s="5"/>
    </row>
    <row r="8224" spans="12:13" x14ac:dyDescent="0.2">
      <c r="L8224" s="5"/>
      <c r="M8224" s="5"/>
    </row>
    <row r="8225" spans="12:13" x14ac:dyDescent="0.2">
      <c r="L8225" s="5"/>
      <c r="M8225" s="5"/>
    </row>
    <row r="8226" spans="12:13" x14ac:dyDescent="0.2">
      <c r="L8226" s="5"/>
      <c r="M8226" s="5"/>
    </row>
    <row r="8227" spans="12:13" x14ac:dyDescent="0.2">
      <c r="L8227" s="5"/>
      <c r="M8227" s="5"/>
    </row>
    <row r="8228" spans="12:13" x14ac:dyDescent="0.2">
      <c r="L8228" s="5"/>
      <c r="M8228" s="5"/>
    </row>
    <row r="8229" spans="12:13" x14ac:dyDescent="0.2">
      <c r="L8229" s="5"/>
      <c r="M8229" s="5"/>
    </row>
    <row r="8230" spans="12:13" x14ac:dyDescent="0.2">
      <c r="L8230" s="5"/>
      <c r="M8230" s="5"/>
    </row>
    <row r="8231" spans="12:13" x14ac:dyDescent="0.2">
      <c r="L8231" s="5"/>
      <c r="M8231" s="5"/>
    </row>
    <row r="8232" spans="12:13" x14ac:dyDescent="0.2">
      <c r="L8232" s="5"/>
      <c r="M8232" s="5"/>
    </row>
    <row r="8233" spans="12:13" x14ac:dyDescent="0.2">
      <c r="L8233" s="5"/>
      <c r="M8233" s="5"/>
    </row>
    <row r="8234" spans="12:13" x14ac:dyDescent="0.2">
      <c r="L8234" s="5"/>
      <c r="M8234" s="5"/>
    </row>
    <row r="8235" spans="12:13" x14ac:dyDescent="0.2">
      <c r="L8235" s="5"/>
      <c r="M8235" s="5"/>
    </row>
    <row r="8236" spans="12:13" x14ac:dyDescent="0.2">
      <c r="L8236" s="5"/>
      <c r="M8236" s="5"/>
    </row>
    <row r="8237" spans="12:13" x14ac:dyDescent="0.2">
      <c r="L8237" s="5"/>
      <c r="M8237" s="5"/>
    </row>
    <row r="8238" spans="12:13" x14ac:dyDescent="0.2">
      <c r="L8238" s="5"/>
      <c r="M8238" s="5"/>
    </row>
    <row r="8239" spans="12:13" x14ac:dyDescent="0.2">
      <c r="L8239" s="5"/>
      <c r="M8239" s="5"/>
    </row>
    <row r="8240" spans="12:13" x14ac:dyDescent="0.2">
      <c r="L8240" s="5"/>
      <c r="M8240" s="5"/>
    </row>
    <row r="8241" spans="12:13" x14ac:dyDescent="0.2">
      <c r="L8241" s="5"/>
      <c r="M8241" s="5"/>
    </row>
    <row r="8242" spans="12:13" x14ac:dyDescent="0.2">
      <c r="L8242" s="5"/>
      <c r="M8242" s="5"/>
    </row>
    <row r="8243" spans="12:13" x14ac:dyDescent="0.2">
      <c r="L8243" s="5"/>
      <c r="M8243" s="5"/>
    </row>
    <row r="8244" spans="12:13" x14ac:dyDescent="0.2">
      <c r="L8244" s="5"/>
      <c r="M8244" s="5"/>
    </row>
    <row r="8245" spans="12:13" x14ac:dyDescent="0.2">
      <c r="L8245" s="5"/>
      <c r="M8245" s="5"/>
    </row>
    <row r="8246" spans="12:13" x14ac:dyDescent="0.2">
      <c r="L8246" s="5"/>
      <c r="M8246" s="5"/>
    </row>
    <row r="8247" spans="12:13" x14ac:dyDescent="0.2">
      <c r="L8247" s="5"/>
      <c r="M8247" s="5"/>
    </row>
    <row r="8248" spans="12:13" x14ac:dyDescent="0.2">
      <c r="L8248" s="5"/>
      <c r="M8248" s="5"/>
    </row>
    <row r="8249" spans="12:13" x14ac:dyDescent="0.2">
      <c r="L8249" s="5"/>
      <c r="M8249" s="5"/>
    </row>
    <row r="8250" spans="12:13" x14ac:dyDescent="0.2">
      <c r="L8250" s="5"/>
      <c r="M8250" s="5"/>
    </row>
    <row r="8251" spans="12:13" x14ac:dyDescent="0.2">
      <c r="L8251" s="5"/>
      <c r="M8251" s="5"/>
    </row>
    <row r="8252" spans="12:13" x14ac:dyDescent="0.2">
      <c r="L8252" s="5"/>
      <c r="M8252" s="5"/>
    </row>
    <row r="8253" spans="12:13" x14ac:dyDescent="0.2">
      <c r="L8253" s="5"/>
      <c r="M8253" s="5"/>
    </row>
    <row r="8254" spans="12:13" x14ac:dyDescent="0.2">
      <c r="L8254" s="5"/>
      <c r="M8254" s="5"/>
    </row>
    <row r="8255" spans="12:13" x14ac:dyDescent="0.2">
      <c r="L8255" s="5"/>
      <c r="M8255" s="5"/>
    </row>
    <row r="8256" spans="12:13" x14ac:dyDescent="0.2">
      <c r="L8256" s="5"/>
      <c r="M8256" s="5"/>
    </row>
    <row r="8257" spans="12:13" x14ac:dyDescent="0.2">
      <c r="L8257" s="5"/>
      <c r="M8257" s="5"/>
    </row>
    <row r="8258" spans="12:13" x14ac:dyDescent="0.2">
      <c r="L8258" s="5"/>
      <c r="M8258" s="5"/>
    </row>
    <row r="8259" spans="12:13" x14ac:dyDescent="0.2">
      <c r="L8259" s="5"/>
      <c r="M8259" s="5"/>
    </row>
    <row r="8260" spans="12:13" x14ac:dyDescent="0.2">
      <c r="L8260" s="5"/>
      <c r="M8260" s="5"/>
    </row>
    <row r="8261" spans="12:13" x14ac:dyDescent="0.2">
      <c r="L8261" s="5"/>
      <c r="M8261" s="5"/>
    </row>
    <row r="8262" spans="12:13" x14ac:dyDescent="0.2">
      <c r="L8262" s="5"/>
      <c r="M8262" s="5"/>
    </row>
    <row r="8263" spans="12:13" x14ac:dyDescent="0.2">
      <c r="L8263" s="5"/>
      <c r="M8263" s="5"/>
    </row>
    <row r="8264" spans="12:13" x14ac:dyDescent="0.2">
      <c r="L8264" s="5"/>
      <c r="M8264" s="5"/>
    </row>
    <row r="8265" spans="12:13" x14ac:dyDescent="0.2">
      <c r="L8265" s="5"/>
      <c r="M8265" s="5"/>
    </row>
    <row r="8266" spans="12:13" x14ac:dyDescent="0.2">
      <c r="L8266" s="5"/>
      <c r="M8266" s="5"/>
    </row>
    <row r="8267" spans="12:13" x14ac:dyDescent="0.2">
      <c r="L8267" s="5"/>
      <c r="M8267" s="5"/>
    </row>
    <row r="8268" spans="12:13" x14ac:dyDescent="0.2">
      <c r="L8268" s="5"/>
      <c r="M8268" s="5"/>
    </row>
    <row r="8269" spans="12:13" x14ac:dyDescent="0.2">
      <c r="L8269" s="5"/>
      <c r="M8269" s="5"/>
    </row>
    <row r="8270" spans="12:13" x14ac:dyDescent="0.2">
      <c r="L8270" s="5"/>
      <c r="M8270" s="5"/>
    </row>
    <row r="8271" spans="12:13" x14ac:dyDescent="0.2">
      <c r="L8271" s="5"/>
      <c r="M8271" s="5"/>
    </row>
    <row r="8272" spans="12:13" x14ac:dyDescent="0.2">
      <c r="L8272" s="5"/>
      <c r="M8272" s="5"/>
    </row>
    <row r="8273" spans="12:13" x14ac:dyDescent="0.2">
      <c r="L8273" s="5"/>
      <c r="M8273" s="5"/>
    </row>
    <row r="8274" spans="12:13" x14ac:dyDescent="0.2">
      <c r="L8274" s="5"/>
      <c r="M8274" s="5"/>
    </row>
    <row r="8275" spans="12:13" x14ac:dyDescent="0.2">
      <c r="L8275" s="5"/>
      <c r="M8275" s="5"/>
    </row>
    <row r="8276" spans="12:13" x14ac:dyDescent="0.2">
      <c r="L8276" s="5"/>
      <c r="M8276" s="5"/>
    </row>
    <row r="8277" spans="12:13" x14ac:dyDescent="0.2">
      <c r="L8277" s="5"/>
      <c r="M8277" s="5"/>
    </row>
    <row r="8278" spans="12:13" x14ac:dyDescent="0.2">
      <c r="L8278" s="5"/>
      <c r="M8278" s="5"/>
    </row>
    <row r="8279" spans="12:13" x14ac:dyDescent="0.2">
      <c r="L8279" s="5"/>
      <c r="M8279" s="5"/>
    </row>
    <row r="8280" spans="12:13" x14ac:dyDescent="0.2">
      <c r="L8280" s="5"/>
      <c r="M8280" s="5"/>
    </row>
    <row r="8281" spans="12:13" x14ac:dyDescent="0.2">
      <c r="L8281" s="5"/>
      <c r="M8281" s="5"/>
    </row>
    <row r="8282" spans="12:13" x14ac:dyDescent="0.2">
      <c r="L8282" s="5"/>
      <c r="M8282" s="5"/>
    </row>
    <row r="8283" spans="12:13" x14ac:dyDescent="0.2">
      <c r="L8283" s="5"/>
      <c r="M8283" s="5"/>
    </row>
    <row r="8284" spans="12:13" x14ac:dyDescent="0.2">
      <c r="L8284" s="5"/>
      <c r="M8284" s="5"/>
    </row>
    <row r="8285" spans="12:13" x14ac:dyDescent="0.2">
      <c r="L8285" s="5"/>
      <c r="M8285" s="5"/>
    </row>
    <row r="8286" spans="12:13" x14ac:dyDescent="0.2">
      <c r="L8286" s="5"/>
      <c r="M8286" s="5"/>
    </row>
    <row r="8287" spans="12:13" x14ac:dyDescent="0.2">
      <c r="L8287" s="5"/>
      <c r="M8287" s="5"/>
    </row>
    <row r="8288" spans="12:13" x14ac:dyDescent="0.2">
      <c r="L8288" s="5"/>
      <c r="M8288" s="5"/>
    </row>
    <row r="8289" spans="12:13" x14ac:dyDescent="0.2">
      <c r="L8289" s="5"/>
      <c r="M8289" s="5"/>
    </row>
    <row r="8290" spans="12:13" x14ac:dyDescent="0.2">
      <c r="L8290" s="5"/>
      <c r="M8290" s="5"/>
    </row>
    <row r="8291" spans="12:13" x14ac:dyDescent="0.2">
      <c r="L8291" s="5"/>
      <c r="M8291" s="5"/>
    </row>
    <row r="8292" spans="12:13" x14ac:dyDescent="0.2">
      <c r="L8292" s="5"/>
      <c r="M8292" s="5"/>
    </row>
    <row r="8293" spans="12:13" x14ac:dyDescent="0.2">
      <c r="L8293" s="5"/>
      <c r="M8293" s="5"/>
    </row>
    <row r="8294" spans="12:13" x14ac:dyDescent="0.2">
      <c r="L8294" s="5"/>
      <c r="M8294" s="5"/>
    </row>
    <row r="8295" spans="12:13" x14ac:dyDescent="0.2">
      <c r="L8295" s="5"/>
      <c r="M8295" s="5"/>
    </row>
    <row r="8296" spans="12:13" x14ac:dyDescent="0.2">
      <c r="L8296" s="5"/>
      <c r="M8296" s="5"/>
    </row>
    <row r="8297" spans="12:13" x14ac:dyDescent="0.2">
      <c r="L8297" s="5"/>
      <c r="M8297" s="5"/>
    </row>
    <row r="8298" spans="12:13" x14ac:dyDescent="0.2">
      <c r="L8298" s="5"/>
      <c r="M8298" s="5"/>
    </row>
    <row r="8299" spans="12:13" x14ac:dyDescent="0.2">
      <c r="L8299" s="5"/>
      <c r="M8299" s="5"/>
    </row>
    <row r="8300" spans="12:13" x14ac:dyDescent="0.2">
      <c r="L8300" s="5"/>
      <c r="M8300" s="5"/>
    </row>
    <row r="8301" spans="12:13" x14ac:dyDescent="0.2">
      <c r="L8301" s="5"/>
      <c r="M8301" s="5"/>
    </row>
    <row r="8302" spans="12:13" x14ac:dyDescent="0.2">
      <c r="L8302" s="5"/>
      <c r="M8302" s="5"/>
    </row>
    <row r="8303" spans="12:13" x14ac:dyDescent="0.2">
      <c r="L8303" s="5"/>
      <c r="M8303" s="5"/>
    </row>
    <row r="8304" spans="12:13" x14ac:dyDescent="0.2">
      <c r="L8304" s="5"/>
      <c r="M8304" s="5"/>
    </row>
    <row r="8305" spans="12:13" x14ac:dyDescent="0.2">
      <c r="L8305" s="5"/>
      <c r="M8305" s="5"/>
    </row>
    <row r="8306" spans="12:13" x14ac:dyDescent="0.2">
      <c r="L8306" s="5"/>
      <c r="M8306" s="5"/>
    </row>
    <row r="8307" spans="12:13" x14ac:dyDescent="0.2">
      <c r="L8307" s="5"/>
      <c r="M8307" s="5"/>
    </row>
    <row r="8308" spans="12:13" x14ac:dyDescent="0.2">
      <c r="L8308" s="5"/>
      <c r="M8308" s="5"/>
    </row>
    <row r="8309" spans="12:13" x14ac:dyDescent="0.2">
      <c r="L8309" s="5"/>
      <c r="M8309" s="5"/>
    </row>
    <row r="8310" spans="12:13" x14ac:dyDescent="0.2">
      <c r="L8310" s="5"/>
      <c r="M8310" s="5"/>
    </row>
    <row r="8311" spans="12:13" x14ac:dyDescent="0.2">
      <c r="L8311" s="5"/>
      <c r="M8311" s="5"/>
    </row>
    <row r="8312" spans="12:13" x14ac:dyDescent="0.2">
      <c r="L8312" s="5"/>
      <c r="M8312" s="5"/>
    </row>
    <row r="8313" spans="12:13" x14ac:dyDescent="0.2">
      <c r="L8313" s="5"/>
      <c r="M8313" s="5"/>
    </row>
    <row r="8314" spans="12:13" x14ac:dyDescent="0.2">
      <c r="L8314" s="5"/>
      <c r="M8314" s="5"/>
    </row>
    <row r="8315" spans="12:13" x14ac:dyDescent="0.2">
      <c r="L8315" s="5"/>
      <c r="M8315" s="5"/>
    </row>
    <row r="8316" spans="12:13" x14ac:dyDescent="0.2">
      <c r="L8316" s="5"/>
      <c r="M8316" s="5"/>
    </row>
    <row r="8317" spans="12:13" x14ac:dyDescent="0.2">
      <c r="L8317" s="5"/>
      <c r="M8317" s="5"/>
    </row>
    <row r="8318" spans="12:13" x14ac:dyDescent="0.2">
      <c r="L8318" s="5"/>
      <c r="M8318" s="5"/>
    </row>
    <row r="8319" spans="12:13" x14ac:dyDescent="0.2">
      <c r="L8319" s="5"/>
      <c r="M8319" s="5"/>
    </row>
    <row r="8320" spans="12:13" x14ac:dyDescent="0.2">
      <c r="L8320" s="5"/>
      <c r="M8320" s="5"/>
    </row>
    <row r="8321" spans="12:13" x14ac:dyDescent="0.2">
      <c r="L8321" s="5"/>
      <c r="M8321" s="5"/>
    </row>
    <row r="8322" spans="12:13" x14ac:dyDescent="0.2">
      <c r="L8322" s="5"/>
      <c r="M8322" s="5"/>
    </row>
    <row r="8323" spans="12:13" x14ac:dyDescent="0.2">
      <c r="L8323" s="5"/>
      <c r="M8323" s="5"/>
    </row>
    <row r="8324" spans="12:13" x14ac:dyDescent="0.2">
      <c r="L8324" s="5"/>
      <c r="M8324" s="5"/>
    </row>
    <row r="8325" spans="12:13" x14ac:dyDescent="0.2">
      <c r="L8325" s="5"/>
      <c r="M8325" s="5"/>
    </row>
    <row r="8326" spans="12:13" x14ac:dyDescent="0.2">
      <c r="L8326" s="5"/>
      <c r="M8326" s="5"/>
    </row>
    <row r="8327" spans="12:13" x14ac:dyDescent="0.2">
      <c r="L8327" s="5"/>
      <c r="M8327" s="5"/>
    </row>
    <row r="8328" spans="12:13" x14ac:dyDescent="0.2">
      <c r="L8328" s="5"/>
      <c r="M8328" s="5"/>
    </row>
    <row r="8329" spans="12:13" x14ac:dyDescent="0.2">
      <c r="L8329" s="5"/>
      <c r="M8329" s="5"/>
    </row>
    <row r="8330" spans="12:13" x14ac:dyDescent="0.2">
      <c r="L8330" s="5"/>
      <c r="M8330" s="5"/>
    </row>
    <row r="8331" spans="12:13" x14ac:dyDescent="0.2">
      <c r="L8331" s="5"/>
      <c r="M8331" s="5"/>
    </row>
    <row r="8332" spans="12:13" x14ac:dyDescent="0.2">
      <c r="L8332" s="5"/>
      <c r="M8332" s="5"/>
    </row>
    <row r="8333" spans="12:13" x14ac:dyDescent="0.2">
      <c r="L8333" s="5"/>
      <c r="M8333" s="5"/>
    </row>
    <row r="8334" spans="12:13" x14ac:dyDescent="0.2">
      <c r="L8334" s="5"/>
      <c r="M8334" s="5"/>
    </row>
    <row r="8335" spans="12:13" x14ac:dyDescent="0.2">
      <c r="L8335" s="5"/>
      <c r="M8335" s="5"/>
    </row>
    <row r="8336" spans="12:13" x14ac:dyDescent="0.2">
      <c r="L8336" s="5"/>
      <c r="M8336" s="5"/>
    </row>
    <row r="8337" spans="12:13" x14ac:dyDescent="0.2">
      <c r="L8337" s="5"/>
      <c r="M8337" s="5"/>
    </row>
    <row r="8338" spans="12:13" x14ac:dyDescent="0.2">
      <c r="L8338" s="5"/>
      <c r="M8338" s="5"/>
    </row>
    <row r="8339" spans="12:13" x14ac:dyDescent="0.2">
      <c r="L8339" s="5"/>
      <c r="M8339" s="5"/>
    </row>
    <row r="8340" spans="12:13" x14ac:dyDescent="0.2">
      <c r="L8340" s="5"/>
      <c r="M8340" s="5"/>
    </row>
    <row r="8341" spans="12:13" x14ac:dyDescent="0.2">
      <c r="L8341" s="5"/>
      <c r="M8341" s="5"/>
    </row>
    <row r="8342" spans="12:13" x14ac:dyDescent="0.2">
      <c r="L8342" s="5"/>
      <c r="M8342" s="5"/>
    </row>
    <row r="8343" spans="12:13" x14ac:dyDescent="0.2">
      <c r="L8343" s="5"/>
      <c r="M8343" s="5"/>
    </row>
    <row r="8344" spans="12:13" x14ac:dyDescent="0.2">
      <c r="L8344" s="5"/>
      <c r="M8344" s="5"/>
    </row>
    <row r="8345" spans="12:13" x14ac:dyDescent="0.2">
      <c r="L8345" s="5"/>
      <c r="M8345" s="5"/>
    </row>
    <row r="8346" spans="12:13" x14ac:dyDescent="0.2">
      <c r="L8346" s="5"/>
      <c r="M8346" s="5"/>
    </row>
    <row r="8347" spans="12:13" x14ac:dyDescent="0.2">
      <c r="L8347" s="5"/>
      <c r="M8347" s="5"/>
    </row>
    <row r="8348" spans="12:13" x14ac:dyDescent="0.2">
      <c r="L8348" s="5"/>
      <c r="M8348" s="5"/>
    </row>
    <row r="8349" spans="12:13" x14ac:dyDescent="0.2">
      <c r="L8349" s="5"/>
      <c r="M8349" s="5"/>
    </row>
    <row r="8350" spans="12:13" x14ac:dyDescent="0.2">
      <c r="L8350" s="5"/>
      <c r="M8350" s="5"/>
    </row>
    <row r="8351" spans="12:13" x14ac:dyDescent="0.2">
      <c r="L8351" s="5"/>
      <c r="M8351" s="5"/>
    </row>
    <row r="8352" spans="12:13" x14ac:dyDescent="0.2">
      <c r="L8352" s="5"/>
      <c r="M8352" s="5"/>
    </row>
    <row r="8353" spans="12:13" x14ac:dyDescent="0.2">
      <c r="L8353" s="5"/>
      <c r="M8353" s="5"/>
    </row>
    <row r="8354" spans="12:13" x14ac:dyDescent="0.2">
      <c r="L8354" s="5"/>
      <c r="M8354" s="5"/>
    </row>
    <row r="8355" spans="12:13" x14ac:dyDescent="0.2">
      <c r="L8355" s="5"/>
      <c r="M8355" s="5"/>
    </row>
    <row r="8356" spans="12:13" x14ac:dyDescent="0.2">
      <c r="L8356" s="5"/>
      <c r="M8356" s="5"/>
    </row>
    <row r="8357" spans="12:13" x14ac:dyDescent="0.2">
      <c r="L8357" s="5"/>
      <c r="M8357" s="5"/>
    </row>
    <row r="8358" spans="12:13" x14ac:dyDescent="0.2">
      <c r="L8358" s="5"/>
      <c r="M8358" s="5"/>
    </row>
    <row r="8359" spans="12:13" x14ac:dyDescent="0.2">
      <c r="L8359" s="5"/>
      <c r="M8359" s="5"/>
    </row>
    <row r="8360" spans="12:13" x14ac:dyDescent="0.2">
      <c r="L8360" s="5"/>
      <c r="M8360" s="5"/>
    </row>
    <row r="8361" spans="12:13" x14ac:dyDescent="0.2">
      <c r="L8361" s="5"/>
      <c r="M8361" s="5"/>
    </row>
    <row r="8362" spans="12:13" x14ac:dyDescent="0.2">
      <c r="L8362" s="5"/>
      <c r="M8362" s="5"/>
    </row>
    <row r="8363" spans="12:13" x14ac:dyDescent="0.2">
      <c r="L8363" s="5"/>
      <c r="M8363" s="5"/>
    </row>
    <row r="8364" spans="12:13" x14ac:dyDescent="0.2">
      <c r="L8364" s="5"/>
      <c r="M8364" s="5"/>
    </row>
    <row r="8365" spans="12:13" x14ac:dyDescent="0.2">
      <c r="L8365" s="5"/>
      <c r="M8365" s="5"/>
    </row>
    <row r="8366" spans="12:13" x14ac:dyDescent="0.2">
      <c r="L8366" s="5"/>
      <c r="M8366" s="5"/>
    </row>
    <row r="8367" spans="12:13" x14ac:dyDescent="0.2">
      <c r="L8367" s="5"/>
      <c r="M8367" s="5"/>
    </row>
    <row r="8368" spans="12:13" x14ac:dyDescent="0.2">
      <c r="L8368" s="5"/>
      <c r="M8368" s="5"/>
    </row>
    <row r="8369" spans="12:13" x14ac:dyDescent="0.2">
      <c r="L8369" s="5"/>
      <c r="M8369" s="5"/>
    </row>
    <row r="8370" spans="12:13" x14ac:dyDescent="0.2">
      <c r="L8370" s="5"/>
      <c r="M8370" s="5"/>
    </row>
    <row r="8371" spans="12:13" x14ac:dyDescent="0.2">
      <c r="L8371" s="5"/>
      <c r="M8371" s="5"/>
    </row>
    <row r="8372" spans="12:13" x14ac:dyDescent="0.2">
      <c r="L8372" s="5"/>
      <c r="M8372" s="5"/>
    </row>
    <row r="8373" spans="12:13" x14ac:dyDescent="0.2">
      <c r="L8373" s="5"/>
      <c r="M8373" s="5"/>
    </row>
    <row r="8374" spans="12:13" x14ac:dyDescent="0.2">
      <c r="L8374" s="5"/>
      <c r="M8374" s="5"/>
    </row>
    <row r="8375" spans="12:13" x14ac:dyDescent="0.2">
      <c r="L8375" s="5"/>
      <c r="M8375" s="5"/>
    </row>
    <row r="8376" spans="12:13" x14ac:dyDescent="0.2">
      <c r="L8376" s="5"/>
      <c r="M8376" s="5"/>
    </row>
    <row r="8377" spans="12:13" x14ac:dyDescent="0.2">
      <c r="L8377" s="5"/>
      <c r="M8377" s="5"/>
    </row>
    <row r="8378" spans="12:13" x14ac:dyDescent="0.2">
      <c r="L8378" s="5"/>
      <c r="M8378" s="5"/>
    </row>
    <row r="8379" spans="12:13" x14ac:dyDescent="0.2">
      <c r="L8379" s="5"/>
      <c r="M8379" s="5"/>
    </row>
    <row r="8380" spans="12:13" x14ac:dyDescent="0.2">
      <c r="L8380" s="5"/>
      <c r="M8380" s="5"/>
    </row>
    <row r="8381" spans="12:13" x14ac:dyDescent="0.2">
      <c r="L8381" s="5"/>
      <c r="M8381" s="5"/>
    </row>
    <row r="8382" spans="12:13" x14ac:dyDescent="0.2">
      <c r="L8382" s="5"/>
      <c r="M8382" s="5"/>
    </row>
    <row r="8383" spans="12:13" x14ac:dyDescent="0.2">
      <c r="L8383" s="5"/>
      <c r="M8383" s="5"/>
    </row>
    <row r="8384" spans="12:13" x14ac:dyDescent="0.2">
      <c r="L8384" s="5"/>
      <c r="M8384" s="5"/>
    </row>
    <row r="8385" spans="12:13" x14ac:dyDescent="0.2">
      <c r="L8385" s="5"/>
      <c r="M8385" s="5"/>
    </row>
    <row r="8386" spans="12:13" x14ac:dyDescent="0.2">
      <c r="L8386" s="5"/>
      <c r="M8386" s="5"/>
    </row>
    <row r="8387" spans="12:13" x14ac:dyDescent="0.2">
      <c r="L8387" s="5"/>
      <c r="M8387" s="5"/>
    </row>
    <row r="8388" spans="12:13" x14ac:dyDescent="0.2">
      <c r="L8388" s="5"/>
      <c r="M8388" s="5"/>
    </row>
    <row r="8389" spans="12:13" x14ac:dyDescent="0.2">
      <c r="L8389" s="5"/>
      <c r="M8389" s="5"/>
    </row>
    <row r="8390" spans="12:13" x14ac:dyDescent="0.2">
      <c r="L8390" s="5"/>
      <c r="M8390" s="5"/>
    </row>
    <row r="8391" spans="12:13" x14ac:dyDescent="0.2">
      <c r="L8391" s="5"/>
      <c r="M8391" s="5"/>
    </row>
    <row r="8392" spans="12:13" x14ac:dyDescent="0.2">
      <c r="L8392" s="5"/>
      <c r="M8392" s="5"/>
    </row>
    <row r="8393" spans="12:13" x14ac:dyDescent="0.2">
      <c r="L8393" s="5"/>
      <c r="M8393" s="5"/>
    </row>
    <row r="8394" spans="12:13" x14ac:dyDescent="0.2">
      <c r="L8394" s="5"/>
      <c r="M8394" s="5"/>
    </row>
    <row r="8395" spans="12:13" x14ac:dyDescent="0.2">
      <c r="L8395" s="5"/>
      <c r="M8395" s="5"/>
    </row>
    <row r="8396" spans="12:13" x14ac:dyDescent="0.2">
      <c r="L8396" s="5"/>
      <c r="M8396" s="5"/>
    </row>
    <row r="8397" spans="12:13" x14ac:dyDescent="0.2">
      <c r="L8397" s="5"/>
      <c r="M8397" s="5"/>
    </row>
    <row r="8398" spans="12:13" x14ac:dyDescent="0.2">
      <c r="L8398" s="5"/>
      <c r="M8398" s="5"/>
    </row>
    <row r="8399" spans="12:13" x14ac:dyDescent="0.2">
      <c r="L8399" s="5"/>
      <c r="M8399" s="5"/>
    </row>
    <row r="8400" spans="12:13" x14ac:dyDescent="0.2">
      <c r="L8400" s="5"/>
      <c r="M8400" s="5"/>
    </row>
    <row r="8401" spans="12:13" x14ac:dyDescent="0.2">
      <c r="L8401" s="5"/>
      <c r="M8401" s="5"/>
    </row>
    <row r="8402" spans="12:13" x14ac:dyDescent="0.2">
      <c r="L8402" s="5"/>
      <c r="M8402" s="5"/>
    </row>
    <row r="8403" spans="12:13" x14ac:dyDescent="0.2">
      <c r="L8403" s="5"/>
      <c r="M8403" s="5"/>
    </row>
    <row r="8404" spans="12:13" x14ac:dyDescent="0.2">
      <c r="L8404" s="5"/>
      <c r="M8404" s="5"/>
    </row>
    <row r="8405" spans="12:13" x14ac:dyDescent="0.2">
      <c r="L8405" s="5"/>
      <c r="M8405" s="5"/>
    </row>
    <row r="8406" spans="12:13" x14ac:dyDescent="0.2">
      <c r="L8406" s="5"/>
      <c r="M8406" s="5"/>
    </row>
    <row r="8407" spans="12:13" x14ac:dyDescent="0.2">
      <c r="L8407" s="5"/>
      <c r="M8407" s="5"/>
    </row>
    <row r="8408" spans="12:13" x14ac:dyDescent="0.2">
      <c r="L8408" s="5"/>
      <c r="M8408" s="5"/>
    </row>
    <row r="8409" spans="12:13" x14ac:dyDescent="0.2">
      <c r="L8409" s="5"/>
      <c r="M8409" s="5"/>
    </row>
    <row r="8410" spans="12:13" x14ac:dyDescent="0.2">
      <c r="L8410" s="5"/>
      <c r="M8410" s="5"/>
    </row>
    <row r="8411" spans="12:13" x14ac:dyDescent="0.2">
      <c r="L8411" s="5"/>
      <c r="M8411" s="5"/>
    </row>
    <row r="8412" spans="12:13" x14ac:dyDescent="0.2">
      <c r="L8412" s="5"/>
      <c r="M8412" s="5"/>
    </row>
    <row r="8413" spans="12:13" x14ac:dyDescent="0.2">
      <c r="L8413" s="5"/>
      <c r="M8413" s="5"/>
    </row>
    <row r="8414" spans="12:13" x14ac:dyDescent="0.2">
      <c r="L8414" s="5"/>
      <c r="M8414" s="5"/>
    </row>
    <row r="8415" spans="12:13" x14ac:dyDescent="0.2">
      <c r="L8415" s="5"/>
      <c r="M8415" s="5"/>
    </row>
    <row r="8416" spans="12:13" x14ac:dyDescent="0.2">
      <c r="L8416" s="5"/>
      <c r="M8416" s="5"/>
    </row>
    <row r="8417" spans="12:13" x14ac:dyDescent="0.2">
      <c r="L8417" s="5"/>
      <c r="M8417" s="5"/>
    </row>
    <row r="8418" spans="12:13" x14ac:dyDescent="0.2">
      <c r="L8418" s="5"/>
      <c r="M8418" s="5"/>
    </row>
    <row r="8419" spans="12:13" x14ac:dyDescent="0.2">
      <c r="L8419" s="5"/>
      <c r="M8419" s="5"/>
    </row>
    <row r="8420" spans="12:13" x14ac:dyDescent="0.2">
      <c r="L8420" s="5"/>
      <c r="M8420" s="5"/>
    </row>
    <row r="8421" spans="12:13" x14ac:dyDescent="0.2">
      <c r="L8421" s="5"/>
      <c r="M8421" s="5"/>
    </row>
    <row r="8422" spans="12:13" x14ac:dyDescent="0.2">
      <c r="L8422" s="5"/>
      <c r="M8422" s="5"/>
    </row>
    <row r="8423" spans="12:13" x14ac:dyDescent="0.2">
      <c r="L8423" s="5"/>
      <c r="M8423" s="5"/>
    </row>
    <row r="8424" spans="12:13" x14ac:dyDescent="0.2">
      <c r="L8424" s="5"/>
      <c r="M8424" s="5"/>
    </row>
    <row r="8425" spans="12:13" x14ac:dyDescent="0.2">
      <c r="L8425" s="5"/>
      <c r="M8425" s="5"/>
    </row>
    <row r="8426" spans="12:13" x14ac:dyDescent="0.2">
      <c r="L8426" s="5"/>
      <c r="M8426" s="5"/>
    </row>
    <row r="8427" spans="12:13" x14ac:dyDescent="0.2">
      <c r="L8427" s="5"/>
      <c r="M8427" s="5"/>
    </row>
    <row r="8428" spans="12:13" x14ac:dyDescent="0.2">
      <c r="L8428" s="5"/>
      <c r="M8428" s="5"/>
    </row>
    <row r="8429" spans="12:13" x14ac:dyDescent="0.2">
      <c r="L8429" s="5"/>
      <c r="M8429" s="5"/>
    </row>
    <row r="8430" spans="12:13" x14ac:dyDescent="0.2">
      <c r="L8430" s="5"/>
      <c r="M8430" s="5"/>
    </row>
    <row r="8431" spans="12:13" x14ac:dyDescent="0.2">
      <c r="L8431" s="5"/>
      <c r="M8431" s="5"/>
    </row>
    <row r="8432" spans="12:13" x14ac:dyDescent="0.2">
      <c r="L8432" s="5"/>
      <c r="M8432" s="5"/>
    </row>
    <row r="8433" spans="12:13" x14ac:dyDescent="0.2">
      <c r="L8433" s="5"/>
      <c r="M8433" s="5"/>
    </row>
    <row r="8434" spans="12:13" x14ac:dyDescent="0.2">
      <c r="L8434" s="5"/>
      <c r="M8434" s="5"/>
    </row>
    <row r="8435" spans="12:13" x14ac:dyDescent="0.2">
      <c r="L8435" s="5"/>
      <c r="M8435" s="5"/>
    </row>
    <row r="8436" spans="12:13" x14ac:dyDescent="0.2">
      <c r="L8436" s="5"/>
      <c r="M8436" s="5"/>
    </row>
    <row r="8437" spans="12:13" x14ac:dyDescent="0.2">
      <c r="L8437" s="5"/>
      <c r="M8437" s="5"/>
    </row>
    <row r="8438" spans="12:13" x14ac:dyDescent="0.2">
      <c r="L8438" s="5"/>
      <c r="M8438" s="5"/>
    </row>
    <row r="8439" spans="12:13" x14ac:dyDescent="0.2">
      <c r="L8439" s="5"/>
      <c r="M8439" s="5"/>
    </row>
    <row r="8440" spans="12:13" x14ac:dyDescent="0.2">
      <c r="L8440" s="5"/>
      <c r="M8440" s="5"/>
    </row>
    <row r="8441" spans="12:13" x14ac:dyDescent="0.2">
      <c r="L8441" s="5"/>
      <c r="M8441" s="5"/>
    </row>
    <row r="8442" spans="12:13" x14ac:dyDescent="0.2">
      <c r="L8442" s="5"/>
      <c r="M8442" s="5"/>
    </row>
    <row r="8443" spans="12:13" x14ac:dyDescent="0.2">
      <c r="L8443" s="5"/>
      <c r="M8443" s="5"/>
    </row>
    <row r="8444" spans="12:13" x14ac:dyDescent="0.2">
      <c r="L8444" s="5"/>
      <c r="M8444" s="5"/>
    </row>
    <row r="8445" spans="12:13" x14ac:dyDescent="0.2">
      <c r="L8445" s="5"/>
      <c r="M8445" s="5"/>
    </row>
    <row r="8446" spans="12:13" x14ac:dyDescent="0.2">
      <c r="L8446" s="5"/>
      <c r="M8446" s="5"/>
    </row>
    <row r="8447" spans="12:13" x14ac:dyDescent="0.2">
      <c r="L8447" s="5"/>
      <c r="M8447" s="5"/>
    </row>
    <row r="8448" spans="12:13" x14ac:dyDescent="0.2">
      <c r="L8448" s="5"/>
      <c r="M8448" s="5"/>
    </row>
    <row r="8449" spans="12:13" x14ac:dyDescent="0.2">
      <c r="L8449" s="5"/>
      <c r="M8449" s="5"/>
    </row>
    <row r="8450" spans="12:13" x14ac:dyDescent="0.2">
      <c r="L8450" s="5"/>
      <c r="M8450" s="5"/>
    </row>
    <row r="8451" spans="12:13" x14ac:dyDescent="0.2">
      <c r="L8451" s="5"/>
      <c r="M8451" s="5"/>
    </row>
  </sheetData>
  <phoneticPr fontId="4" type="noConversion"/>
  <dataValidations count="5">
    <dataValidation type="custom" allowBlank="1" showDropDown="1" sqref="N25:AA384" xr:uid="{C6F312EA-A18B-4643-B2A1-CBB5EA776E6B}">
      <formula1>AND(ISNUMBER(N25),(NOT(OR(NOT(ISERROR(DATEVALUE(N25))), AND(ISNUMBER(N25), LEFT(CELL("format", N25))="D")))))</formula1>
    </dataValidation>
    <dataValidation type="list" allowBlank="1" showErrorMessage="1" sqref="A5" xr:uid="{2CF889C4-11A7-4854-9D24-3AC5E08E0239}">
      <formula1>"Monofásico,Bifásico,Trifásico"</formula1>
    </dataValidation>
    <dataValidation type="list" allowBlank="1" showErrorMessage="1" sqref="A6" xr:uid="{AC65579D-2AEA-4821-9520-655CA2688A02}">
      <formula1>"Curitiba,Maringá"</formula1>
    </dataValidation>
    <dataValidation type="list" allowBlank="1" showErrorMessage="1" sqref="B7" xr:uid="{D551E83D-254B-45AE-B369-6AC3772BE12C}">
      <mc:AlternateContent xmlns:x12ac="http://schemas.microsoft.com/office/spreadsheetml/2011/1/ac" xmlns:mc="http://schemas.openxmlformats.org/markup-compatibility/2006">
        <mc:Choice Requires="x12ac">
          <x12ac:list>3,5,6,"7,5",8,10,15,20,Microinversor</x12ac:list>
        </mc:Choice>
        <mc:Fallback>
          <formula1>"3,5,6,7,5,8,10,15,20,Microinversor"</formula1>
        </mc:Fallback>
      </mc:AlternateContent>
    </dataValidation>
    <dataValidation type="list" allowBlank="1" showErrorMessage="1" sqref="A4" xr:uid="{4F47EBD3-266F-418D-A18D-440680531E73}">
      <formula1>"605,610,615,620,625"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3973BFC-DB21-4061-B744-54A7416F0B19}">
  <ds:schemaRefs/>
</ds:datastoreItem>
</file>

<file path=customXml/itemProps2.xml><?xml version="1.0" encoding="utf-8"?>
<ds:datastoreItem xmlns:ds="http://schemas.openxmlformats.org/officeDocument/2006/customXml" ds:itemID="{05E0E915-EE1D-4F08-9AD0-AAE5A44E885F}">
  <ds:schemaRefs/>
</ds:datastoreItem>
</file>

<file path=customXml/itemProps3.xml><?xml version="1.0" encoding="utf-8"?>
<ds:datastoreItem xmlns:ds="http://schemas.openxmlformats.org/officeDocument/2006/customXml" ds:itemID="{B0D16334-6400-47F6-BBCF-6A3DB857B5F5}">
  <ds:schemaRefs/>
</ds:datastoreItem>
</file>

<file path=customXml/itemProps4.xml><?xml version="1.0" encoding="utf-8"?>
<ds:datastoreItem xmlns:ds="http://schemas.openxmlformats.org/officeDocument/2006/customXml" ds:itemID="{AA143CEA-1132-4A9A-91C0-CDE041DC76D3}">
  <ds:schemaRefs/>
</ds:datastoreItem>
</file>

<file path=customXml/itemProps5.xml><?xml version="1.0" encoding="utf-8"?>
<ds:datastoreItem xmlns:ds="http://schemas.openxmlformats.org/officeDocument/2006/customXml" ds:itemID="{2D385A71-FC6A-4F63-9641-2856A1AA9F2A}">
  <ds:schemaRefs/>
</ds:datastoreItem>
</file>

<file path=customXml/itemProps6.xml><?xml version="1.0" encoding="utf-8"?>
<ds:datastoreItem xmlns:ds="http://schemas.openxmlformats.org/officeDocument/2006/customXml" ds:itemID="{1149D9C9-E2A9-4698-B1C0-0C3F773A3F7E}">
  <ds:schemaRefs/>
</ds:datastoreItem>
</file>

<file path=customXml/itemProps7.xml><?xml version="1.0" encoding="utf-8"?>
<ds:datastoreItem xmlns:ds="http://schemas.openxmlformats.org/officeDocument/2006/customXml" ds:itemID="{D9E7359E-1BFE-4756-93B6-6D19FA4BD747}">
  <ds:schemaRefs/>
</ds:datastoreItem>
</file>

<file path=customXml/itemProps8.xml><?xml version="1.0" encoding="utf-8"?>
<ds:datastoreItem xmlns:ds="http://schemas.openxmlformats.org/officeDocument/2006/customXml" ds:itemID="{43771AA7-AF4C-47F2-8FBF-846722BBAF3C}">
  <ds:schemaRefs/>
</ds:datastoreItem>
</file>

<file path=customXml/itemProps9.xml><?xml version="1.0" encoding="utf-8"?>
<ds:datastoreItem xmlns:ds="http://schemas.openxmlformats.org/officeDocument/2006/customXml" ds:itemID="{3776A572-1F32-4BCB-9CDF-5ED8526669BB}">
  <ds:schemaRefs/>
</ds:datastoreItem>
</file>

<file path=customXml/itemProps10.xml><?xml version="1.0" encoding="utf-8"?>
<ds:datastoreItem xmlns:ds="http://schemas.openxmlformats.org/officeDocument/2006/customXml" ds:itemID="{DBF26528-EF3B-4E03-B40C-BD9581A1B0AA}">
  <ds:schemaRefs/>
</ds:datastoreItem>
</file>

<file path=customXml/itemProps11.xml><?xml version="1.0" encoding="utf-8"?>
<ds:datastoreItem xmlns:ds="http://schemas.openxmlformats.org/officeDocument/2006/customXml" ds:itemID="{678FC43F-D9DF-4B78-A34A-E09BBA8FA2F4}">
  <ds:schemaRefs/>
</ds:datastoreItem>
</file>

<file path=customXml/itemProps12.xml><?xml version="1.0" encoding="utf-8"?>
<ds:datastoreItem xmlns:ds="http://schemas.openxmlformats.org/officeDocument/2006/customXml" ds:itemID="{AB0F003F-53A3-4FF0-9C22-37DDC5D43E84}">
  <ds:schemaRefs/>
</ds:datastoreItem>
</file>

<file path=customXml/itemProps13.xml><?xml version="1.0" encoding="utf-8"?>
<ds:datastoreItem xmlns:ds="http://schemas.openxmlformats.org/officeDocument/2006/customXml" ds:itemID="{6DBACC0F-9B15-4F95-9557-A621868B4959}">
  <ds:schemaRefs/>
</ds:datastoreItem>
</file>

<file path=customXml/itemProps14.xml><?xml version="1.0" encoding="utf-8"?>
<ds:datastoreItem xmlns:ds="http://schemas.openxmlformats.org/officeDocument/2006/customXml" ds:itemID="{C39CCDDB-2470-4EEA-9CA8-F6D069635462}">
  <ds:schemaRefs/>
</ds:datastoreItem>
</file>

<file path=customXml/itemProps15.xml><?xml version="1.0" encoding="utf-8"?>
<ds:datastoreItem xmlns:ds="http://schemas.openxmlformats.org/officeDocument/2006/customXml" ds:itemID="{4FB86698-2C0F-4651-BBEE-2D2D26E6A1C0}">
  <ds:schemaRefs/>
</ds:datastoreItem>
</file>

<file path=customXml/itemProps16.xml><?xml version="1.0" encoding="utf-8"?>
<ds:datastoreItem xmlns:ds="http://schemas.openxmlformats.org/officeDocument/2006/customXml" ds:itemID="{87D2C0F5-DFA1-4D3E-BE32-3C163F8865E1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19564772-AC21-4062-8597-B38EB64CBA8C}">
  <ds:schemaRefs/>
</ds:datastoreItem>
</file>

<file path=customXml/itemProps18.xml><?xml version="1.0" encoding="utf-8"?>
<ds:datastoreItem xmlns:ds="http://schemas.openxmlformats.org/officeDocument/2006/customXml" ds:itemID="{3C1827BF-711B-46D6-AD28-838BBB715ACD}">
  <ds:schemaRefs/>
</ds:datastoreItem>
</file>

<file path=customXml/itemProps19.xml><?xml version="1.0" encoding="utf-8"?>
<ds:datastoreItem xmlns:ds="http://schemas.openxmlformats.org/officeDocument/2006/customXml" ds:itemID="{7E3E4CA1-DB89-49E9-B318-FA82960823A4}">
  <ds:schemaRefs/>
</ds:datastoreItem>
</file>

<file path=customXml/itemProps20.xml><?xml version="1.0" encoding="utf-8"?>
<ds:datastoreItem xmlns:ds="http://schemas.openxmlformats.org/officeDocument/2006/customXml" ds:itemID="{EA711DE4-F95A-4D2F-8C84-BFC56048B2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Dimensionamento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Márcio Salmon</cp:lastModifiedBy>
  <cp:lastPrinted>2025-11-19T17:41:53Z</cp:lastPrinted>
  <dcterms:created xsi:type="dcterms:W3CDTF">2025-11-19T17:45:44Z</dcterms:created>
  <dcterms:modified xsi:type="dcterms:W3CDTF">2025-12-24T16:48:03Z</dcterms:modified>
</cp:coreProperties>
</file>